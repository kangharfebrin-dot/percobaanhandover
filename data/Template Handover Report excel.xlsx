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ydse\Downloads\"/>
    </mc:Choice>
  </mc:AlternateContent>
  <xr:revisionPtr revIDLastSave="0" documentId="8_{192B8538-DBCF-48C1-B8A9-878091C073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ndover Report" sheetId="1" r:id="rId1"/>
    <sheet name="Detail Temuan" sheetId="2" r:id="rId2"/>
    <sheet name="Rekap" sheetId="3" r:id="rId3"/>
  </sheets>
  <definedNames>
    <definedName name="_xlnm._FilterDatabase" localSheetId="0" hidden="1">'Handover Report'!$A$4:$Q$104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</calcChain>
</file>

<file path=xl/sharedStrings.xml><?xml version="1.0" encoding="utf-8"?>
<sst xmlns="http://schemas.openxmlformats.org/spreadsheetml/2006/main" count="85" uniqueCount="63">
  <si>
    <t>DIGIHANDOVER – HANDOVER REPORT</t>
  </si>
  <si>
    <t>Handover ID</t>
  </si>
  <si>
    <t>Waktu Kejadian</t>
  </si>
  <si>
    <t>Tanggal</t>
  </si>
  <si>
    <t>Jam</t>
  </si>
  <si>
    <t>AMT</t>
  </si>
  <si>
    <t>Jabatan</t>
  </si>
  <si>
    <t>Nopol Truk</t>
  </si>
  <si>
    <t>Tipe Handover</t>
  </si>
  <si>
    <t>Shift</t>
  </si>
  <si>
    <t>Lokasi</t>
  </si>
  <si>
    <t>Status Kendaraan</t>
  </si>
  <si>
    <t>Komponen/Area</t>
  </si>
  <si>
    <t>Kategori Temuan</t>
  </si>
  <si>
    <t>Detail Temuan</t>
  </si>
  <si>
    <t>Status Follow Up</t>
  </si>
  <si>
    <t>Diverifikasi Oleh</t>
  </si>
  <si>
    <t>Waktu Verifikasi</t>
  </si>
  <si>
    <t>HD-20260925-001</t>
  </si>
  <si>
    <t>25/09/2026 07:10</t>
  </si>
  <si>
    <t>25/09/2026</t>
  </si>
  <si>
    <t>07:10</t>
  </si>
  <si>
    <t>Nama AMT</t>
  </si>
  <si>
    <t>AMT I</t>
  </si>
  <si>
    <t>R0000XX</t>
  </si>
  <si>
    <t>Mulai Pekerjaan</t>
  </si>
  <si>
    <t>Pagi</t>
  </si>
  <si>
    <t>Fuel Terminal Maos</t>
  </si>
  <si>
    <t>Normal</t>
  </si>
  <si>
    <t>-</t>
  </si>
  <si>
    <t>Closed</t>
  </si>
  <si>
    <t>Supervisor</t>
  </si>
  <si>
    <t>25/09/2026 07:15</t>
  </si>
  <si>
    <t>HD-20260925-002</t>
  </si>
  <si>
    <t>25/09/2026 15:05</t>
  </si>
  <si>
    <t>15:05</t>
  </si>
  <si>
    <t>Akhiri Pekerjaan</t>
  </si>
  <si>
    <t>Siang</t>
  </si>
  <si>
    <t>Ada Temuan</t>
  </si>
  <si>
    <t>Rem</t>
  </si>
  <si>
    <t>Minor</t>
  </si>
  <si>
    <t>Catatan kondisi rem</t>
  </si>
  <si>
    <t>Open</t>
  </si>
  <si>
    <t>25/09/2026 15:15</t>
  </si>
  <si>
    <t>DETAIL TEMUAN KENDARAAN</t>
  </si>
  <si>
    <t>Waktu Temuan</t>
  </si>
  <si>
    <t>Kategori</t>
  </si>
  <si>
    <t>Tindakan</t>
  </si>
  <si>
    <t>Status</t>
  </si>
  <si>
    <t>Catatan</t>
  </si>
  <si>
    <t>Dilaporkan ke supervisor</t>
  </si>
  <si>
    <t/>
  </si>
  <si>
    <t>REKAP HANDOVER</t>
  </si>
  <si>
    <t>Total Handover</t>
  </si>
  <si>
    <t>Kendaraan Ada Temuan</t>
  </si>
  <si>
    <t>Sheet Handover Report = data utama/export.</t>
  </si>
  <si>
    <t>Temuan Major</t>
  </si>
  <si>
    <t>Detail Temuan = rincian jika satu handover punya beberapa temuan.</t>
  </si>
  <si>
    <t>Temuan Minor</t>
  </si>
  <si>
    <t>Rekap = ringkasan otomatis.</t>
  </si>
  <si>
    <t>Follow Up Open</t>
  </si>
  <si>
    <t>Data contoh silakan dihapus sebelum dipakai.</t>
  </si>
  <si>
    <t>Follow Up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</si>
</sst>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3"/>
      <name val="Calibri"/>
      <charset val="134"/>
      <scheme val="minor"/>
    </font>
    <font>
      <b/>
      <sz val="15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etailTemuanTable" displayName="DetailTemuanTable" ref="A3:J104">
  <autoFilter ref="A3:J104" xr:uid="{00000000-0009-0000-0100-000002000000}"/>
  <tableColumns count="10">
    <tableColumn id="1" xr3:uid="{00000000-0010-0000-0000-000001000000}" name="Handover ID"/>
    <tableColumn id="2" xr3:uid="{00000000-0010-0000-0000-000002000000}" name="Waktu Temuan"/>
    <tableColumn id="3" xr3:uid="{00000000-0010-0000-0000-000003000000}" name="Nopol Truk"/>
    <tableColumn id="4" xr3:uid="{00000000-0010-0000-0000-000004000000}" name="AMT"/>
    <tableColumn id="5" xr3:uid="{00000000-0010-0000-0000-000005000000}" name="Komponen/Area"/>
    <tableColumn id="6" xr3:uid="{00000000-0010-0000-0000-000006000000}" name="Kategori"/>
    <tableColumn id="7" xr3:uid="{00000000-0010-0000-0000-000007000000}" name="Detail Temuan"/>
    <tableColumn id="8" xr3:uid="{00000000-0010-0000-0000-000008000000}" name="Tindakan"/>
    <tableColumn id="9" xr3:uid="{00000000-0010-0000-0000-000009000000}" name="Status"/>
    <tableColumn id="10" xr3:uid="{00000000-0010-0000-0000-00000A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workbookViewId="0">
      <pane ySplit="4" topLeftCell="A5" activePane="bottomLeft" state="frozen"/>
      <selection pane="bottomLeft" activeCell="A2" sqref="A2:Q2"/>
    </sheetView>
  </sheetViews>
  <sheetFormatPr defaultColWidth="9" defaultRowHeight="14.5"/>
  <cols>
    <col min="1" max="2" width="20" customWidth="1"/>
    <col min="3" max="3" width="13" customWidth="1"/>
    <col min="4" max="4" width="10" customWidth="1"/>
    <col min="5" max="5" width="24" customWidth="1"/>
    <col min="6" max="6" width="13" customWidth="1"/>
    <col min="7" max="7" width="14" customWidth="1"/>
    <col min="8" max="8" width="18" customWidth="1"/>
    <col min="9" max="9" width="10" customWidth="1"/>
    <col min="10" max="10" width="22" customWidth="1"/>
    <col min="11" max="11" width="17" customWidth="1"/>
    <col min="12" max="12" width="20" customWidth="1"/>
    <col min="13" max="13" width="16" customWidth="1"/>
    <col min="14" max="14" width="38" customWidth="1"/>
    <col min="15" max="15" width="17" customWidth="1"/>
    <col min="16" max="16" width="22" customWidth="1"/>
    <col min="17" max="17" width="20" customWidth="1"/>
  </cols>
  <sheetData>
    <row r="1" spans="1:17" ht="28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1:17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</row>
    <row r="5" spans="1:17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29</v>
      </c>
      <c r="N5" s="6" t="s">
        <v>29</v>
      </c>
      <c r="O5" s="6" t="s">
        <v>30</v>
      </c>
      <c r="P5" s="6" t="s">
        <v>31</v>
      </c>
      <c r="Q5" s="6" t="s">
        <v>32</v>
      </c>
    </row>
    <row r="6" spans="1:17">
      <c r="A6" s="6" t="s">
        <v>33</v>
      </c>
      <c r="B6" s="6" t="s">
        <v>34</v>
      </c>
      <c r="C6" s="6" t="s">
        <v>20</v>
      </c>
      <c r="D6" s="6" t="s">
        <v>35</v>
      </c>
      <c r="E6" s="6" t="s">
        <v>22</v>
      </c>
      <c r="F6" s="6" t="s">
        <v>23</v>
      </c>
      <c r="G6" s="6" t="s">
        <v>24</v>
      </c>
      <c r="H6" s="6" t="s">
        <v>36</v>
      </c>
      <c r="I6" s="6" t="s">
        <v>37</v>
      </c>
      <c r="J6" s="6" t="s">
        <v>27</v>
      </c>
      <c r="K6" s="6" t="s">
        <v>38</v>
      </c>
      <c r="L6" s="6" t="s">
        <v>39</v>
      </c>
      <c r="M6" s="6" t="s">
        <v>40</v>
      </c>
      <c r="N6" s="6" t="s">
        <v>41</v>
      </c>
      <c r="O6" s="6" t="s">
        <v>42</v>
      </c>
      <c r="P6" s="6" t="s">
        <v>31</v>
      </c>
      <c r="Q6" s="6" t="s">
        <v>43</v>
      </c>
    </row>
    <row r="7" spans="1:1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</sheetData>
  <autoFilter ref="A4:Q104" xr:uid="{00000000-0009-0000-0000-000000000000}"/>
  <mergeCells count="2">
    <mergeCell ref="A1:Q1"/>
    <mergeCell ref="A2:Q2"/>
  </mergeCells>
  <conditionalFormatting sqref="K5:K104">
    <cfRule type="expression" dxfId="2" priority="1">
      <formula>K5="Ada Temuan"</formula>
    </cfRule>
  </conditionalFormatting>
  <conditionalFormatting sqref="M5:M104">
    <cfRule type="expression" dxfId="1" priority="2">
      <formula>M5="Major"</formula>
    </cfRule>
  </conditionalFormatting>
  <conditionalFormatting sqref="O5:O104">
    <cfRule type="expression" dxfId="0" priority="3">
      <formula>O5="Closed"</formula>
    </cfRule>
  </conditionalFormatting>
  <dataValidations count="5">
    <dataValidation type="list" allowBlank="1" sqref="H5:H104" xr:uid="{00000000-0002-0000-0000-000000000000}">
      <formula1>"Mulai Pekerjaan,Akhiri Pekerjaan"</formula1>
    </dataValidation>
    <dataValidation type="list" allowBlank="1" sqref="I5:I104" xr:uid="{00000000-0002-0000-0000-000001000000}">
      <formula1>"Pagi,Siang,Malam"</formula1>
    </dataValidation>
    <dataValidation type="list" allowBlank="1" sqref="K5:K104" xr:uid="{00000000-0002-0000-0000-000002000000}">
      <formula1>"Normal,Ada Temuan"</formula1>
    </dataValidation>
    <dataValidation type="list" allowBlank="1" sqref="M5:M104" xr:uid="{00000000-0002-0000-0000-000003000000}">
      <formula1>"Major,Minor,-"</formula1>
    </dataValidation>
    <dataValidation type="list" allowBlank="1" sqref="O5:O104" xr:uid="{00000000-0002-0000-0000-000004000000}">
      <formula1>"Open,On Progress,Closed,-"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workbookViewId="0">
      <pane ySplit="3" topLeftCell="A4" activePane="bottomLeft" state="frozen"/>
      <selection pane="bottomLeft" sqref="A1:J1"/>
    </sheetView>
  </sheetViews>
  <sheetFormatPr defaultColWidth="9" defaultRowHeight="14.5"/>
  <cols>
    <col min="1" max="2" width="20" customWidth="1"/>
    <col min="3" max="3" width="14" customWidth="1"/>
    <col min="4" max="4" width="24" customWidth="1"/>
    <col min="5" max="5" width="20" customWidth="1"/>
    <col min="6" max="6" width="13" customWidth="1"/>
    <col min="7" max="7" width="38" customWidth="1"/>
    <col min="8" max="8" width="32" customWidth="1"/>
    <col min="9" max="9" width="17" customWidth="1"/>
    <col min="10" max="10" width="30" customWidth="1"/>
  </cols>
  <sheetData>
    <row r="1" spans="1:10" ht="19.5">
      <c r="A1" s="11" t="s">
        <v>44</v>
      </c>
      <c r="B1" s="9"/>
      <c r="C1" s="9"/>
      <c r="D1" s="9"/>
      <c r="E1" s="9"/>
      <c r="F1" s="9"/>
      <c r="G1" s="9"/>
      <c r="H1" s="9"/>
      <c r="I1" s="9"/>
      <c r="J1" s="9"/>
    </row>
    <row r="3" spans="1:10">
      <c r="A3" s="5" t="s">
        <v>1</v>
      </c>
      <c r="B3" s="5" t="s">
        <v>45</v>
      </c>
      <c r="C3" s="5" t="s">
        <v>7</v>
      </c>
      <c r="D3" s="5" t="s">
        <v>5</v>
      </c>
      <c r="E3" s="5" t="s">
        <v>12</v>
      </c>
      <c r="F3" s="5" t="s">
        <v>46</v>
      </c>
      <c r="G3" s="5" t="s">
        <v>14</v>
      </c>
      <c r="H3" s="5" t="s">
        <v>47</v>
      </c>
      <c r="I3" s="5" t="s">
        <v>48</v>
      </c>
      <c r="J3" s="5" t="s">
        <v>49</v>
      </c>
    </row>
    <row r="4" spans="1:10">
      <c r="A4" s="6" t="s">
        <v>33</v>
      </c>
      <c r="B4" s="6" t="s">
        <v>34</v>
      </c>
      <c r="C4" s="6" t="s">
        <v>24</v>
      </c>
      <c r="D4" s="6" t="s">
        <v>22</v>
      </c>
      <c r="E4" s="6" t="s">
        <v>39</v>
      </c>
      <c r="F4" s="6" t="s">
        <v>40</v>
      </c>
      <c r="G4" s="6" t="s">
        <v>41</v>
      </c>
      <c r="H4" s="6" t="s">
        <v>50</v>
      </c>
      <c r="I4" s="6" t="s">
        <v>42</v>
      </c>
      <c r="J4" s="6" t="s">
        <v>51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</sheetData>
  <mergeCells count="1">
    <mergeCell ref="A1:J1"/>
  </mergeCells>
  <dataValidations count="2">
    <dataValidation type="list" allowBlank="1" sqref="F4:F104" xr:uid="{00000000-0002-0000-0100-000000000000}">
      <formula1>"Major,Minor,-"</formula1>
    </dataValidation>
    <dataValidation type="list" allowBlank="1" sqref="I4:I104" xr:uid="{00000000-0002-0000-0100-000001000000}">
      <formula1>"Open,On Progress,Closed,-"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defaultColWidth="9" defaultRowHeight="14.5"/>
  <cols>
    <col min="1" max="1" width="28" customWidth="1"/>
    <col min="2" max="2" width="18" customWidth="1"/>
    <col min="4" max="4" width="70" customWidth="1"/>
  </cols>
  <sheetData>
    <row r="1" spans="1:6" ht="21">
      <c r="A1" s="8" t="s">
        <v>52</v>
      </c>
      <c r="B1" s="9"/>
      <c r="C1" s="9"/>
      <c r="D1" s="9"/>
      <c r="E1" s="9"/>
      <c r="F1" s="9"/>
    </row>
    <row r="3" spans="1:6" ht="17">
      <c r="A3" s="1" t="s">
        <v>53</v>
      </c>
      <c r="B3" s="2">
        <f>COUNTA('Handover Report'!A5:A104)</f>
        <v>2</v>
      </c>
      <c r="C3" s="3"/>
      <c r="D3" s="1" t="s">
        <v>49</v>
      </c>
    </row>
    <row r="4" spans="1:6" ht="17">
      <c r="A4" s="1" t="s">
        <v>54</v>
      </c>
      <c r="B4" s="2">
        <f>COUNTIF('Handover Report'!K5:K104,"Ada Temuan")</f>
        <v>1</v>
      </c>
      <c r="C4" s="3"/>
      <c r="D4" s="4" t="s">
        <v>55</v>
      </c>
    </row>
    <row r="5" spans="1:6" ht="17">
      <c r="A5" s="1" t="s">
        <v>56</v>
      </c>
      <c r="B5" s="2">
        <f>COUNTIF('Handover Report'!M5:M104,"Major")</f>
        <v>0</v>
      </c>
      <c r="C5" s="3"/>
      <c r="D5" s="4" t="s">
        <v>57</v>
      </c>
    </row>
    <row r="6" spans="1:6" ht="17">
      <c r="A6" s="1" t="s">
        <v>58</v>
      </c>
      <c r="B6" s="2">
        <f>COUNTIF('Handover Report'!M5:M104,"Minor")</f>
        <v>1</v>
      </c>
      <c r="C6" s="3"/>
      <c r="D6" s="4" t="s">
        <v>59</v>
      </c>
    </row>
    <row r="7" spans="1:6" ht="17">
      <c r="A7" s="1" t="s">
        <v>60</v>
      </c>
      <c r="B7" s="2">
        <f>COUNTIF('Handover Report'!O5:O104,"Open")</f>
        <v>1</v>
      </c>
      <c r="C7" s="3"/>
      <c r="D7" s="4" t="s">
        <v>61</v>
      </c>
    </row>
    <row r="8" spans="1:6" ht="17">
      <c r="A8" s="1" t="s">
        <v>62</v>
      </c>
      <c r="B8" s="2">
        <f>COUNTIF('Handover Report'!O5:O104,"Closed")</f>
        <v>1</v>
      </c>
      <c r="C8" s="3"/>
      <c r="D8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Handover Report</vt:lpstr>
      <vt:lpstr>Detail Temuan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Sekar Desti Leianti</cp:lastModifiedBy>
  <dcterms:created xsi:type="dcterms:W3CDTF">2026-09-25T02:05:00Z</dcterms:created>
  <dcterms:modified xsi:type="dcterms:W3CDTF">2026-09-25T02:09:57Z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BE33B494229A4AB2A05F55376A6F40F4_12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