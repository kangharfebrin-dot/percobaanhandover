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MT POLA SEWA" sheetId="1" r:id="rId5"/>
    <sheet state="visible" name="Data MT Pola Sewa" sheetId="2" r:id="rId6"/>
    <sheet state="visible" name="Sheet50" sheetId="3" r:id="rId7"/>
    <sheet state="hidden" name="Data aplikasi" sheetId="4" r:id="rId8"/>
    <sheet state="hidden" name="Sheet21" sheetId="5" r:id="rId9"/>
    <sheet state="hidden" name="Sheet38" sheetId="6" r:id="rId10"/>
    <sheet state="hidden" name="Sheet39" sheetId="7" r:id="rId11"/>
    <sheet state="visible" name="DASHBOARD MT POLA TARIF" sheetId="8" r:id="rId12"/>
    <sheet state="visible" name="Data MT Pola Tarif" sheetId="9" r:id="rId13"/>
    <sheet state="visible" name="MT AFKIR TAHUN 2027" sheetId="10" r:id="rId14"/>
    <sheet state="hidden" name="Checklist KIM Maret" sheetId="11" r:id="rId15"/>
    <sheet state="hidden" name="Copy of Data MT Pola Sewa" sheetId="12" r:id="rId16"/>
    <sheet state="visible" name="DATA MT TERJADWAL AFKIR 2026" sheetId="13" r:id="rId17"/>
    <sheet state="hidden" name="Sheet8" sheetId="14" r:id="rId18"/>
    <sheet state="hidden" name="Sheet7" sheetId="15" r:id="rId19"/>
    <sheet state="visible" name="DATA MT TERJADWAL AFKIR " sheetId="16" r:id="rId20"/>
    <sheet state="visible" name="DATA MT TERJADWAL AFKIR" sheetId="17" r:id="rId21"/>
    <sheet state="visible" name="MT Afkir" sheetId="18" r:id="rId22"/>
    <sheet state="visible" name="Copy of Data MT Pola Sewa 3" sheetId="19" r:id="rId23"/>
    <sheet state="visible" name="DATA B3" sheetId="20" r:id="rId24"/>
    <sheet state="visible" name="Copy of DASHBOARD MT POLA SEWA" sheetId="21" r:id="rId25"/>
    <sheet state="visible" name="DATA EXP TERA" sheetId="22" r:id="rId26"/>
    <sheet state="visible" name="Data MT Lawas" sheetId="23" r:id="rId27"/>
    <sheet state="visible" name="MT Lengkap" sheetId="24" r:id="rId28"/>
    <sheet state="visible" name="Copy of Sheet1" sheetId="25" r:id="rId29"/>
  </sheets>
  <definedNames>
    <definedName hidden="1" localSheetId="0" name="_xlnm._FilterDatabase">'DASHBOARD MT POLA SEWA'!$B$2:$AG$125</definedName>
    <definedName hidden="1" localSheetId="1" name="_xlnm._FilterDatabase">'Data MT Pola Sewa'!$A$4:$AI$89</definedName>
    <definedName hidden="1" localSheetId="4" name="_xlnm._FilterDatabase">Sheet21!$B$6:$AG$86</definedName>
    <definedName hidden="1" localSheetId="5" name="_xlnm._FilterDatabase">Sheet38!$B$1:$D$983</definedName>
    <definedName hidden="1" localSheetId="6" name="_xlnm._FilterDatabase">Sheet39!$A$1:$D$16</definedName>
    <definedName hidden="1" localSheetId="7" name="_xlnm._FilterDatabase">'DASHBOARD MT POLA TARIF'!$B$2:$AA$128</definedName>
    <definedName hidden="1" localSheetId="11" name="_xlnm._FilterDatabase">'Copy of Data MT Pola Sewa'!$A$4:$AI$91</definedName>
    <definedName hidden="1" localSheetId="12" name="_xlnm._FilterDatabase">'DATA MT TERJADWAL AFKIR 2026'!$A$4:$AF$81</definedName>
    <definedName hidden="1" localSheetId="18" name="_xlnm._FilterDatabase">'Copy of Data MT Pola Sewa 3'!$A$4:$AI$86</definedName>
    <definedName hidden="1" localSheetId="19" name="_xlnm._FilterDatabase">'DATA B3'!$B$4:$I$30</definedName>
    <definedName hidden="1" localSheetId="20" name="_xlnm._FilterDatabase">'Copy of DASHBOARD MT POLA SEWA'!$B$2:$AG$144</definedName>
    <definedName hidden="1" localSheetId="21" name="_xlnm._FilterDatabase">'DATA EXP TERA'!$B$2:$D$74</definedName>
    <definedName hidden="1" localSheetId="23" name="_xlnm._FilterDatabase">'MT Lengkap'!$A$1:$BC$91</definedName>
    <definedName hidden="1" localSheetId="24" name="_xlnm._FilterDatabase">'Copy of Sheet1'!$A$1:$X$84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tc={399037c6-0dcf-47ca-905f-9890848b03c3}</author>
  </authors>
  <commentList>
    <comment authorId="0" xr:uid="{399037c6-0dcf-47ca-905f-9890848b03c3}" ref="A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MT Perbantuan ke Plumpang dan Di Tera Ulang di Plumpang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3">
      <text>
        <t xml:space="preserve">MT DIPINDAHKAN KE IT CILACAP SLEKO</t>
      </text>
    </comment>
    <comment authorId="0" ref="B62">
      <text>
        <t xml:space="preserve">MT DIPINDAHKAN KE IT CILACAP
SLEKO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6">
      <text>
        <t xml:space="preserve">MT DIPINDAHKAN KE IT CILACAP SLEKO</t>
      </text>
    </comment>
    <comment authorId="0" ref="B55">
      <text>
        <t xml:space="preserve">MT DIPINDAHKAN KE IT CILACAP
SLEKO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MT DIPINDAHKAN KE IT CILACAP
SLEKO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2">
      <text>
        <t xml:space="preserve">MT Baru Belum Ada di Siod dan Onefis</t>
      </text>
    </comment>
    <comment authorId="0" ref="A26">
      <text>
        <t xml:space="preserve">MT Baru Belum Ada di Siod dan Onefis</t>
      </text>
    </comment>
    <comment authorId="0" ref="A25">
      <text>
        <t xml:space="preserve">MT Baru Belum Ada di Siod dan Onefis</t>
      </text>
    </comment>
    <comment authorId="0" ref="A24">
      <text>
        <t xml:space="preserve">MT Baru Belum Ada di Siod dan Onefis</t>
      </text>
    </comment>
    <comment authorId="0" ref="A23">
      <text>
        <t xml:space="preserve">MT Baru Belum Ada di Siod dan Onefis</t>
      </text>
    </comment>
  </commentList>
</comments>
</file>

<file path=xl/sharedStrings.xml><?xml version="1.0" encoding="utf-8"?>
<sst xmlns="http://schemas.openxmlformats.org/spreadsheetml/2006/main" count="13494" uniqueCount="1393">
  <si>
    <t>MT POLASEWA</t>
  </si>
  <si>
    <t xml:space="preserve"> DASHBOARD DATA POLA SEWA</t>
  </si>
  <si>
    <t>NO</t>
  </si>
  <si>
    <t>NOPOL</t>
  </si>
  <si>
    <t>TRANSPORTIR</t>
  </si>
  <si>
    <t>KAP</t>
  </si>
  <si>
    <t>B9504TEI</t>
  </si>
  <si>
    <t>UPDATE MOBIL TANGKI FT MAOS</t>
  </si>
  <si>
    <t>PT. ADAM TRANS</t>
  </si>
  <si>
    <t>R9519EM</t>
  </si>
  <si>
    <t>TAHUN 2025</t>
  </si>
  <si>
    <t>PT. Katraco Putra Selaras</t>
  </si>
  <si>
    <t>B9505TEI</t>
  </si>
  <si>
    <t>R9356BM</t>
  </si>
  <si>
    <t>B9520TEI</t>
  </si>
  <si>
    <t>B9067SFW</t>
  </si>
  <si>
    <t>PT. Trifilosofi Utility Indonesia</t>
  </si>
  <si>
    <t>B9810TEI</t>
  </si>
  <si>
    <t>R9707DT</t>
  </si>
  <si>
    <t>PT. Serayu Mitra Jaya</t>
  </si>
  <si>
    <t>B9811TEI</t>
  </si>
  <si>
    <t>R8315IT</t>
  </si>
  <si>
    <t>B9812TEI</t>
  </si>
  <si>
    <t>R8316IT</t>
  </si>
  <si>
    <t>B9300TFV</t>
  </si>
  <si>
    <t>R9130B</t>
  </si>
  <si>
    <t>B9378TFV</t>
  </si>
  <si>
    <t>R9131B</t>
  </si>
  <si>
    <t>B9376TFV</t>
  </si>
  <si>
    <t>H8965OA</t>
  </si>
  <si>
    <t>PT. Sumber Trans Niaga</t>
  </si>
  <si>
    <t>B9290TFV</t>
  </si>
  <si>
    <t>H8966OA</t>
  </si>
  <si>
    <t>B9355TFV</t>
  </si>
  <si>
    <t>H8023OF</t>
  </si>
  <si>
    <t>R8435CM</t>
  </si>
  <si>
    <t>PT. KATRACO PUTRA SELARAS</t>
  </si>
  <si>
    <t>H8024OF</t>
  </si>
  <si>
    <t>B9570SEI</t>
  </si>
  <si>
    <t>PT. ELNUSA PETROFIN</t>
  </si>
  <si>
    <t>H9730OF</t>
  </si>
  <si>
    <t>B9697SFV</t>
  </si>
  <si>
    <t>L8381UCA</t>
  </si>
  <si>
    <t>PT. Almira Distribusi Dan Gas</t>
  </si>
  <si>
    <t>B9061SFV</t>
  </si>
  <si>
    <t>L8397UCA</t>
  </si>
  <si>
    <t>E9225YC</t>
  </si>
  <si>
    <t>PT. PUSPITA CIPTA</t>
  </si>
  <si>
    <t>AB8463UF</t>
  </si>
  <si>
    <t>Tanggal  STNK</t>
  </si>
  <si>
    <t>PT. Wijaya Sakti Abadi</t>
  </si>
  <si>
    <t>E9264YC</t>
  </si>
  <si>
    <t>AB8086NA</t>
  </si>
  <si>
    <t>E9334YC</t>
  </si>
  <si>
    <t>E9335YC</t>
  </si>
  <si>
    <t>E9412YC</t>
  </si>
  <si>
    <t>E9453YC</t>
  </si>
  <si>
    <t>E9450YC</t>
  </si>
  <si>
    <t>E9445YC</t>
  </si>
  <si>
    <t>E9552YC</t>
  </si>
  <si>
    <t xml:space="preserve">Tanggal PAJAK </t>
  </si>
  <si>
    <t>Tanggal KEUR</t>
  </si>
  <si>
    <t>E9554YC</t>
  </si>
  <si>
    <t>Tanggal KIM</t>
  </si>
  <si>
    <t>E9556YC</t>
  </si>
  <si>
    <t>Tanggal Tera</t>
  </si>
  <si>
    <t>E9493YC</t>
  </si>
  <si>
    <t>Tanggal KEDAP</t>
  </si>
  <si>
    <t>E9495YC</t>
  </si>
  <si>
    <t>E9496YC</t>
  </si>
  <si>
    <t>E9512YC</t>
  </si>
  <si>
    <t>E9535YC</t>
  </si>
  <si>
    <t>E9536YC</t>
  </si>
  <si>
    <t>E9537YC</t>
  </si>
  <si>
    <t>E9542YC</t>
  </si>
  <si>
    <t>E9547YC</t>
  </si>
  <si>
    <t>B9425TEK</t>
  </si>
  <si>
    <t>N9086UI</t>
  </si>
  <si>
    <t>PT. SINAR WAHANA SURYA</t>
  </si>
  <si>
    <t>N9326UI</t>
  </si>
  <si>
    <t>N8533UG</t>
  </si>
  <si>
    <t>N9369UI</t>
  </si>
  <si>
    <t>STNK</t>
  </si>
  <si>
    <t>N9657UI</t>
  </si>
  <si>
    <t>N9405UH</t>
  </si>
  <si>
    <t>PT. DHARMA CITRA ENERGY</t>
  </si>
  <si>
    <t>N9865UJ</t>
  </si>
  <si>
    <t>N8864UG</t>
  </si>
  <si>
    <t>N8641UH</t>
  </si>
  <si>
    <t>N8869UF</t>
  </si>
  <si>
    <t>PAJAK KENDARAAN</t>
  </si>
  <si>
    <t>N8021UEA</t>
  </si>
  <si>
    <t>N8054UEA</t>
  </si>
  <si>
    <t>R9839BR</t>
  </si>
  <si>
    <t>PT. SATU HATI</t>
  </si>
  <si>
    <t>R9238IH</t>
  </si>
  <si>
    <t>KEUR</t>
  </si>
  <si>
    <t>R9237IH</t>
  </si>
  <si>
    <t>R9674B</t>
  </si>
  <si>
    <t>KIM</t>
  </si>
  <si>
    <t>PT. SERAYU MITRA JAYA</t>
  </si>
  <si>
    <t>R9675B</t>
  </si>
  <si>
    <t>R8114K</t>
  </si>
  <si>
    <t>R9564B</t>
  </si>
  <si>
    <t>AA8860OF</t>
  </si>
  <si>
    <t>PT. TANAH PUTIH</t>
  </si>
  <si>
    <t>AA8410OP</t>
  </si>
  <si>
    <t>KETERANGAN</t>
  </si>
  <si>
    <t>H9390OF</t>
  </si>
  <si>
    <t>PT. ADHI BUANA PERSADA</t>
  </si>
  <si>
    <t>H9391OF</t>
  </si>
  <si>
    <t>H9392OF</t>
  </si>
  <si>
    <t>NO POL LAMA YANG DIGANTI</t>
  </si>
  <si>
    <t>H9677OF</t>
  </si>
  <si>
    <t>H9698OF</t>
  </si>
  <si>
    <t>H9155OF</t>
  </si>
  <si>
    <t>PT. LUMAS PRIMA</t>
  </si>
  <si>
    <t>H9771OF</t>
  </si>
  <si>
    <t>PT. LUMAS BIRU MANDIRI</t>
  </si>
  <si>
    <t>H8481OH</t>
  </si>
  <si>
    <t>H8428OH</t>
  </si>
  <si>
    <t>H9536OH</t>
  </si>
  <si>
    <t>H9013OH</t>
  </si>
  <si>
    <t>G9534OA</t>
  </si>
  <si>
    <t>PT. MURNI ADHI DUKUH JAYA</t>
  </si>
  <si>
    <t>G9532OA</t>
  </si>
  <si>
    <t>TAHUN PEMBUATAN</t>
  </si>
  <si>
    <t>G9214OA</t>
  </si>
  <si>
    <t>REGISTRASI</t>
  </si>
  <si>
    <t>AD8603OH</t>
  </si>
  <si>
    <t>MASA PEMAKAIAN HEAD</t>
  </si>
  <si>
    <t>TYPE</t>
  </si>
  <si>
    <t>CC</t>
  </si>
  <si>
    <t>PT. KARYAMAS NIAGA MANUNGGAL JAYA</t>
  </si>
  <si>
    <t>AD8618OH</t>
  </si>
  <si>
    <t>B9022SFV</t>
  </si>
  <si>
    <t>EMISI MESIN</t>
  </si>
  <si>
    <t>JENIS (PTO/Standart)</t>
  </si>
  <si>
    <t>KAROSERI</t>
  </si>
  <si>
    <t>TAHUN TANGKI</t>
  </si>
  <si>
    <t>MASA PEMAKAIAN TANGKI</t>
  </si>
  <si>
    <t>MATERIAL TANGKI</t>
  </si>
  <si>
    <t>PT. PERTAMINA PATRA NIAGA</t>
  </si>
  <si>
    <t>MERK</t>
  </si>
  <si>
    <t>NO MESIN</t>
  </si>
  <si>
    <t>B9077SEI</t>
  </si>
  <si>
    <t>NO RANGKA</t>
  </si>
  <si>
    <t>B9223SFV</t>
  </si>
  <si>
    <t>Status</t>
  </si>
  <si>
    <t>B9106SEI</t>
  </si>
  <si>
    <t>B9234SFV</t>
  </si>
  <si>
    <t xml:space="preserve">Asuransi </t>
  </si>
  <si>
    <t>B9246SFV</t>
  </si>
  <si>
    <t>8+8+8</t>
  </si>
  <si>
    <t>H9739OH</t>
  </si>
  <si>
    <t>H9740OH</t>
  </si>
  <si>
    <t>B9298SFW</t>
  </si>
  <si>
    <t>B9299SFW</t>
  </si>
  <si>
    <t>SG8JE1BXGJ TRHEAD 4X2</t>
  </si>
  <si>
    <t>EURO 2</t>
  </si>
  <si>
    <t>Standart</t>
  </si>
  <si>
    <t>Geluran Adikarya</t>
  </si>
  <si>
    <t>AA</t>
  </si>
  <si>
    <t>HINO</t>
  </si>
  <si>
    <t>J08EWKJ10358</t>
  </si>
  <si>
    <t>MJESG8JE1GJX10556</t>
  </si>
  <si>
    <t>TUGU</t>
  </si>
  <si>
    <t xml:space="preserve">AKTIF </t>
  </si>
  <si>
    <t>FT Maos</t>
  </si>
  <si>
    <t>MT Kontrak</t>
  </si>
  <si>
    <t>MT Tersedia</t>
  </si>
  <si>
    <t>MT Rusak Berat</t>
  </si>
  <si>
    <t>MT Afkir</t>
  </si>
  <si>
    <t>MT Operasi</t>
  </si>
  <si>
    <t>J08EWKJ10357</t>
  </si>
  <si>
    <t>MJESG8JE1GJX10555</t>
  </si>
  <si>
    <t>JADWAL PASANGAN KERJA AMT &amp; MT BBM/BBK</t>
  </si>
  <si>
    <t>PERIODE BULAN APRIL 2026</t>
  </si>
  <si>
    <t>Reguler</t>
  </si>
  <si>
    <t>FUEL TERMINAL MAOS</t>
  </si>
  <si>
    <t>No</t>
  </si>
  <si>
    <t>Kap MT (KL)</t>
  </si>
  <si>
    <t>Jumlah</t>
  </si>
  <si>
    <t>Daya Angkut (KL)</t>
  </si>
  <si>
    <t>SG8JE1B-EGJ TRHEAD 4X2</t>
  </si>
  <si>
    <t>VOL</t>
  </si>
  <si>
    <t>J08EUFJ79409</t>
  </si>
  <si>
    <t>MJESG8JE1GJE10781</t>
  </si>
  <si>
    <t>RB</t>
  </si>
  <si>
    <t>KM</t>
  </si>
  <si>
    <t>JM</t>
  </si>
  <si>
    <t>SB</t>
  </si>
  <si>
    <t>MG</t>
  </si>
  <si>
    <t>SN</t>
  </si>
  <si>
    <t>SL</t>
  </si>
  <si>
    <t>1.</t>
  </si>
  <si>
    <t>AA 8410 OP</t>
  </si>
  <si>
    <t>GKE2804X2TWB3500MM/MT</t>
  </si>
  <si>
    <t>OFF</t>
  </si>
  <si>
    <t>UD TRUCKS</t>
  </si>
  <si>
    <t>GH8464346A1P</t>
  </si>
  <si>
    <t>MHHGKZ30CJK805140</t>
  </si>
  <si>
    <t>AA 8860 OF</t>
  </si>
  <si>
    <t>TUGU (MANDIRI)</t>
  </si>
  <si>
    <t>AD 8603 OH</t>
  </si>
  <si>
    <t>2.</t>
  </si>
  <si>
    <t>AD 8618 OH</t>
  </si>
  <si>
    <t>B 9022 SFV</t>
  </si>
  <si>
    <t>B 9061 SFV</t>
  </si>
  <si>
    <t>B 9077 SEI</t>
  </si>
  <si>
    <t>GH8464335A1P</t>
  </si>
  <si>
    <t>MHHGKZ30CJK805139</t>
  </si>
  <si>
    <t>B 9106 SEI</t>
  </si>
  <si>
    <t>B 9223 SFV</t>
  </si>
  <si>
    <t>B 9234 SFV</t>
  </si>
  <si>
    <t>B 9246 SFU</t>
  </si>
  <si>
    <t>B 9290 TFV</t>
  </si>
  <si>
    <t>B 9300 TFV</t>
  </si>
  <si>
    <t>B 9355 TFV</t>
  </si>
  <si>
    <t>B 9376 TFV</t>
  </si>
  <si>
    <t>B 9378 TFV</t>
  </si>
  <si>
    <t>3.</t>
  </si>
  <si>
    <t>B 9504 TEI</t>
  </si>
  <si>
    <t>B 9505 TEI</t>
  </si>
  <si>
    <t>B 9520 TEI</t>
  </si>
  <si>
    <t>B 9570 SEI</t>
  </si>
  <si>
    <t>GH8464344A1P</t>
  </si>
  <si>
    <t>B 9697 SFV</t>
  </si>
  <si>
    <t>MHHGKZ30CJK805137</t>
  </si>
  <si>
    <t>B 9800 SFU</t>
  </si>
  <si>
    <t>B 9805 SFU</t>
  </si>
  <si>
    <t>B 9810 TEI</t>
  </si>
  <si>
    <t>B 9811 TEI</t>
  </si>
  <si>
    <t>B 9812 TEI</t>
  </si>
  <si>
    <t>E 9225 YC</t>
  </si>
  <si>
    <t>E 9264 YC</t>
  </si>
  <si>
    <t>E 9334 YC</t>
  </si>
  <si>
    <t>4.</t>
  </si>
  <si>
    <t>E 9335 YC</t>
  </si>
  <si>
    <t>E 9412 YC</t>
  </si>
  <si>
    <t>8+8</t>
  </si>
  <si>
    <t>E 9445 YC</t>
  </si>
  <si>
    <t>FL8JN2A-PGJ</t>
  </si>
  <si>
    <t>EURO 4</t>
  </si>
  <si>
    <t>E 9450 YC</t>
  </si>
  <si>
    <t>CS</t>
  </si>
  <si>
    <t>J08EWEJ12088</t>
  </si>
  <si>
    <t>E 9453 YC</t>
  </si>
  <si>
    <t>MJEFL8JN2NJP10126</t>
  </si>
  <si>
    <t>E 9493 YC</t>
  </si>
  <si>
    <t>E 9495 YC</t>
  </si>
  <si>
    <t>E 9496 YC</t>
  </si>
  <si>
    <t>E 9512 YC</t>
  </si>
  <si>
    <t>E 9535 YC</t>
  </si>
  <si>
    <t>E 9536 YC</t>
  </si>
  <si>
    <t>E 9537 YC</t>
  </si>
  <si>
    <t>E 9542 YC</t>
  </si>
  <si>
    <t>E 9547 YC</t>
  </si>
  <si>
    <t>E 9552 YC</t>
  </si>
  <si>
    <t>R1880CK</t>
  </si>
  <si>
    <t>5.</t>
  </si>
  <si>
    <t>E 9556 YC</t>
  </si>
  <si>
    <t>E 9557 YB</t>
  </si>
  <si>
    <t>G 9047 OA</t>
  </si>
  <si>
    <t>G 9214 OA</t>
  </si>
  <si>
    <t>2523 R/4500 6X2 MT</t>
  </si>
  <si>
    <t>EURO 5</t>
  </si>
  <si>
    <t>Meco</t>
  </si>
  <si>
    <t>G 9532OA</t>
  </si>
  <si>
    <t>H 8428 OH</t>
  </si>
  <si>
    <t>MERCEDES BENZ</t>
  </si>
  <si>
    <t>400952D0139091</t>
  </si>
  <si>
    <t>H 8481 OH</t>
  </si>
  <si>
    <t>MEC2126BAPP133277</t>
  </si>
  <si>
    <t>H 9013 OH</t>
  </si>
  <si>
    <t>H 9155 OF</t>
  </si>
  <si>
    <t>H 9390 OF</t>
  </si>
  <si>
    <t>H 9391 OF</t>
  </si>
  <si>
    <t>H 9392 OF</t>
  </si>
  <si>
    <t>H 9536 OH</t>
  </si>
  <si>
    <t>H 9677 OF</t>
  </si>
  <si>
    <t>Menggantikan MT AA1895FP PT. TANAH PUTIH</t>
  </si>
  <si>
    <t>H 9698 OF</t>
  </si>
  <si>
    <t>H 9771 OF</t>
  </si>
  <si>
    <t>Dst…</t>
  </si>
  <si>
    <t>N 8021 UEA</t>
  </si>
  <si>
    <t>N 8054 UEA</t>
  </si>
  <si>
    <t>N 8533 UG</t>
  </si>
  <si>
    <t>N 8641 UH</t>
  </si>
  <si>
    <t>N 8864 UG</t>
  </si>
  <si>
    <t>N 8869 UF</t>
  </si>
  <si>
    <t>400952D0139088</t>
  </si>
  <si>
    <t>MEC2126BAPP133268</t>
  </si>
  <si>
    <t>N 9086 UI</t>
  </si>
  <si>
    <t>N 9326 UI</t>
  </si>
  <si>
    <t>N 9369 UI</t>
  </si>
  <si>
    <t>N 9405 UH</t>
  </si>
  <si>
    <t>N 9657 UI</t>
  </si>
  <si>
    <t>N 9865 UJ</t>
  </si>
  <si>
    <t>R 8114 K</t>
  </si>
  <si>
    <t>R 8435 CM</t>
  </si>
  <si>
    <t>R 9237 IH</t>
  </si>
  <si>
    <t>Menggantikan MT AA1894FP PT. TANAH PUTIH</t>
  </si>
  <si>
    <t>R 9238 IH</t>
  </si>
  <si>
    <t>Total</t>
  </si>
  <si>
    <t>R 9564 B</t>
  </si>
  <si>
    <t>R 9674 B</t>
  </si>
  <si>
    <t>R 9675 B</t>
  </si>
  <si>
    <t>R 9839 BR</t>
  </si>
  <si>
    <t>SG8JF2B-XGJ</t>
  </si>
  <si>
    <t>J08EWDJ13408</t>
  </si>
  <si>
    <t>MJESG8JF2NJX102576</t>
  </si>
  <si>
    <t>Menggantikan MT R 1892 DK PT Gelora yang afkir dan tidak diremajakan</t>
  </si>
  <si>
    <t>J08EWOJ13150</t>
  </si>
  <si>
    <t>MJESG8JF2NJX10254</t>
  </si>
  <si>
    <t>Menggantikan MT R 1893 DK PT Gelora yang afkir dan tidak diremajakan</t>
  </si>
  <si>
    <t>PTO</t>
  </si>
  <si>
    <t>SG8JF2B-XGJ (4X2)</t>
  </si>
  <si>
    <t>J08EWDJ15223</t>
  </si>
  <si>
    <t>MJESG8JF2NJX10417</t>
  </si>
  <si>
    <t>J08EWDJ23806</t>
  </si>
  <si>
    <t>MJESG8JF2PJX10725</t>
  </si>
  <si>
    <t>MANDIRI</t>
  </si>
  <si>
    <t>Menggantikan MT R 1837 DD PT Katraco Putra Selaras</t>
  </si>
  <si>
    <t>4+4</t>
  </si>
  <si>
    <t>FG8JK2A-PGJ</t>
  </si>
  <si>
    <t>JO8EWEJ15259</t>
  </si>
  <si>
    <t>MJEFG8JK2NJP1018</t>
  </si>
  <si>
    <t>Menggantikan MT AA1959EF PT. TANAH PUTIH</t>
  </si>
  <si>
    <t>CDE250 6X2R WB5100MM</t>
  </si>
  <si>
    <t>GH8465224A1P</t>
  </si>
  <si>
    <t>JPCZX22C8JT020521</t>
  </si>
  <si>
    <t>Aweco</t>
  </si>
  <si>
    <t>J08EWDJ13442</t>
  </si>
  <si>
    <t>MJESG8JF2NJX10278</t>
  </si>
  <si>
    <t>Menggantikan MT E 9632 YA sama-sama PT Puspita Cipta</t>
  </si>
  <si>
    <t>4028T</t>
  </si>
  <si>
    <t>400953D0138582</t>
  </si>
  <si>
    <t>MFJ400262PJ002047</t>
  </si>
  <si>
    <t>Menggantikan MT E9629YA sama-sama PT Puspita Cipta</t>
  </si>
  <si>
    <t>400953D0141214</t>
  </si>
  <si>
    <t>MFJ400262PJ002664</t>
  </si>
  <si>
    <t>Menggantikan MT E 9795 YA sama-sama PT Puspita Cipta afkir setelah dispensasi ke 4 tgl 27 Januari 2024</t>
  </si>
  <si>
    <t>400953D0141220</t>
  </si>
  <si>
    <t>MFJ400262PJ002663</t>
  </si>
  <si>
    <t>Menggantikan MT E 9854 YA sama-sama PT Puspita Cipta afkir setelah dispensasi 3 sd 27 Februari 2024</t>
  </si>
  <si>
    <t>400953D0157253</t>
  </si>
  <si>
    <t>MFJ400262RJ003239</t>
  </si>
  <si>
    <t>Meremajakan MT E 9212 YB</t>
  </si>
  <si>
    <t>400953D0159864</t>
  </si>
  <si>
    <t>MFJ400262RJ003559</t>
  </si>
  <si>
    <t>Nopol</t>
  </si>
  <si>
    <t>Kap</t>
  </si>
  <si>
    <t>Transportir</t>
  </si>
  <si>
    <t>Checklist jika sudah</t>
  </si>
  <si>
    <t>Meremajakan MT E9260YB</t>
  </si>
  <si>
    <t>400953D0157415</t>
  </si>
  <si>
    <t>MFJ400262RJ003252</t>
  </si>
  <si>
    <t>B9800SFU</t>
  </si>
  <si>
    <t>B9805SFU</t>
  </si>
  <si>
    <t>Peremajaan dari MT E9256YB</t>
  </si>
  <si>
    <t>400953D0160558</t>
  </si>
  <si>
    <t>MFJ400262RJ003564</t>
  </si>
  <si>
    <t>Meremajakan MT E9330YB</t>
  </si>
  <si>
    <t>400953D0195229</t>
  </si>
  <si>
    <t>MFJ400262SJ004827</t>
  </si>
  <si>
    <t>Peremajaan E9553YB</t>
  </si>
  <si>
    <t>400953D0195257</t>
  </si>
  <si>
    <t>MFJ400262SJ004829</t>
  </si>
  <si>
    <t>Peremajaan E9557YB</t>
  </si>
  <si>
    <t>400953D0195053</t>
  </si>
  <si>
    <t>MFJ400262SJ004770</t>
  </si>
  <si>
    <t>Peremajaan E9560YB</t>
  </si>
  <si>
    <t>4028 T</t>
  </si>
  <si>
    <t>400953D0177908</t>
  </si>
  <si>
    <t>MFJ400262SJ004431</t>
  </si>
  <si>
    <t>Meremajakan MT E9389YB</t>
  </si>
  <si>
    <t>400953D0177976</t>
  </si>
  <si>
    <t>MFJ400262SJ004430</t>
  </si>
  <si>
    <t>Meremajakan MT E9390YB</t>
  </si>
  <si>
    <t>400953DO177878</t>
  </si>
  <si>
    <t>MFJ400262SJ004429</t>
  </si>
  <si>
    <t>Meremajakan MT E9391YB</t>
  </si>
  <si>
    <t>MFJ400262SJ004440</t>
  </si>
  <si>
    <t>Meremajakan MT E9446YB</t>
  </si>
  <si>
    <t>400953D0179262</t>
  </si>
  <si>
    <t>MFJ400262SJ004445</t>
  </si>
  <si>
    <t>R8253OT</t>
  </si>
  <si>
    <t>R8254OT</t>
  </si>
  <si>
    <t>Meremajakan MT E9452YB</t>
  </si>
  <si>
    <t>400953D0176070</t>
  </si>
  <si>
    <t>MFJ400262SJ004451</t>
  </si>
  <si>
    <t>Meremajakan MT E9453YB</t>
  </si>
  <si>
    <t>400953D0179282</t>
  </si>
  <si>
    <t>MFJ400262SJ004442</t>
  </si>
  <si>
    <t>DASHBOARD DATA SURAT SURAT MT POLA TARIF YANG AKAN HABIS</t>
  </si>
  <si>
    <t>Meremajakan MT E9454YB</t>
  </si>
  <si>
    <t>MFJ400262SJ004768</t>
  </si>
  <si>
    <t>Meremajakan MT E9456YB</t>
  </si>
  <si>
    <t>400953D0195081</t>
  </si>
  <si>
    <t>MFJ400262SJ004774</t>
  </si>
  <si>
    <t>Meremajakan MT E9457YB</t>
  </si>
  <si>
    <t>400953D0200583</t>
  </si>
  <si>
    <t>MFJ400262TJ005069</t>
  </si>
  <si>
    <t>Meremajakan MT E9258YB</t>
  </si>
  <si>
    <t>CDE 250 6X2R WB4300MM E5 ABS M/T</t>
  </si>
  <si>
    <t>GH8E583330C1P</t>
  </si>
  <si>
    <t>MFFCDA30GNK820477</t>
  </si>
  <si>
    <t>Menggantikan MT AA 8711 OF</t>
  </si>
  <si>
    <t>GHH8E585405C1P</t>
  </si>
  <si>
    <t>MFFCDA30GNK820478</t>
  </si>
  <si>
    <t>Menggantikan MT AA 8710 OF</t>
  </si>
  <si>
    <t>CDE 250 6X2R W84300MM E5 ABS M/T</t>
  </si>
  <si>
    <t>GH8E583332C1P</t>
  </si>
  <si>
    <t>MFFCDA30GNK820485</t>
  </si>
  <si>
    <t>AA1958EF milik PT Tanah Putih TIDAK DIREMAJAKAN (8 kl)</t>
  </si>
  <si>
    <t>GKE 280 4X2T WB3500MM E5 ABS M/T</t>
  </si>
  <si>
    <t>GH8E615245C1P</t>
  </si>
  <si>
    <t>MFFGKZ50CPK824652</t>
  </si>
  <si>
    <t>AA8717OF TIDAK DIREMAJAKAN (NO POL LAMA AA1878EF) milik PT Tanah Putih</t>
  </si>
  <si>
    <t>GH8E614660C1P</t>
  </si>
  <si>
    <t>MFFGKZ50CPK824657</t>
  </si>
  <si>
    <t>AA1938 DF milik PT Tanah Putih TIDAK DIREMAJAKAN</t>
  </si>
  <si>
    <t>GH8E582147C1P</t>
  </si>
  <si>
    <t>MFFCDA30GNK820182</t>
  </si>
  <si>
    <t>Menggantikan MT AA 8712 OF</t>
  </si>
  <si>
    <t>GH8E582150C1P</t>
  </si>
  <si>
    <t>MFFCDA30GNK820179</t>
  </si>
  <si>
    <t>AA8719OF milik PT Tanah Putih TIDAK DIREMAJAKAN (NO POL LAMA AA1858EF)</t>
  </si>
  <si>
    <t>GKE 280 4X2TWB3500MM E5 ABS M/T</t>
  </si>
  <si>
    <t>GH8E614745C1P</t>
  </si>
  <si>
    <t>MFFGKZ50CPK824655</t>
  </si>
  <si>
    <t>TIDAK DIREMAJAKAN (NO POL LAMA AA1875EF/AA8699OF) milik PT Tanah Putih</t>
  </si>
  <si>
    <t>CKE250 4X2R WB4600MM E5</t>
  </si>
  <si>
    <t>GH8E596448C1P</t>
  </si>
  <si>
    <t>JPCZA30A5PTO36998</t>
  </si>
  <si>
    <t>AA1936DF TIDAK DIREMAJAKAN milik PT Tanah Putih</t>
  </si>
  <si>
    <t>GH8E614935C1P</t>
  </si>
  <si>
    <t>MFFGKZ50CPK824654</t>
  </si>
  <si>
    <t>TIDAK DIREMAJAKAN (NO POL LAMA AA1876EF/AA8715OF) milik PT Tanah Putih</t>
  </si>
  <si>
    <t>CA1250P26K2L7T3E6A80</t>
  </si>
  <si>
    <t>FAW</t>
  </si>
  <si>
    <t>CA6DL129E553993424</t>
  </si>
  <si>
    <t>LFNDRUMN6PAD32237</t>
  </si>
  <si>
    <t>ASWATA (MANDIRI)</t>
  </si>
  <si>
    <t>Meremajakan R1871AT dri PT Gelora</t>
  </si>
  <si>
    <t>CA6DLD24E554034600</t>
  </si>
  <si>
    <t>LFNCRULN5RAC95018</t>
  </si>
  <si>
    <t>Meremajakan MT R 1889 GM Milik PT Katraco Putra Selaras</t>
  </si>
  <si>
    <t>FL280JT2A-XGJ</t>
  </si>
  <si>
    <t>J08EWDJ10975</t>
  </si>
  <si>
    <t>MJEFL8JT2NJX1004</t>
  </si>
  <si>
    <t>No pol lama R8772BR yang afkir dan diremajakan</t>
  </si>
  <si>
    <t>SG8JE1B-NGJ (SG260TH)</t>
  </si>
  <si>
    <t>J08EUFR17030</t>
  </si>
  <si>
    <t>MJESG8JE1LJE14712</t>
  </si>
  <si>
    <t>SG8JE1B-EGJ (SG260TH)</t>
  </si>
  <si>
    <t>J08EUFR17029</t>
  </si>
  <si>
    <t>MJESG8JE1LJE14711</t>
  </si>
  <si>
    <t>CDE 250 6x2R WB4300MM E5 ABS M/T</t>
  </si>
  <si>
    <t>GH8E569526C1P</t>
  </si>
  <si>
    <t>MFFCDA30GNK818519</t>
  </si>
  <si>
    <t>Menggantikan MT R9029DT (PERUBAHAN NO POL R1848EK) PT Gelora</t>
  </si>
  <si>
    <t>GH8E569522C1P</t>
  </si>
  <si>
    <t>MFFCDA30GNK818520</t>
  </si>
  <si>
    <t>No pol lama R 1883 CK yang afkir dan diremajakan</t>
  </si>
  <si>
    <t>FVM34U-NDYIN4 (TRONTON) 6X2 MT</t>
  </si>
  <si>
    <t>ISUZU</t>
  </si>
  <si>
    <t>6HK1F105741</t>
  </si>
  <si>
    <t>MHCFVM34NPJ000154</t>
  </si>
  <si>
    <t>Menggantikan MT R 1870 AT ex PT Gelora</t>
  </si>
  <si>
    <t>GKE 280 4X2T WB35OOMM E5 ABS M/T 9564-B</t>
  </si>
  <si>
    <t>GH8E56657OC1P</t>
  </si>
  <si>
    <t>MFFGKZ5OCNK81820</t>
  </si>
  <si>
    <t>Menggantikan MT AA 8713 OF PT Tanah Putih</t>
  </si>
  <si>
    <t>6HK1F102289</t>
  </si>
  <si>
    <t>MHCFVM34NNJ000103</t>
  </si>
  <si>
    <t>UPDATE MOBIL TANGKI POLA TARIF FT MAOS</t>
  </si>
  <si>
    <t>No pol lama AA1814FP yang afkir dan diremajakan PT Tanah Putih</t>
  </si>
  <si>
    <t>GVR34U-JDYIN4 (T-HEAD) 4X2 M/T</t>
  </si>
  <si>
    <t>TAHUN 2026</t>
  </si>
  <si>
    <t>6KH1F102095</t>
  </si>
  <si>
    <t>MHCGVR34JNJ000937</t>
  </si>
  <si>
    <t>NO POL</t>
  </si>
  <si>
    <t>Menggantikan MT AA1815FP dan diremajakan PT Tanah Putih</t>
  </si>
  <si>
    <t>TAHUN</t>
  </si>
  <si>
    <t>FL8JN2A-PGJ (6X2) M/T</t>
  </si>
  <si>
    <t>J08EWEJ16890</t>
  </si>
  <si>
    <t>MJEFL8JN2PJP10613</t>
  </si>
  <si>
    <t>SILINDER</t>
  </si>
  <si>
    <t>TANK BUILDER</t>
  </si>
  <si>
    <t>Menggantikan MT AA1804AP milik PT Tanah Putih</t>
  </si>
  <si>
    <t>Kekedapan</t>
  </si>
  <si>
    <t>Checklist</t>
  </si>
  <si>
    <t>J08EWEJ16893</t>
  </si>
  <si>
    <t>MJEFL8JN2PJP10614</t>
  </si>
  <si>
    <t xml:space="preserve">Tempo </t>
  </si>
  <si>
    <t>ASURANSI</t>
  </si>
  <si>
    <t>SIUP</t>
  </si>
  <si>
    <t>Keterangan</t>
  </si>
  <si>
    <t>Tanggal STNK</t>
  </si>
  <si>
    <t>Tanggal PAJAK</t>
  </si>
  <si>
    <t>Tanggal Kekedapan</t>
  </si>
  <si>
    <t>Tanggal</t>
  </si>
  <si>
    <t>Berlaku KIM</t>
  </si>
  <si>
    <t>Menggantikan MT AA1940DF milik PT Tanah Putih</t>
  </si>
  <si>
    <t>J08EWEJ16306</t>
  </si>
  <si>
    <t>MJEFL8JN2PJP10541</t>
  </si>
  <si>
    <t>Geluran</t>
  </si>
  <si>
    <t>XZU349R-HKMTBD3</t>
  </si>
  <si>
    <t>N04CWYJ30758</t>
  </si>
  <si>
    <t>MJECCB2F2R5020725</t>
  </si>
  <si>
    <t>Menggantikan MT AA1817FP milik PT Tanah Putih</t>
  </si>
  <si>
    <t>SG8JP2B-XGJ (4X2) M/T</t>
  </si>
  <si>
    <t>J08EWDJ29630</t>
  </si>
  <si>
    <t>MJESG8JF2PJX10938</t>
  </si>
  <si>
    <t>-</t>
  </si>
  <si>
    <t>WU342R-HKMTJD3 130HD</t>
  </si>
  <si>
    <t>W04DTRR91175</t>
  </si>
  <si>
    <t>MJEC1JG43N52011090</t>
  </si>
  <si>
    <t>menggantikan MT AA 1816 OF TIDAK DIREMAJAKAN (NO POL LAMA AA1874EF) milik PT Tanah Putih</t>
  </si>
  <si>
    <t>SG8JF2B-XGJ (4X2) M/T</t>
  </si>
  <si>
    <t>REMAJA BENGKEL</t>
  </si>
  <si>
    <t>J08EWDJ31728</t>
  </si>
  <si>
    <t>MJESG8JF2PJX11091</t>
  </si>
  <si>
    <t>J08EWEJ23772</t>
  </si>
  <si>
    <t>MJEFG8JK2SJP10441</t>
  </si>
  <si>
    <t>Penggantian MT PT. Post Energy Indonesia B9564PFU</t>
  </si>
  <si>
    <t>W04DTRR56350</t>
  </si>
  <si>
    <t>MJEC1JG43J5165969</t>
  </si>
  <si>
    <t>11/24/2026</t>
  </si>
  <si>
    <t>menggantikan MT AA 8714 OF TIDAK DIREMAJAKAN (NO POL LAMA AA1874EF) milik PT Tanah Putih</t>
  </si>
  <si>
    <t>WO4DTRR90755</t>
  </si>
  <si>
    <t>MJEC1JG43M5200800</t>
  </si>
  <si>
    <t>FVM34Q</t>
  </si>
  <si>
    <t>6HK1F006667</t>
  </si>
  <si>
    <t>MHCFVM341JJ000436</t>
  </si>
  <si>
    <t>W04DTRR90757</t>
  </si>
  <si>
    <t>MJEC1JG43M5200802</t>
  </si>
  <si>
    <t>WU342R-HKMTJD3 M/T</t>
  </si>
  <si>
    <t>W04DTRR85143</t>
  </si>
  <si>
    <t>MJEC1JG43M5195523</t>
  </si>
  <si>
    <t>11/15/2026</t>
  </si>
  <si>
    <t>08/20/2027</t>
  </si>
  <si>
    <t>No pol lama H1429FA</t>
  </si>
  <si>
    <t>W04DTRR85015</t>
  </si>
  <si>
    <t>MJEC1JG43M5195415</t>
  </si>
  <si>
    <t>11/26/2026</t>
  </si>
  <si>
    <t>J08EWEJ17352</t>
  </si>
  <si>
    <t>MJEFL8JN2PJP10693</t>
  </si>
  <si>
    <t>W04DTRR84263</t>
  </si>
  <si>
    <t>MJEC1JG43M5194863</t>
  </si>
  <si>
    <t>07/25/2026</t>
  </si>
  <si>
    <t>WO04DTRR84261</t>
  </si>
  <si>
    <t>MJEC1JG43M5194861</t>
  </si>
  <si>
    <t>09/17/2026</t>
  </si>
  <si>
    <t>Menggantikan mt no pol R9912CR (R1993DS PERUBAHAN NO POL (PERPANJANG PAJAK) PT Satu Hati tgl 22 Mei 2024 akan afkir dan tidak diremajakan (akan diremajakan oleh PT Lumas Biru Mandiri)</t>
  </si>
  <si>
    <t>J08EWEJ19776</t>
  </si>
  <si>
    <t>MJEFL8JN2RJP10944</t>
  </si>
  <si>
    <t>Antika Raya</t>
  </si>
  <si>
    <t>N04CWYJ1017</t>
  </si>
  <si>
    <t>MJECCB2F9N5000031</t>
  </si>
  <si>
    <t>N04CWYJ11170</t>
  </si>
  <si>
    <t>MJECCB2FXN5001124</t>
  </si>
  <si>
    <t>R1998DS PT SATU HATI TIDAK DIREMAJAKAN</t>
  </si>
  <si>
    <t>XZU349R-HKFTBD3 (4X2) M/T</t>
  </si>
  <si>
    <t>N04CWYJ21683</t>
  </si>
  <si>
    <t>MJECCB2F6P5011927</t>
  </si>
  <si>
    <t>FIGHTER FM65FS HI GEAR (4X2) M/T</t>
  </si>
  <si>
    <t>MITSUBISHI</t>
  </si>
  <si>
    <t>6M60305513</t>
  </si>
  <si>
    <t>MHMFM65GARK000495</t>
  </si>
  <si>
    <t>J08EWEJ23390</t>
  </si>
  <si>
    <t>MJEFG8JK2RJP10437</t>
  </si>
  <si>
    <t>FG8JK2A PGJ</t>
  </si>
  <si>
    <t>J08EWEJ24447</t>
  </si>
  <si>
    <t>MJEFG8JK26JP10451</t>
  </si>
  <si>
    <t>11/23/2026</t>
  </si>
  <si>
    <t>AA1937DF TIDAK DIREMAJAKAN milik PT Tanah Putih</t>
  </si>
  <si>
    <t>FL8JN2A-PGJ (6X2)M/T TRONTON</t>
  </si>
  <si>
    <t>MECO</t>
  </si>
  <si>
    <t>Standar</t>
  </si>
  <si>
    <t>J08EWEJ23732</t>
  </si>
  <si>
    <t>MJEFL8JN2RJP11444</t>
  </si>
  <si>
    <t>FG8JJ1D-BGJ 4X2</t>
  </si>
  <si>
    <t>J08EUGJ58252</t>
  </si>
  <si>
    <t>MJEFG8JJ1HJB-12558</t>
  </si>
  <si>
    <t>05/13/2026</t>
  </si>
  <si>
    <t>OFF MT PERUBAHAN POMET KE PTO</t>
  </si>
  <si>
    <t>Remaja Jaya</t>
  </si>
  <si>
    <t>W04DTRR85004</t>
  </si>
  <si>
    <t>MJECIJG43M5195394</t>
  </si>
  <si>
    <t>Nopol Lama B9141SFU</t>
  </si>
  <si>
    <t>FM8JN2D-XGJ</t>
  </si>
  <si>
    <t>DATA BLM SINKRON SCE</t>
  </si>
  <si>
    <t>TGL KIM = TGL KEUR</t>
  </si>
  <si>
    <t>J08EWDJ42293</t>
  </si>
  <si>
    <t>MJEFM8JN2RJX27440</t>
  </si>
  <si>
    <t>AFKIR</t>
  </si>
  <si>
    <t>PAJAK</t>
  </si>
  <si>
    <t>KEKEDAPAN</t>
  </si>
  <si>
    <t>B9564PFU</t>
  </si>
  <si>
    <t>PT. Post Energy Indonesia</t>
  </si>
  <si>
    <t>Bengawan</t>
  </si>
  <si>
    <t>J08EUGJ-50302</t>
  </si>
  <si>
    <t>MJEFG8JJ1FJB10514</t>
  </si>
  <si>
    <t>01 October 2025</t>
  </si>
  <si>
    <t>Meremakajan MT milik double gardan 16 KL B 9506 SFU</t>
  </si>
  <si>
    <t>15 January 2026</t>
  </si>
  <si>
    <t>SG8JF2B-XGJ M/T TRACTOR HEAD</t>
  </si>
  <si>
    <t>HINO 500</t>
  </si>
  <si>
    <t>J08EWDJ48244</t>
  </si>
  <si>
    <t>MJESG8JF2SJX12436</t>
  </si>
  <si>
    <t>Afkir di gantikan PT Trifilosofi B9067SFW</t>
  </si>
  <si>
    <t>12/29/2026</t>
  </si>
  <si>
    <t>11/13/2026</t>
  </si>
  <si>
    <t>12/22/2026</t>
  </si>
  <si>
    <t>MEREMAJAKAN MT G9047OA</t>
  </si>
  <si>
    <t>J08EWDJ47926</t>
  </si>
  <si>
    <t>MJESG8JF2SJX12387</t>
  </si>
  <si>
    <t>MEREMAJAKAN MT G9048OA</t>
  </si>
  <si>
    <t>J08EWDJ10869</t>
  </si>
  <si>
    <t>MJESG8JF2NJX10053</t>
  </si>
  <si>
    <t>GVR34U-JDYIN4</t>
  </si>
  <si>
    <t>6HK1F110090</t>
  </si>
  <si>
    <t>MHCGVR34JRJ002409</t>
  </si>
  <si>
    <t>SUNDAY (MANDIRI)</t>
  </si>
  <si>
    <t>6HK1F110089</t>
  </si>
  <si>
    <t>MHCGVR34JRJ002410</t>
  </si>
  <si>
    <t>FL8JN1A-BGJ</t>
  </si>
  <si>
    <t>Jo8EUGJ59273</t>
  </si>
  <si>
    <t>MJEFL8JN1HJB10879</t>
  </si>
  <si>
    <t>4028 T4X2 MT</t>
  </si>
  <si>
    <t>400951D0082705</t>
  </si>
  <si>
    <t>MEC2622CBKP082115</t>
  </si>
  <si>
    <t>CDE250 6X2R WB4300MM</t>
  </si>
  <si>
    <t>GH8502917A1P</t>
  </si>
  <si>
    <t>MHHCDX22GKK810812</t>
  </si>
  <si>
    <t>MT Switching dari B9699SFV ke IT Panjang</t>
  </si>
  <si>
    <t>Total Reg &amp; PTO</t>
  </si>
  <si>
    <t>400951D0081794</t>
  </si>
  <si>
    <t>MEC2622CBKP081282</t>
  </si>
  <si>
    <t>MT Switching dari B9774SFU dibawa ke IT Panjang</t>
  </si>
  <si>
    <t>GH8502925A1P</t>
  </si>
  <si>
    <t>MHHCDX22GKK810796</t>
  </si>
  <si>
    <t>GH8502901A1P</t>
  </si>
  <si>
    <t>MHHCDX22GKK810794</t>
  </si>
  <si>
    <t>HINO 500 SG8JF2B-XGJ M/T TRACTOR HEAD</t>
  </si>
  <si>
    <t>PT Geluran Adikarya</t>
  </si>
  <si>
    <t>Mild Steel</t>
  </si>
  <si>
    <t>J08EWDJ49606</t>
  </si>
  <si>
    <t>MJESG8JF2TJX12635</t>
  </si>
  <si>
    <t>MEREMAJAKAN MT G8107OA tgl 03/06/2026 ops</t>
  </si>
  <si>
    <t>J08EWDJ49584</t>
  </si>
  <si>
    <t>MJESG8JF2TJX12632</t>
  </si>
  <si>
    <t>MEREMAJAKAN MT G8107OA  tgl 03/06/2026 ops</t>
  </si>
  <si>
    <t>HINO FM8JN2D-XGJ</t>
  </si>
  <si>
    <t>PT Aweco Indosteel Perkasa</t>
  </si>
  <si>
    <t>J08EWDJ48878</t>
  </si>
  <si>
    <t>MJEFM8JN2SJX30625</t>
  </si>
  <si>
    <t>Meremajakan MT B9800SFU tgl 06/06/2026 ops</t>
  </si>
  <si>
    <t>J08EWDJ48881</t>
  </si>
  <si>
    <t>MJEFM8JN2SJX30626</t>
  </si>
  <si>
    <t>Meremajakan MT B98000FU tgl 06/06/2026 ops</t>
  </si>
  <si>
    <t>Pajak</t>
  </si>
  <si>
    <t>Keur</t>
  </si>
  <si>
    <t>tera</t>
  </si>
  <si>
    <t>MOBIL TANGKI POLA SEWA TERJADWAL AFKIR TAHUN 2027</t>
  </si>
  <si>
    <t>Berlaku</t>
  </si>
  <si>
    <t>Akan Habis</t>
  </si>
  <si>
    <t>G9047OA</t>
  </si>
  <si>
    <t>GKE 280 4X2TWB3500MM</t>
  </si>
  <si>
    <t>GH8-433556-A1-P</t>
  </si>
  <si>
    <t>MHHGKZ30CGK800911</t>
  </si>
  <si>
    <t>RENCANA VS REALISASI JADWAL CEKLIST MT</t>
  </si>
  <si>
    <t>G9048OA</t>
  </si>
  <si>
    <t>GH8-433583-A1-P</t>
  </si>
  <si>
    <t>MHHGKZ30CGK800912</t>
  </si>
  <si>
    <t>FVZ34P</t>
  </si>
  <si>
    <t>BULAN MARET 2026</t>
  </si>
  <si>
    <t>6HK1F003969</t>
  </si>
  <si>
    <t>MHCFVZ34PGJ003522</t>
  </si>
  <si>
    <t>6HK1F003970</t>
  </si>
  <si>
    <t>PLAN &amp; REALISASI</t>
  </si>
  <si>
    <t>NO POLISI</t>
  </si>
  <si>
    <t>PLAN</t>
  </si>
  <si>
    <t>V</t>
  </si>
  <si>
    <t>REALISASI</t>
  </si>
  <si>
    <t>Maos. 26 Februari 2026</t>
  </si>
  <si>
    <t>Dibuat :</t>
  </si>
  <si>
    <t>Disetujui:</t>
  </si>
  <si>
    <t>Mengetahui:</t>
  </si>
  <si>
    <t>Armada</t>
  </si>
  <si>
    <t>Site Supervisor Fleet</t>
  </si>
  <si>
    <t>Sr. Supervisor I Fuel RSD</t>
  </si>
  <si>
    <t>F. Wahyu Bientoro</t>
  </si>
  <si>
    <t>Dony Darsal</t>
  </si>
  <si>
    <t>M. Ippan Iswahyudi</t>
  </si>
  <si>
    <t>MT PLANNING AFKIR  2026</t>
  </si>
  <si>
    <t>E9553YB</t>
  </si>
  <si>
    <t>SG8JDKA-LGJ (SG260J)</t>
  </si>
  <si>
    <t>J08EUFJ70748</t>
  </si>
  <si>
    <t>MJES68JDKFJL17844</t>
  </si>
  <si>
    <t>R9694B</t>
  </si>
  <si>
    <t>GH8E574415CIP</t>
  </si>
  <si>
    <t>MFFCDA30GNK819059</t>
  </si>
  <si>
    <t>R8084K</t>
  </si>
  <si>
    <t>GH8E631540C1P</t>
  </si>
  <si>
    <t>MFFCDA30GRK826388</t>
  </si>
  <si>
    <t>E9557YB</t>
  </si>
  <si>
    <t>J08EUFJ70744</t>
  </si>
  <si>
    <t>MJES68JDKFJL17840</t>
  </si>
  <si>
    <t>E9560YB</t>
  </si>
  <si>
    <t>SG8JDKA-LGJ (SG260J) TRCTOR HEAD (4X2)</t>
  </si>
  <si>
    <t>J08EUFJ70628</t>
  </si>
  <si>
    <t>MJES68JDKFJL17808</t>
  </si>
  <si>
    <t>DISPENSASI SAMPAI 29/03/2026 (Afkir Per 16 Januari 2026)</t>
  </si>
  <si>
    <t>DISPENSASI SAMPAI 29/03/2026</t>
  </si>
  <si>
    <t>DISPENSASI SAMPAI 29/03/2026  (Afkir Per 16 Januari 2026)</t>
  </si>
  <si>
    <t>MT PLANNING AFKIR Januari - Juni 2026</t>
  </si>
  <si>
    <t>Dispensasi Sampai 29/03/2026</t>
  </si>
  <si>
    <t>Dispensasi Sampai 29/03/2027</t>
  </si>
  <si>
    <t>Dispensasi Sampai 29/03/2028</t>
  </si>
  <si>
    <t>Akan Afkir 05 Januari 2025</t>
  </si>
  <si>
    <t>Akan Afkir 05 Januari 2026</t>
  </si>
  <si>
    <t>Menggantikan MT R 1845 EK PT Gelora yang afkir dan tidak diremajakan</t>
  </si>
  <si>
    <t>Menggantikan MT R 1869 AT ex PT Gelora</t>
  </si>
  <si>
    <t>TMT AFKIR</t>
  </si>
  <si>
    <t>UNIT PENGGANTI</t>
  </si>
  <si>
    <t>R1869AT</t>
  </si>
  <si>
    <t>PT. GELORA PUTRA PERKASA</t>
  </si>
  <si>
    <t>FVM34O (6X2)</t>
  </si>
  <si>
    <t>6HK1F000136</t>
  </si>
  <si>
    <t>MHCFVM341EJ000225</t>
  </si>
  <si>
    <t>Tuesday, 03 September 2024</t>
  </si>
  <si>
    <t>PT. Serayu Mitrajaya</t>
  </si>
  <si>
    <t>Mutasi ke IT Cilacap Fuel / SLEKO</t>
  </si>
  <si>
    <t>R1870AT</t>
  </si>
  <si>
    <t>6HK1F000135</t>
  </si>
  <si>
    <t>MHCFVM341EJ000226</t>
  </si>
  <si>
    <t>R1871AT</t>
  </si>
  <si>
    <t>6HK1F000137</t>
  </si>
  <si>
    <t>MHCFVM341EJ000224</t>
  </si>
  <si>
    <t>PT. Dharma Citra Energy</t>
  </si>
  <si>
    <t>R1889GM</t>
  </si>
  <si>
    <t>FL8JNKA-GGJ (FL235JN)</t>
  </si>
  <si>
    <t>J08EUGJ44230</t>
  </si>
  <si>
    <t>MJEFL8JNKEJG22636</t>
  </si>
  <si>
    <t>Friday, 13 September 2024</t>
  </si>
  <si>
    <t>PT Dharma Citra Energi</t>
  </si>
  <si>
    <t>E9212YB</t>
  </si>
  <si>
    <t>J08EUFL16268</t>
  </si>
  <si>
    <t>MJESG8JDKEJL16268</t>
  </si>
  <si>
    <t>16/06/2024(2029)</t>
  </si>
  <si>
    <t>Tuesday, 17 September 2024</t>
  </si>
  <si>
    <t>E9258YB</t>
  </si>
  <si>
    <t>HINO SG8JDKA-LGJ ( SG260J)</t>
  </si>
  <si>
    <t>J08EUFJ64485</t>
  </si>
  <si>
    <t>MJESG8JDKEJL16717</t>
  </si>
  <si>
    <t>PT PUSPITA CIPTA</t>
  </si>
  <si>
    <t>Proses TLO oleh Transportir (Menunggu Ijin Ops)</t>
  </si>
  <si>
    <t>AA1937OF</t>
  </si>
  <si>
    <t>Di Peremajakan PT. Lumas Biru Mandiri</t>
  </si>
  <si>
    <t>PT. Lumas Biru Mandiri</t>
  </si>
  <si>
    <t>E9256YB</t>
  </si>
  <si>
    <t>J08EUFJ64486</t>
  </si>
  <si>
    <t>MJESG8JDKEJL16718</t>
  </si>
  <si>
    <t>07/08/2024 ( 2029 )</t>
  </si>
  <si>
    <t>07/08/2024 ( 2025 )</t>
  </si>
  <si>
    <t>Dispensasi 07 Nov 2024</t>
  </si>
  <si>
    <t>E9260YB</t>
  </si>
  <si>
    <t>J08EUFJ64453</t>
  </si>
  <si>
    <t>MJESG8JDKEJL16715</t>
  </si>
  <si>
    <t>B9141SFU</t>
  </si>
  <si>
    <t>FL8JNKA GGJ (FL235JN)</t>
  </si>
  <si>
    <t>J08EUGJ31931</t>
  </si>
  <si>
    <t>MJEFL8JNKCJG17711</t>
  </si>
  <si>
    <t>Wednesday, 28 August 2024</t>
  </si>
  <si>
    <t>PT Lumas Biru Mandiri</t>
  </si>
  <si>
    <t>E9330YB</t>
  </si>
  <si>
    <t>J08EUFJ66176</t>
  </si>
  <si>
    <t>MJESG8JDKEJL17028</t>
  </si>
  <si>
    <t>Dispensasi 11 Feb 2025</t>
  </si>
  <si>
    <t>E9389YB</t>
  </si>
  <si>
    <t>J08EUFJ66631</t>
  </si>
  <si>
    <t>MJESG8JDKEJL17087</t>
  </si>
  <si>
    <t>Dispensasi 18 Mei 2025</t>
  </si>
  <si>
    <t>E9390YB</t>
  </si>
  <si>
    <t>J08EUFJ66630</t>
  </si>
  <si>
    <t>MJESG8JDKEJL17086</t>
  </si>
  <si>
    <t>E9391YB</t>
  </si>
  <si>
    <t>J08EUFJ66629</t>
  </si>
  <si>
    <t>MJESG8JDKEJL17085</t>
  </si>
  <si>
    <t>B9506SFU</t>
  </si>
  <si>
    <t>FM8JNKD-MGJ (FM260JD )</t>
  </si>
  <si>
    <t>J08EUFJ66496</t>
  </si>
  <si>
    <t>MJEFM8JNKEJM43658</t>
  </si>
  <si>
    <t>R8260IA</t>
  </si>
  <si>
    <t>FTR 90 L</t>
  </si>
  <si>
    <t>4HK1-273299</t>
  </si>
  <si>
    <t>MHCFTR90LFJOOO276</t>
  </si>
  <si>
    <t>Tidak Diremajakan</t>
  </si>
  <si>
    <t>R8288IH</t>
  </si>
  <si>
    <t>FL8JNIA-BGJ (6X2)</t>
  </si>
  <si>
    <t>J08EUGJ-48137</t>
  </si>
  <si>
    <t>MJEFL8JN1FJB-10015</t>
  </si>
  <si>
    <t>H9036OH</t>
  </si>
  <si>
    <t>PT RESTU GEDE JAYA</t>
  </si>
  <si>
    <t>Pengajuan ijin Checklist SAT</t>
  </si>
  <si>
    <t>G8107OA</t>
  </si>
  <si>
    <t>JO8EUFJ69816</t>
  </si>
  <si>
    <t>MJESG8JDKFJL17608</t>
  </si>
  <si>
    <t>PT ADHI BUANA PERSADA</t>
  </si>
  <si>
    <t>G8106OA</t>
  </si>
  <si>
    <t>JO8EUFJ69815</t>
  </si>
  <si>
    <t>MJESG8JDKFJL17607</t>
  </si>
  <si>
    <t>E 9553 YB</t>
  </si>
  <si>
    <t>E 9560 YB</t>
  </si>
  <si>
    <t>E9446YB</t>
  </si>
  <si>
    <t>J08EUFJ69093</t>
  </si>
  <si>
    <t>MJESG8JDKFJL17431</t>
  </si>
  <si>
    <t>R8293AM</t>
  </si>
  <si>
    <t>J08EUFR18140</t>
  </si>
  <si>
    <t>MJESG8JE1MJE15494</t>
  </si>
  <si>
    <t>Pengajuan Kategori IV</t>
  </si>
  <si>
    <t>Menggantikan MT R1836DD sama-sama PT KAtraco</t>
  </si>
  <si>
    <t>E9452YB</t>
  </si>
  <si>
    <t>J08EOFJ69822</t>
  </si>
  <si>
    <t>MJESG8JDKFJL17614</t>
  </si>
  <si>
    <t>10/07/2025 ( 20230 )</t>
  </si>
  <si>
    <t>E9453YB</t>
  </si>
  <si>
    <t>J08EUFJ69821</t>
  </si>
  <si>
    <t>MJESG8JDKFJL17613</t>
  </si>
  <si>
    <t>10/07/2025 (2030 )</t>
  </si>
  <si>
    <t>E9456YB</t>
  </si>
  <si>
    <t>J08EUFJ70272</t>
  </si>
  <si>
    <t>MJESG8JDKFJL17716</t>
  </si>
  <si>
    <t>14/07/2025 ( 2030 )</t>
  </si>
  <si>
    <t>E9457YB</t>
  </si>
  <si>
    <t>J08EUFJ70274</t>
  </si>
  <si>
    <t>MJESG8JDKFJL17718</t>
  </si>
  <si>
    <t>E9454YB</t>
  </si>
  <si>
    <t>HINO SG8JDKA-LGJ (SG260J)</t>
  </si>
  <si>
    <t>J08EUFJ70273</t>
  </si>
  <si>
    <t>MJESG8JDKFJL17717</t>
  </si>
  <si>
    <t>13/07/2025 ( 2030 )</t>
  </si>
  <si>
    <t>PT MURNI ADHI DUKUH JAYA</t>
  </si>
  <si>
    <t>DATA REKAP B3</t>
  </si>
  <si>
    <t xml:space="preserve">NO. RANGKA </t>
  </si>
  <si>
    <t xml:space="preserve">NO. MESIN </t>
  </si>
  <si>
    <t xml:space="preserve">DITETAPKAN TGL </t>
  </si>
  <si>
    <t>BERLAKU SAMPAI</t>
  </si>
  <si>
    <t>NOMOR UJI</t>
  </si>
  <si>
    <t xml:space="preserve">B9810TEI </t>
  </si>
  <si>
    <t>JKT1814163</t>
  </si>
  <si>
    <t>R9693B</t>
  </si>
  <si>
    <t>MFFCDA30GNK819058</t>
  </si>
  <si>
    <t>GH8E574304C1P</t>
  </si>
  <si>
    <t>BD01C23025284</t>
  </si>
  <si>
    <t>R9029B</t>
  </si>
  <si>
    <t>MFFCDX22GLK813005</t>
  </si>
  <si>
    <t>GH8520568A1P</t>
  </si>
  <si>
    <t>BD01C21024322</t>
  </si>
  <si>
    <t>R8336B</t>
  </si>
  <si>
    <t>MFFGKZ30CLK812804</t>
  </si>
  <si>
    <t>GH8516158A1P</t>
  </si>
  <si>
    <t>BD01C20023835</t>
  </si>
  <si>
    <t>SM150457</t>
  </si>
  <si>
    <t>SM150451</t>
  </si>
  <si>
    <t>ML46227</t>
  </si>
  <si>
    <t>ML46226</t>
  </si>
  <si>
    <t>JKT1813523</t>
  </si>
  <si>
    <t>SM152387</t>
  </si>
  <si>
    <t>MJEFN8JN2RJX27440</t>
  </si>
  <si>
    <t>SM153915</t>
  </si>
  <si>
    <t>BC08C2314360</t>
  </si>
  <si>
    <t>BC08G2414611</t>
  </si>
  <si>
    <t>MJESG8JDKFJL17844</t>
  </si>
  <si>
    <t>KNG11854</t>
  </si>
  <si>
    <t>MFFGKZ50CNK818204</t>
  </si>
  <si>
    <t>GH8E566570C1P</t>
  </si>
  <si>
    <t>BD01G22025168</t>
  </si>
  <si>
    <t>JKT2323547</t>
  </si>
  <si>
    <t>MJESG8JF2NJX10276</t>
  </si>
  <si>
    <t>JKT2227474</t>
  </si>
  <si>
    <t xml:space="preserve">B9520TEI </t>
  </si>
  <si>
    <t>JKT1704280</t>
  </si>
  <si>
    <t xml:space="preserve">B9504TEI </t>
  </si>
  <si>
    <t>JKT1701876</t>
  </si>
  <si>
    <t>JKT1701886</t>
  </si>
  <si>
    <t>JPCZA30ASPT036998</t>
  </si>
  <si>
    <t>NML46565</t>
  </si>
  <si>
    <t>SM151440</t>
  </si>
  <si>
    <t>H9557YB</t>
  </si>
  <si>
    <t>GH8E574415C1P</t>
  </si>
  <si>
    <t>BD01C23025285</t>
  </si>
  <si>
    <t>BD01C24026210</t>
  </si>
  <si>
    <t>GH8E569523C1P</t>
  </si>
  <si>
    <t>BD01C22025171</t>
  </si>
  <si>
    <t>EXP TERA</t>
  </si>
  <si>
    <t>PT. DHARMA CITRA</t>
  </si>
  <si>
    <t>PT. MURNI ADI DUKUH JAYA</t>
  </si>
  <si>
    <t>REGION</t>
  </si>
  <si>
    <t>LOKASI FT/IT</t>
  </si>
  <si>
    <t>PEMILIK MOBIL TANGKI</t>
  </si>
  <si>
    <t>KAPASITAS</t>
  </si>
  <si>
    <t>SATUAN</t>
  </si>
  <si>
    <t>STATUS OPERASI MT (Operasi/Rusak/Lakalantas/Apkir)</t>
  </si>
  <si>
    <t>JENIS SEWA</t>
  </si>
  <si>
    <t>PERUSAHAAN PENGELOLA ANGKUTAN MOBIL TANGKI</t>
  </si>
  <si>
    <t>CUSTOMER REGULER/LEMBAGA PENYALUR</t>
  </si>
  <si>
    <t>TGL PEMBUATAN HEAD TRUCK</t>
  </si>
  <si>
    <t>MERK HEAD TRUCK</t>
  </si>
  <si>
    <t>TYPE SERI HEAD TRUCK</t>
  </si>
  <si>
    <t>EURO 4 Keatas</t>
  </si>
  <si>
    <t>MERK TANGKI</t>
  </si>
  <si>
    <t>TGL PEMBUATAN TANGKI</t>
  </si>
  <si>
    <t>SISTEM PENGEREMAN (FAB/AOC)</t>
  </si>
  <si>
    <t>DISPENSING</t>
  </si>
  <si>
    <t>KONFIGURASI KOMPARTEMEN</t>
  </si>
  <si>
    <t>Konfigurasi Sumbu Roda</t>
  </si>
  <si>
    <t>Over Dimension Over Loading/ODOL (Ya/Tidak)</t>
  </si>
  <si>
    <t>(All In/Pola Tarif/Industri)</t>
  </si>
  <si>
    <t>(SPBU/Pertashop/Industri)</t>
  </si>
  <si>
    <t>(dd/mm/yyyy)</t>
  </si>
  <si>
    <t>(Lihat pada STNK)</t>
  </si>
  <si>
    <t>(Ya / Tidak)</t>
  </si>
  <si>
    <t>(Geluran/Aweco/Meco/dll)</t>
  </si>
  <si>
    <t>(Alluminium Alloy/Mild Steel)</t>
  </si>
  <si>
    <t>Ya / Tidak</t>
  </si>
  <si>
    <t>Contoh</t>
  </si>
  <si>
    <t>Sumbagut</t>
  </si>
  <si>
    <t>FT Medan</t>
  </si>
  <si>
    <t>B1234SEH</t>
  </si>
  <si>
    <t>PT Elnusa Petrofin</t>
  </si>
  <si>
    <t>KL</t>
  </si>
  <si>
    <t>Operasi</t>
  </si>
  <si>
    <t>All In</t>
  </si>
  <si>
    <t>SPBU</t>
  </si>
  <si>
    <t>Hino</t>
  </si>
  <si>
    <t>SG 280 TH ABS</t>
  </si>
  <si>
    <t>MH8097SG000</t>
  </si>
  <si>
    <t>Ya</t>
  </si>
  <si>
    <t>Alluminium Alloy</t>
  </si>
  <si>
    <t>FAB</t>
  </si>
  <si>
    <t>Tidak</t>
  </si>
  <si>
    <t>2.22-2.2</t>
  </si>
  <si>
    <t>Peremajaan B9222SEH</t>
  </si>
  <si>
    <r>
      <rPr>
        <rFont val="Arial"/>
        <b/>
        <color theme="1"/>
        <sz val="12.0"/>
      </rPr>
      <t xml:space="preserve">Nomor Polisi
</t>
    </r>
    <r>
      <rPr>
        <rFont val="Arial"/>
        <b/>
        <color rgb="FFFF0000"/>
        <sz val="9.0"/>
      </rPr>
      <t>(Tanpa Spasi)</t>
    </r>
  </si>
  <si>
    <r>
      <rPr>
        <rFont val="Arial"/>
        <b/>
        <color theme="1"/>
        <sz val="12.0"/>
      </rPr>
      <t xml:space="preserve">MOR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</si>
  <si>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Terminal
</t>
    </r>
    <r>
      <rPr>
        <rFont val="Arial"/>
        <b/>
        <color rgb="FFFF0000"/>
        <sz val="9.0"/>
      </rPr>
      <t>(Wajib memilih dari dropdown yang sudah disediakan)</t>
    </r>
  </si>
  <si>
    <t>JBT</t>
  </si>
  <si>
    <r>
      <rPr>
        <rFont val="Arial"/>
        <b/>
        <color theme="1"/>
        <sz val="12.0"/>
      </rPr>
      <t xml:space="preserve">Status
</t>
    </r>
    <r>
      <rPr>
        <rFont val="Arial"/>
        <b/>
        <color rgb="FFFF0000"/>
        <sz val="9.0"/>
      </rPr>
      <t>(Wajib memilih dari dropdown yang sudah disediakan)</t>
    </r>
  </si>
  <si>
    <t>Active Status</t>
  </si>
  <si>
    <r>
      <rPr>
        <rFont val="Arial"/>
        <b/>
        <color theme="1"/>
        <sz val="12.0"/>
      </rPr>
      <t xml:space="preserve">Jenis Usaha / Bisnis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</si>
  <si>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Skema Tarif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</si>
  <si>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MT Category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</si>
  <si>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Kepemilikan MT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</si>
  <si>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>Jenis Mobil</t>
    </r>
    <r>
      <rPr>
        <rFont val="Arial"/>
        <b/>
        <color theme="1"/>
        <sz val="8.0"/>
      </rPr>
      <t xml:space="preserve">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</si>
  <si>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Tenaga Mesin
</t>
    </r>
    <r>
      <rPr>
        <rFont val="Arial"/>
        <b/>
        <color rgb="FFFF0000"/>
        <sz val="9.0"/>
      </rPr>
      <t>(Tulis hanya angka)</t>
    </r>
  </si>
  <si>
    <r>
      <rPr>
        <rFont val="Arial"/>
        <b/>
        <color theme="1"/>
        <sz val="12.0"/>
      </rPr>
      <t>Tipe Mobil</t>
    </r>
    <r>
      <rPr>
        <rFont val="Arial"/>
        <b/>
        <color rgb="FFFF0000"/>
        <sz val="9.0"/>
      </rPr>
      <t xml:space="preserve">
(Sesuai STNK)</t>
    </r>
  </si>
  <si>
    <r>
      <rPr>
        <rFont val="Arial"/>
        <b/>
        <color theme="1"/>
        <sz val="12.0"/>
      </rPr>
      <t>Tanggal Pembuatan</t>
    </r>
    <r>
      <rPr>
        <rFont val="Arial"/>
        <b/>
        <color rgb="FFFF0000"/>
        <sz val="9.0"/>
      </rPr>
      <t xml:space="preserve">
(Double Klik pada cell)</t>
    </r>
  </si>
  <si>
    <t>FT MAOS</t>
  </si>
  <si>
    <r>
      <rPr>
        <rFont val="Arial"/>
        <b/>
        <color theme="1"/>
        <sz val="12.0"/>
      </rPr>
      <t>Tanggal Registrasi Awal STNK</t>
    </r>
    <r>
      <rPr>
        <rFont val="Arial"/>
        <b/>
        <color rgb="FFFF0000"/>
        <sz val="12.0"/>
      </rPr>
      <t xml:space="preserve">
</t>
    </r>
    <r>
      <rPr>
        <rFont val="Arial"/>
        <b/>
        <color rgb="FFFF0000"/>
        <sz val="9.0"/>
      </rPr>
      <t>(Double Klik pada cell)</t>
    </r>
  </si>
  <si>
    <r>
      <rPr>
        <rFont val="Arial"/>
        <b/>
        <color theme="1"/>
        <sz val="12.0"/>
      </rPr>
      <t>Nomor Mesin</t>
    </r>
    <r>
      <rPr>
        <rFont val="Arial"/>
        <b/>
        <color rgb="FFFF0000"/>
        <sz val="9.0"/>
      </rPr>
      <t xml:space="preserve">
(Sesuai STNK)</t>
    </r>
  </si>
  <si>
    <r>
      <rPr>
        <rFont val="Arial"/>
        <b/>
        <color theme="1"/>
        <sz val="12.0"/>
      </rPr>
      <t xml:space="preserve">Nomor Rangka
</t>
    </r>
    <r>
      <rPr>
        <rFont val="Arial"/>
        <b/>
        <color rgb="FFFF0000"/>
        <sz val="9.0"/>
      </rPr>
      <t>(Sesuai STNK)</t>
    </r>
  </si>
  <si>
    <r>
      <rPr>
        <rFont val="Arial"/>
        <b/>
        <color theme="1"/>
        <sz val="12.0"/>
      </rPr>
      <t xml:space="preserve">Jumlah Sumbu Roda
</t>
    </r>
    <r>
      <rPr>
        <rFont val="Arial"/>
        <b/>
        <color rgb="FFFF0000"/>
        <sz val="9.0"/>
      </rPr>
      <t>(Tulis hanya angka)</t>
    </r>
  </si>
  <si>
    <r>
      <rPr>
        <rFont val="Arial"/>
        <b/>
        <color theme="1"/>
        <sz val="12.0"/>
      </rPr>
      <t xml:space="preserve">Sistem Penggerak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</si>
  <si>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>Sistem Pengereman</t>
    </r>
    <r>
      <rPr>
        <rFont val="Arial"/>
        <b/>
        <color rgb="FFFF0000"/>
        <sz val="9.0"/>
      </rPr>
      <t xml:space="preserve">
(Wajib memilih dari dropdown yang sudah disediakan)</t>
    </r>
  </si>
  <si>
    <t xml:space="preserve">PT Patra Logistik </t>
  </si>
  <si>
    <r>
      <rPr>
        <rFont val="Arial"/>
        <b/>
        <color theme="1"/>
        <sz val="12.0"/>
      </rPr>
      <t xml:space="preserve">Kapasitas Tangki Own Use (Liter)
</t>
    </r>
    <r>
      <rPr>
        <rFont val="Arial"/>
        <b/>
        <color rgb="FFFF0000"/>
        <sz val="9.0"/>
      </rPr>
      <t>(Tulis hanya angka)</t>
    </r>
  </si>
  <si>
    <t xml:space="preserve">HINO </t>
  </si>
  <si>
    <r>
      <rPr>
        <rFont val="Arial"/>
        <b/>
        <color theme="1"/>
        <sz val="12.0"/>
      </rPr>
      <t xml:space="preserve">Kapasitas Tangki Jalan Oli (L)
</t>
    </r>
    <r>
      <rPr>
        <rFont val="Arial"/>
        <b/>
        <color rgb="FFFF0000"/>
        <sz val="9.0"/>
      </rPr>
      <t>(Tulis hanya angka)</t>
    </r>
  </si>
  <si>
    <t>HINO SG8JE1B-EGJ TRHEAD 4X2</t>
  </si>
  <si>
    <r>
      <rPr>
        <rFont val="Arial"/>
        <b/>
        <color theme="1"/>
        <sz val="12.0"/>
      </rPr>
      <t xml:space="preserve">Kategori Euro
</t>
    </r>
    <r>
      <rPr>
        <rFont val="Arial"/>
        <b/>
        <color rgb="FFFF0000"/>
        <sz val="9.0"/>
      </rPr>
      <t>(Wajib memilih dari dropdown yang sudah disediakan)</t>
    </r>
  </si>
  <si>
    <t>Aluminium Aloy</t>
  </si>
  <si>
    <t>FAB (Full Air Brake)</t>
  </si>
  <si>
    <r>
      <rPr>
        <rFont val="Arial"/>
        <b/>
        <color theme="1"/>
        <sz val="12.0"/>
      </rPr>
      <t xml:space="preserve">Penggunaan AdBlue OwnUse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</si>
  <si>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Head Truck Change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</si>
  <si>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Nomor Rangka Lama
</t>
    </r>
    <r>
      <rPr>
        <rFont val="Arial"/>
        <b/>
        <color rgb="FFFF0000"/>
        <sz val="9.0"/>
      </rPr>
      <t>(Sesuai STNK)</t>
    </r>
  </si>
  <si>
    <r>
      <rPr>
        <rFont val="Arial"/>
        <b/>
        <color theme="1"/>
        <sz val="12.0"/>
      </rPr>
      <t xml:space="preserve">Nopol Lama
</t>
    </r>
    <r>
      <rPr>
        <rFont val="Arial"/>
        <b/>
        <color rgb="FFFF0000"/>
        <sz val="9.0"/>
      </rPr>
      <t>(Tanpa Spasi)</t>
    </r>
  </si>
  <si>
    <r>
      <rPr>
        <rFont val="Arial"/>
        <b/>
        <color theme="1"/>
        <sz val="12.0"/>
      </rPr>
      <t xml:space="preserve">Tanggal Afkir Head Lama
</t>
    </r>
    <r>
      <rPr>
        <rFont val="Arial"/>
        <b/>
        <color rgb="FFFF0000"/>
        <sz val="9.0"/>
      </rPr>
      <t>(Double Klik pada cell)</t>
    </r>
  </si>
  <si>
    <t>HINO SG8JE1BXGJ TRHEAD 4X2</t>
  </si>
  <si>
    <r>
      <rPr>
        <rFont val="Arial"/>
        <b/>
        <color theme="1"/>
        <sz val="12.0"/>
      </rPr>
      <t xml:space="preserve">Keanggotaan Konsorsium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</si>
  <si>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Pengelola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</si>
  <si>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Status Penugasan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</si>
  <si>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Produk Dibawa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</si>
  <si>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Vendor GPS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</si>
  <si>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Fasilitas Dispensing/Flowmeter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</si>
  <si>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Peruntukan Dispensing/Flowmeter
</t>
    </r>
    <r>
      <rPr>
        <rFont val="Arial"/>
        <b/>
        <color rgb="FFFF0000"/>
        <sz val="9.0"/>
      </rPr>
      <t>(Wajib memilih dari dropdown yang sudah disediakan)</t>
    </r>
  </si>
  <si>
    <t xml:space="preserve">UD TRUCK </t>
  </si>
  <si>
    <t>UD TRUCKS GKE2804X2TWB3500MM/MT</t>
  </si>
  <si>
    <r>
      <rPr>
        <rFont val="Arial"/>
        <b/>
        <color theme="1"/>
        <sz val="12.0"/>
      </rPr>
      <t xml:space="preserve">Kategori Medan Ekstrem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</si>
  <si>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Kapasitas Tangki
</t>
    </r>
    <r>
      <rPr>
        <rFont val="Arial"/>
        <b/>
        <color rgb="FFFF0000"/>
        <sz val="9.0"/>
      </rPr>
      <t>(Tulis hanya angka)</t>
    </r>
  </si>
  <si>
    <r>
      <rPr>
        <rFont val="Arial"/>
        <b/>
        <color theme="1"/>
        <sz val="12.0"/>
      </rPr>
      <t xml:space="preserve">MT Type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</si>
  <si>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Jumlah Kompartemen
</t>
    </r>
    <r>
      <rPr>
        <rFont val="Arial"/>
        <b/>
        <color rgb="FFFF0000"/>
        <sz val="9.0"/>
      </rPr>
      <t>(Tulis hanya angka)</t>
    </r>
  </si>
  <si>
    <r>
      <rPr>
        <rFont val="Arial"/>
        <b/>
        <color theme="1"/>
        <sz val="12.0"/>
      </rPr>
      <t xml:space="preserve">Material
</t>
    </r>
    <r>
      <rPr>
        <rFont val="Arial"/>
        <b/>
        <color rgb="FFFF0000"/>
        <sz val="9.0"/>
      </rPr>
      <t>(Wajib memilih dari dropdown yang sudah disediakan)</t>
    </r>
  </si>
  <si>
    <r>
      <rPr>
        <rFont val="Arial"/>
        <b/>
        <color theme="1"/>
        <sz val="12.0"/>
      </rPr>
      <t xml:space="preserve">Nomor Lambung
</t>
    </r>
    <r>
      <rPr>
        <rFont val="Arial"/>
        <b/>
        <color rgb="FFFF0000"/>
        <sz val="9.0"/>
      </rPr>
      <t>(Tulis hanya angka)</t>
    </r>
  </si>
  <si>
    <r>
      <rPr>
        <rFont val="Arial"/>
        <b/>
        <color theme="1"/>
        <sz val="12.0"/>
      </rPr>
      <t xml:space="preserve">Karoseri
</t>
    </r>
    <r>
      <rPr>
        <rFont val="Arial"/>
        <b/>
        <color rgb="FFFF0000"/>
        <sz val="9.0"/>
      </rPr>
      <t>(Wajib memilih dari dropdown yang sudah disediakan)</t>
    </r>
  </si>
  <si>
    <t>MERCEDEZ BENNZ </t>
  </si>
  <si>
    <t>MERCEDES BENZ 2523 R/4500 6X2 MT</t>
  </si>
  <si>
    <r>
      <rPr>
        <rFont val="Arial"/>
        <b/>
        <color theme="1"/>
        <sz val="12.0"/>
      </rPr>
      <t xml:space="preserve">Tanggal Pembuatan Tangki
</t>
    </r>
    <r>
      <rPr>
        <rFont val="Arial"/>
        <b/>
        <color rgb="FFFF0000"/>
        <sz val="9.0"/>
      </rPr>
      <t>(Double Klik pada cell)</t>
    </r>
  </si>
  <si>
    <t>Iya</t>
  </si>
  <si>
    <t>PT Meco Inoxprima</t>
  </si>
  <si>
    <t>Carbon Steel</t>
  </si>
  <si>
    <t>2.22.22</t>
  </si>
  <si>
    <r>
      <rPr>
        <rFont val="Arial"/>
        <b/>
        <color theme="1"/>
        <sz val="12.0"/>
      </rPr>
      <t>Tanggal Afkir Tangki</t>
    </r>
    <r>
      <rPr>
        <rFont val="Arial"/>
        <b/>
        <color rgb="FFFF0000"/>
        <sz val="9.0"/>
      </rPr>
      <t xml:space="preserve">
(Double Klik pada cell)</t>
    </r>
  </si>
  <si>
    <t>AA1894FP</t>
  </si>
  <si>
    <r>
      <rPr>
        <rFont val="Arial"/>
        <b/>
        <color theme="1"/>
        <sz val="12.0"/>
      </rPr>
      <t xml:space="preserve">STNK Kadaluwarsa
</t>
    </r>
    <r>
      <rPr>
        <rFont val="Arial"/>
        <b/>
        <color rgb="FFFF0000"/>
        <sz val="9.0"/>
      </rPr>
      <t>(Double Klik pada cell)</t>
    </r>
  </si>
  <si>
    <t>40095D0139091</t>
  </si>
  <si>
    <t>AA1895FP</t>
  </si>
  <si>
    <r>
      <rPr>
        <rFont val="Arial"/>
        <b/>
        <color theme="1"/>
        <sz val="12.0"/>
      </rPr>
      <t xml:space="preserve">KEUR Kadaluwarsa
</t>
    </r>
    <r>
      <rPr>
        <rFont val="Arial"/>
        <b/>
        <color rgb="FFFF0000"/>
        <sz val="9.0"/>
      </rPr>
      <t>(Double Klik pada cell)</t>
    </r>
  </si>
  <si>
    <t>HINO SG8JF2B-XGJ</t>
  </si>
  <si>
    <r>
      <rPr>
        <rFont val="Arial"/>
        <b/>
        <color theme="1"/>
        <sz val="12.0"/>
      </rPr>
      <t xml:space="preserve">KIM/KIP Kadaluwarsa
</t>
    </r>
    <r>
      <rPr>
        <rFont val="Arial"/>
        <b/>
        <color rgb="FFFF0000"/>
        <sz val="9.0"/>
      </rPr>
      <t>(Double Klik pada cell)</t>
    </r>
  </si>
  <si>
    <t>R1892DK</t>
  </si>
  <si>
    <r>
      <rPr>
        <rFont val="Arial"/>
        <b/>
        <color theme="1"/>
        <sz val="12.0"/>
      </rPr>
      <t xml:space="preserve">KPS B3 Kadaluwarsa
</t>
    </r>
    <r>
      <rPr>
        <rFont val="Arial"/>
        <b/>
        <color rgb="FFFF0000"/>
        <sz val="9.0"/>
      </rPr>
      <t>(Double Klik pada cell)</t>
    </r>
  </si>
  <si>
    <t>J08EWDJ13150</t>
  </si>
  <si>
    <r>
      <rPr>
        <rFont val="Arial"/>
        <b/>
        <color theme="1"/>
        <sz val="12.0"/>
      </rPr>
      <t xml:space="preserve">Insurance Type
</t>
    </r>
    <r>
      <rPr>
        <rFont val="Arial"/>
        <b/>
        <color rgb="FFFF0000"/>
        <sz val="9.0"/>
      </rPr>
      <t>(Wajib memilih dari dropdown yang sudah disediakan)</t>
    </r>
  </si>
  <si>
    <t>R1893DK</t>
  </si>
  <si>
    <r>
      <rPr>
        <rFont val="Arial"/>
        <b/>
        <color theme="1"/>
        <sz val="12.0"/>
      </rPr>
      <t xml:space="preserve">Asuransi Kadaluwarsa
</t>
    </r>
    <r>
      <rPr>
        <rFont val="Arial"/>
        <b/>
        <color rgb="FFFF0000"/>
        <sz val="9.0"/>
      </rPr>
      <t>(Double Klik pada cell)</t>
    </r>
  </si>
  <si>
    <t>HINO FL8JN2A-PGJ</t>
  </si>
  <si>
    <t>Nomor Polis Asuransi</t>
  </si>
  <si>
    <r>
      <rPr>
        <rFont val="Arial"/>
        <b/>
        <color theme="1"/>
        <sz val="12.0"/>
      </rPr>
      <t xml:space="preserve">Jumlah Ban
</t>
    </r>
    <r>
      <rPr>
        <rFont val="Arial"/>
        <b/>
        <color rgb="FFFF0000"/>
        <sz val="9.0"/>
      </rPr>
      <t>(Tulis hanya angka)</t>
    </r>
  </si>
  <si>
    <r>
      <rPr>
        <rFont val="Arial"/>
        <b/>
        <color theme="1"/>
        <sz val="12.0"/>
      </rPr>
      <t xml:space="preserve">Kelas Ban
</t>
    </r>
    <r>
      <rPr>
        <rFont val="Arial"/>
        <b/>
        <color rgb="FFFF0000"/>
        <sz val="9.0"/>
      </rPr>
      <t>(Wajib memilih dari dropdown yang sudah disediakan)</t>
    </r>
  </si>
  <si>
    <t>HINO FL8JN2A-PGJ (6X2) M/T</t>
  </si>
  <si>
    <r>
      <rPr>
        <rFont val="Arial"/>
        <b/>
        <color theme="1"/>
        <sz val="12.0"/>
      </rPr>
      <t xml:space="preserve">Jumlah Ban Serep Dibawa
</t>
    </r>
    <r>
      <rPr>
        <rFont val="Arial"/>
        <b/>
        <color rgb="FFFF0000"/>
        <sz val="9.0"/>
      </rPr>
      <t>(Tulis hanya angka)</t>
    </r>
  </si>
  <si>
    <t>MJEFLN8JN2PJP10613</t>
  </si>
  <si>
    <r>
      <rPr>
        <rFont val="Arial"/>
        <b/>
        <color theme="1"/>
        <sz val="12.0"/>
      </rPr>
      <t xml:space="preserve">Tanggal Tera IJK Bout
</t>
    </r>
    <r>
      <rPr>
        <rFont val="Arial"/>
        <b/>
        <color rgb="FFFF0000"/>
        <sz val="9.0"/>
      </rPr>
      <t>(Double Klik pada cell)</t>
    </r>
  </si>
  <si>
    <t>AA1804AP</t>
  </si>
  <si>
    <t>L7899LM</t>
  </si>
  <si>
    <t>MJEFLN8JN2PJP10614</t>
  </si>
  <si>
    <t>AA1940DF</t>
  </si>
  <si>
    <t>Jawa Bagian Barat</t>
  </si>
  <si>
    <t>HINO SG8JP2B-XGJ (4X2) M/T</t>
  </si>
  <si>
    <t>AA1816OF</t>
  </si>
  <si>
    <t>HINO SG8JF2B-XGJ (4X2) M/T</t>
  </si>
  <si>
    <t>AA8714OF</t>
  </si>
  <si>
    <t>MJEFLN8JN2PJP10541</t>
  </si>
  <si>
    <t>AA1817FP</t>
  </si>
  <si>
    <t>PT. DHARMA CITRA ENERGI</t>
  </si>
  <si>
    <t>UD TRUCKS GKE 280 4X2T WB3500MM E5 ABS M/T</t>
  </si>
  <si>
    <t>FUEL TERMINAL KRUENG RAYA</t>
  </si>
  <si>
    <t>GH8E614935CIP</t>
  </si>
  <si>
    <t>AA8715OF</t>
  </si>
  <si>
    <t>Approved</t>
  </si>
  <si>
    <t>Active</t>
  </si>
  <si>
    <t>UD TRUCKS GKE 280 4X2TWB3500MM E5 ABS M/T</t>
  </si>
  <si>
    <t>GH8E614745CIP</t>
  </si>
  <si>
    <t>AA8699OF</t>
  </si>
  <si>
    <t>Fleet BBM APMS</t>
  </si>
  <si>
    <t>UD TRUCKS CDE 250 6X2R W84300MM E5 ABS M/T</t>
  </si>
  <si>
    <t>GH8E582150</t>
  </si>
  <si>
    <t>AA8719OF</t>
  </si>
  <si>
    <t>pertashop</t>
  </si>
  <si>
    <t>UD TRUCKS CKE250 4X2R WB4600MM E5</t>
  </si>
  <si>
    <t>JPCZA30A5PT036998</t>
  </si>
  <si>
    <t>AA1936DF</t>
  </si>
  <si>
    <t>Periode A (LPG)</t>
  </si>
  <si>
    <t>UD TRUCKS CDE 250 6X2R WB4300MM E5 ABS M/T</t>
  </si>
  <si>
    <t>AA8712OF</t>
  </si>
  <si>
    <t xml:space="preserve">B 9223 SFV </t>
  </si>
  <si>
    <t>UD TRUCKS CDE250 6X2R WB4300MM</t>
  </si>
  <si>
    <t>PT ADZMA ARRY</t>
  </si>
  <si>
    <t>Tronton</t>
  </si>
  <si>
    <t>J08EUFJ46381</t>
  </si>
  <si>
    <t>R1837DD</t>
  </si>
  <si>
    <t>B 9774 SFU</t>
  </si>
  <si>
    <t>Mutasi</t>
  </si>
  <si>
    <t>J08EUFJ79092</t>
  </si>
  <si>
    <t>MJESG8JE1GJE1GJE10722</t>
  </si>
  <si>
    <t>Double Gardan</t>
  </si>
  <si>
    <t>AOH (Air Over Hydraulic)</t>
  </si>
  <si>
    <t>Tidak Ada</t>
  </si>
  <si>
    <t>HINO FG8JK2A-PGJ</t>
  </si>
  <si>
    <t>Euro 5</t>
  </si>
  <si>
    <t>J08EWEJ15259</t>
  </si>
  <si>
    <t>MJEFG8JK2NJP10187</t>
  </si>
  <si>
    <t>AA1959EF</t>
  </si>
  <si>
    <t xml:space="preserve">N 8021 UEA </t>
  </si>
  <si>
    <t>16(DG)</t>
  </si>
  <si>
    <t>L2699LM</t>
  </si>
  <si>
    <t xml:space="preserve">FAW </t>
  </si>
  <si>
    <t>FAW CA1250P26K2L7T3E6A80</t>
  </si>
  <si>
    <t xml:space="preserve">LFNDRUMN6PAD32237 </t>
  </si>
  <si>
    <t>R 8293 AM</t>
  </si>
  <si>
    <t>PT.Patra Logistik</t>
  </si>
  <si>
    <t>Elnusa Petrofin</t>
  </si>
  <si>
    <t>HINO SG8JF2B-XGJ (4X2)</t>
  </si>
  <si>
    <t>MT Spotcharter</t>
  </si>
  <si>
    <t xml:space="preserve">N 8054 UEA </t>
  </si>
  <si>
    <t>CA6DLD24E554034500</t>
  </si>
  <si>
    <t>LPG</t>
  </si>
  <si>
    <t>MJEFL8JN2RJP 10944</t>
  </si>
  <si>
    <t>TELKOMSEL</t>
  </si>
  <si>
    <t>R1998DS</t>
  </si>
  <si>
    <t>POMET</t>
  </si>
  <si>
    <t>SPBU Dombak Atas</t>
  </si>
  <si>
    <t>R9912CR</t>
  </si>
  <si>
    <t xml:space="preserve">PT. LUMAS BIRU MANDIRI </t>
  </si>
  <si>
    <t>MITSUBISHI FIGHTER FM65FS HI GEAR (4X2) M/T</t>
  </si>
  <si>
    <t>PT Antika Raya</t>
  </si>
  <si>
    <t>AA1937DF</t>
  </si>
  <si>
    <t>HINO 500 SG8JF2B-XGJ (4X2)</t>
  </si>
  <si>
    <t xml:space="preserve">H 9740 OH </t>
  </si>
  <si>
    <t xml:space="preserve">PT ADHI BUANA PERSADA </t>
  </si>
  <si>
    <t xml:space="preserve">J08EWDJ49584 </t>
  </si>
  <si>
    <t>MJESG8JF27JX12632</t>
  </si>
  <si>
    <t>H 9739 OH</t>
  </si>
  <si>
    <t>Include</t>
  </si>
  <si>
    <t xml:space="preserve">J08EWDJ49606 </t>
  </si>
  <si>
    <t xml:space="preserve">MJESG8JF2TJX12635 </t>
  </si>
  <si>
    <t>GH8433556A1P</t>
  </si>
  <si>
    <t>C3 Heavy Truck Tyres</t>
  </si>
  <si>
    <t>G 9532 OA</t>
  </si>
  <si>
    <t>08EWDJ47926</t>
  </si>
  <si>
    <t>MJESG8JF2SJX1238</t>
  </si>
  <si>
    <t>B 9298 SFW</t>
  </si>
  <si>
    <t>PT ELNUSA PETROFIN</t>
  </si>
  <si>
    <t>Jawa Bagian Tengah</t>
  </si>
  <si>
    <t>ISUZU FVZ34P</t>
  </si>
  <si>
    <t>MHCFVZ34PGJ003523</t>
  </si>
  <si>
    <t>B 9506 SFU</t>
  </si>
  <si>
    <t>Fleet BBM SPBU</t>
  </si>
  <si>
    <t>All In Sewa Kelola</t>
  </si>
  <si>
    <t>Category 3 (BBM)</t>
  </si>
  <si>
    <t>Semi-trailer</t>
  </si>
  <si>
    <t>MERCEDES BENZ 4028T</t>
  </si>
  <si>
    <t>B 9299 SFW</t>
  </si>
  <si>
    <t>Single Gardan</t>
  </si>
  <si>
    <t>HINO FL8JN2A-PGJ (6X2)M/T TRONTON</t>
  </si>
  <si>
    <t>MJEFL8JN2RJ</t>
  </si>
  <si>
    <t>YA</t>
  </si>
  <si>
    <t>MERCEDES BENZ 4028 T4X2 MT</t>
  </si>
  <si>
    <t>Pertamina Patra Logistik</t>
  </si>
  <si>
    <t>MT Reguler</t>
  </si>
  <si>
    <t>Multi Product</t>
  </si>
  <si>
    <t>IDS Patlog</t>
  </si>
  <si>
    <t>E9629YA</t>
  </si>
  <si>
    <t>BBM</t>
  </si>
  <si>
    <t>E9632YA</t>
  </si>
  <si>
    <t>E9854YA</t>
  </si>
  <si>
    <t>Exclude</t>
  </si>
  <si>
    <t xml:space="preserve"> 00023/CN/02/SHR-ATPI/II/2026</t>
  </si>
  <si>
    <t>E9795YA</t>
  </si>
  <si>
    <t xml:space="preserve">E 9493 YC </t>
  </si>
  <si>
    <t>MERCEDES BENZ 4028 T</t>
  </si>
  <si>
    <t xml:space="preserve">MFJ400262SJ004431 </t>
  </si>
  <si>
    <t xml:space="preserve">MFJ400262SJ004430 </t>
  </si>
  <si>
    <t>4009530177878</t>
  </si>
  <si>
    <t xml:space="preserve">MFJ400262SJ004429 </t>
  </si>
  <si>
    <t>E 9258 YB</t>
  </si>
  <si>
    <t>4000953D0159864</t>
  </si>
  <si>
    <t xml:space="preserve">MFJ400262RJ003664 </t>
  </si>
  <si>
    <t xml:space="preserve">E 9512 YC </t>
  </si>
  <si>
    <t>10102012603000036</t>
  </si>
  <si>
    <t>400953D0179246</t>
  </si>
  <si>
    <t>400953D0179270</t>
  </si>
  <si>
    <t xml:space="preserve">MFJ400262SJ004451 </t>
  </si>
  <si>
    <t xml:space="preserve">E 9537 YC </t>
  </si>
  <si>
    <t xml:space="preserve">MFJ400262SJ004442 </t>
  </si>
  <si>
    <t xml:space="preserve">E 9542 YC </t>
  </si>
  <si>
    <t>4260000000011 / 000255</t>
  </si>
  <si>
    <t>400953D0195040</t>
  </si>
  <si>
    <t xml:space="preserve">MFJ400262SJ004768 </t>
  </si>
  <si>
    <t>4260000000011 / 000256</t>
  </si>
  <si>
    <t>400953DO195081</t>
  </si>
  <si>
    <t xml:space="preserve">MFJ400262SJ004827 </t>
  </si>
  <si>
    <t>4260000000011 / 000257</t>
  </si>
  <si>
    <t>E 9554 YC</t>
  </si>
  <si>
    <t>400963D01792246</t>
  </si>
  <si>
    <t xml:space="preserve">E 9556 YC </t>
  </si>
  <si>
    <t xml:space="preserve">MFJ400262SJ004770 </t>
  </si>
  <si>
    <t>4260000000011 / 000044</t>
  </si>
  <si>
    <t>HINO FL280JT2A-XGJ</t>
  </si>
  <si>
    <t>MJEFL8JT2NJX10045</t>
  </si>
  <si>
    <t>R8772BR</t>
  </si>
  <si>
    <t>R 8260 IA</t>
  </si>
  <si>
    <t>MHCFTR90LFJ000276</t>
  </si>
  <si>
    <t>R 8288 IH</t>
  </si>
  <si>
    <t>HINO SG8JE1B-EGJ (SG260TH)</t>
  </si>
  <si>
    <t>FE6-1202927 CY</t>
  </si>
  <si>
    <t>MHPPK260CAK000327</t>
  </si>
  <si>
    <t>04260000000011 / 000694</t>
  </si>
  <si>
    <t>HINO SG8JE1B-NGJ (SG260TH)</t>
  </si>
  <si>
    <t>R 8084 K</t>
  </si>
  <si>
    <t>PT. SERAYU MITRAJAYA</t>
  </si>
  <si>
    <t>IT CILACAP</t>
  </si>
  <si>
    <t>ISUZU FVM34U-NDYIN4 (TRONTON) 6X2 MT</t>
  </si>
  <si>
    <t>6HK1F05741</t>
  </si>
  <si>
    <t>MHCFVM3NPJ000154</t>
  </si>
  <si>
    <t>04260000000011 / 000695</t>
  </si>
  <si>
    <t>R 9693 B</t>
  </si>
  <si>
    <t>R 9694 B</t>
  </si>
  <si>
    <t>UD TRUCKS CDE 250 6x2R WB4300MM E5 ABS M/T</t>
  </si>
  <si>
    <t>R1883CK</t>
  </si>
  <si>
    <t>R 9029 B</t>
  </si>
  <si>
    <t>FE6123958CY</t>
  </si>
  <si>
    <t>MHPPK215MBK000052</t>
  </si>
  <si>
    <t>R9029DT</t>
  </si>
  <si>
    <t>UD TRUCKS GKE 280 4X2T WB35OOMM E5 ABS M/T 9564-B</t>
  </si>
  <si>
    <t>04260000000011 / 000696</t>
  </si>
  <si>
    <t>AA8713OF</t>
  </si>
  <si>
    <t xml:space="preserve">PT. SINAR WAHANA SURYA </t>
  </si>
  <si>
    <t>AA8717OF</t>
  </si>
  <si>
    <t>MFFGKZ50CP</t>
  </si>
  <si>
    <t>AA1938DF</t>
  </si>
  <si>
    <t>MFFCDA3OGNK820485</t>
  </si>
  <si>
    <t>AA1958EF</t>
  </si>
  <si>
    <t>GHH8E5854005C1P</t>
  </si>
  <si>
    <t>AA8710OF</t>
  </si>
  <si>
    <t>GH8E583330CIP</t>
  </si>
  <si>
    <t>AA8711OF</t>
  </si>
  <si>
    <t>MHCFVM346NNJ000103</t>
  </si>
  <si>
    <t>AA1814FP</t>
  </si>
  <si>
    <t>04260000000011 / 000697</t>
  </si>
  <si>
    <t>ISUZU GVR34U-JDYIN4 (T-HEAD) 4X2 M/T</t>
  </si>
  <si>
    <t>6HK1F102095</t>
  </si>
  <si>
    <t>AA1815FP</t>
  </si>
  <si>
    <t xml:space="preserve">AD 8603 OH </t>
  </si>
  <si>
    <t>ISUZU GVR34U-JDYIN4</t>
  </si>
  <si>
    <t xml:space="preserve">MHCGVR34JRJ002409 </t>
  </si>
  <si>
    <t xml:space="preserve">AD 8618 OH </t>
  </si>
  <si>
    <t xml:space="preserve">MHCGVR34JR002410 </t>
  </si>
  <si>
    <t>UD TRUCKS CDE250 6X2R WB5100MM</t>
  </si>
  <si>
    <t>PT. LUMAS PRIMA MAKMUR</t>
  </si>
  <si>
    <t>ISUZU FVM34Q</t>
  </si>
  <si>
    <t>H1429FA</t>
  </si>
  <si>
    <t>HINO FL8JN1A-BGJ</t>
  </si>
  <si>
    <t>J08EUGJ59273</t>
  </si>
  <si>
    <t>04260000000011 / 000698</t>
  </si>
  <si>
    <t>R 8336 B</t>
  </si>
  <si>
    <t>FE6121129CY</t>
  </si>
  <si>
    <t>MHPPK260CAK000361</t>
  </si>
  <si>
    <t>Category 1 (BBM)</t>
  </si>
  <si>
    <t>Euro 4</t>
  </si>
  <si>
    <t>4260000000011 / 000088</t>
  </si>
  <si>
    <t>4260000000011 / 000089</t>
  </si>
  <si>
    <t>1LA02312400224</t>
  </si>
  <si>
    <t>Category 2 (BBM)</t>
  </si>
  <si>
    <t>1941000022025000001-000030</t>
  </si>
  <si>
    <t>MT Baru Belum Ada di SIOD dan Onefis</t>
  </si>
  <si>
    <t>05</t>
  </si>
  <si>
    <t>04</t>
  </si>
  <si>
    <t>Fleet BBM Pertashop</t>
  </si>
  <si>
    <t>Pola Tarif</t>
  </si>
  <si>
    <t>Depot</t>
  </si>
  <si>
    <t>No. Polisi</t>
  </si>
  <si>
    <t>PTO atau Bukan</t>
  </si>
  <si>
    <t>Kapasitas(KL)</t>
  </si>
  <si>
    <t>Jumlah Kompartemen</t>
  </si>
  <si>
    <t>Kepemilikan</t>
  </si>
  <si>
    <t>Tahun Pembuatan</t>
  </si>
  <si>
    <t>No. Mesin</t>
  </si>
  <si>
    <t>No. Rangka</t>
  </si>
  <si>
    <t>STNK kadaluarsa</t>
  </si>
  <si>
    <t>KEUR kadaluarsa</t>
  </si>
  <si>
    <t>Tanggal Tera Ulang</t>
  </si>
  <si>
    <t>KIM/IMK kadaluarsa</t>
  </si>
  <si>
    <t>Asuransi Kadaluarsa</t>
  </si>
  <si>
    <t>Pabrikan Head Truck</t>
  </si>
  <si>
    <t>Tipe Mobil</t>
  </si>
  <si>
    <t>Jenis MT</t>
  </si>
  <si>
    <t>Karoseri MT</t>
  </si>
  <si>
    <t>MT material tangki</t>
  </si>
  <si>
    <t>MT status Penempatan</t>
  </si>
  <si>
    <t>MT kategori</t>
  </si>
  <si>
    <t>MT Kategori BARU</t>
  </si>
  <si>
    <t>MT mode driver</t>
  </si>
  <si>
    <t>Usia (Tahun)</t>
  </si>
  <si>
    <t>Bukan</t>
  </si>
  <si>
    <t>Regular</t>
  </si>
  <si>
    <t>Tarif All-In Lokal</t>
  </si>
  <si>
    <t>Kategori 3</t>
  </si>
  <si>
    <t>Reguler Driver</t>
  </si>
  <si>
    <t>H 8197 SA</t>
  </si>
  <si>
    <t>Fleet BBM Industri</t>
  </si>
  <si>
    <t>PT. RIZQI ABADI HARTATA</t>
  </si>
  <si>
    <t>Trailer</t>
  </si>
  <si>
    <t>Kategori 2</t>
  </si>
  <si>
    <t>Kategori 1</t>
  </si>
  <si>
    <t>H 9336 MA</t>
  </si>
  <si>
    <t>Status Inactive &gt;&gt;&gt;Active di Onefis</t>
  </si>
  <si>
    <t>08</t>
  </si>
  <si>
    <t>04260000000011 / 000301</t>
  </si>
  <si>
    <t>C2 Light Truck Tyres</t>
  </si>
  <si>
    <t>07</t>
  </si>
  <si>
    <t>04260000000011 / 000302</t>
  </si>
  <si>
    <t>6</t>
  </si>
  <si>
    <t>50</t>
  </si>
  <si>
    <t>04260000000011 / 000008</t>
  </si>
  <si>
    <t>47</t>
  </si>
  <si>
    <t>04260000000011 / 000007</t>
  </si>
  <si>
    <t>51</t>
  </si>
  <si>
    <t>04260000000011 / 000006</t>
  </si>
  <si>
    <t>48</t>
  </si>
  <si>
    <t>04260000000011 / 000002</t>
  </si>
  <si>
    <t>MT Tidak dapat mengirim ke tujuan High Elevation</t>
  </si>
  <si>
    <t>49</t>
  </si>
  <si>
    <t>04260000000011 / 000001</t>
  </si>
  <si>
    <t>Euro 2</t>
  </si>
  <si>
    <t>52</t>
  </si>
  <si>
    <t>04260000000011 / 000005</t>
  </si>
  <si>
    <t>53</t>
  </si>
  <si>
    <t>04260000000011 / 000004</t>
  </si>
  <si>
    <t>54</t>
  </si>
  <si>
    <t>04260000000011 / 000003</t>
  </si>
  <si>
    <t>PT. Elnusa Petrofin</t>
  </si>
  <si>
    <t>64</t>
  </si>
  <si>
    <t>2941000022025000001</t>
  </si>
  <si>
    <t>62</t>
  </si>
  <si>
    <t>4</t>
  </si>
  <si>
    <t>5</t>
  </si>
  <si>
    <t>101</t>
  </si>
  <si>
    <t>04260000000011 / 000009</t>
  </si>
  <si>
    <t>79</t>
  </si>
  <si>
    <t>04260000000011 / 000010</t>
  </si>
  <si>
    <t>80</t>
  </si>
  <si>
    <t>04260000000011 / 000011</t>
  </si>
  <si>
    <t>45</t>
  </si>
  <si>
    <t>04260000000011 / 000251</t>
  </si>
  <si>
    <t>46</t>
  </si>
  <si>
    <t>04260000000011 / 000250</t>
  </si>
  <si>
    <t>102</t>
  </si>
  <si>
    <t>04260000000011 / 000041</t>
  </si>
  <si>
    <t>99</t>
  </si>
  <si>
    <t>04260000000011 / 000034</t>
  </si>
  <si>
    <t>66</t>
  </si>
  <si>
    <t>04260000000011 / 000018</t>
  </si>
  <si>
    <t>67</t>
  </si>
  <si>
    <t>04260000000011 / 000017</t>
  </si>
  <si>
    <t>68</t>
  </si>
  <si>
    <t>04260000000011 / 000016</t>
  </si>
  <si>
    <t>69</t>
  </si>
  <si>
    <t>04260000000011 / 000019</t>
  </si>
  <si>
    <t>70</t>
  </si>
  <si>
    <t>04260000000011 / 000020</t>
  </si>
  <si>
    <t>93</t>
  </si>
  <si>
    <t>04260000000011 / 000033</t>
  </si>
  <si>
    <t>96</t>
  </si>
  <si>
    <t>04260000000011 / 000201</t>
  </si>
  <si>
    <t>98</t>
  </si>
  <si>
    <t>04260000000011 / 000086</t>
  </si>
  <si>
    <t>92</t>
  </si>
  <si>
    <t>04260000000011 / 000085</t>
  </si>
  <si>
    <t>88</t>
  </si>
  <si>
    <t>04260000000011 / 000087</t>
  </si>
  <si>
    <t>72</t>
  </si>
  <si>
    <t>04260000000011 / 000199</t>
  </si>
  <si>
    <t>71</t>
  </si>
  <si>
    <t>04260000000011 / 000200</t>
  </si>
  <si>
    <t>90</t>
  </si>
  <si>
    <t>04260000000011 / 000202</t>
  </si>
  <si>
    <t>73</t>
  </si>
  <si>
    <t>04260000000011 / 000083</t>
  </si>
  <si>
    <t>89</t>
  </si>
  <si>
    <t>04260000000011 / 000203</t>
  </si>
  <si>
    <t>91</t>
  </si>
  <si>
    <t>04260000000011 / 000084</t>
  </si>
  <si>
    <t>04260000000011 / 000028</t>
  </si>
  <si>
    <t>27</t>
  </si>
  <si>
    <t>04260000000011 / 000271</t>
  </si>
  <si>
    <t>28</t>
  </si>
  <si>
    <t>04260000000011 / 000270</t>
  </si>
  <si>
    <t>16</t>
  </si>
  <si>
    <t>04260000000011 / 000272</t>
  </si>
  <si>
    <t>17</t>
  </si>
  <si>
    <t>04260000000011 / 000274</t>
  </si>
  <si>
    <t>24</t>
  </si>
  <si>
    <t>04260000000011 / 000269</t>
  </si>
  <si>
    <t>04260000000011 / 000037</t>
  </si>
  <si>
    <t>14</t>
  </si>
  <si>
    <t>04260000000011 / 000276</t>
  </si>
  <si>
    <t>21</t>
  </si>
  <si>
    <t>04260000000011 / 000277</t>
  </si>
  <si>
    <t>04260000000011 / 000127</t>
  </si>
  <si>
    <t>100</t>
  </si>
  <si>
    <t>04260000000011 / 000035</t>
  </si>
  <si>
    <t>PT Puspita Cipta</t>
  </si>
  <si>
    <t>29</t>
  </si>
  <si>
    <t>04260000000011 / 000252</t>
  </si>
  <si>
    <t>3O</t>
  </si>
  <si>
    <t>04260000000011 / 000254</t>
  </si>
  <si>
    <t>32</t>
  </si>
  <si>
    <t>31</t>
  </si>
  <si>
    <t>04260000000011 / 000253</t>
  </si>
  <si>
    <t>PERTAMINA PATRA NIAGA</t>
  </si>
  <si>
    <t>1</t>
  </si>
  <si>
    <t>95</t>
  </si>
  <si>
    <t>04260000000011 / 000259</t>
  </si>
  <si>
    <t>94</t>
  </si>
  <si>
    <t>04260000000011 / 000258</t>
  </si>
  <si>
    <t>00080/CN/02/SHR-ATPI/VI/2026</t>
  </si>
  <si>
    <t>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</si>
</sst>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yyyy-mm-dd"/>
    <numFmt numFmtId="165" formatCode="d mmmm yyyy"/>
    <numFmt numFmtId="166" formatCode="M/d/yyyy"/>
    <numFmt numFmtId="167" formatCode="dd-mmm-yy"/>
    <numFmt numFmtId="168" formatCode="d-mmm-yy"/>
    <numFmt numFmtId="169" formatCode="d/m/yyyy"/>
    <numFmt numFmtId="170" formatCode="dd/mm/yyyy"/>
    <numFmt numFmtId="171" formatCode="d&quot;-&quot;mmm&quot;-&quot;yyyy"/>
    <numFmt numFmtId="172" formatCode="dd mmmm yyyy"/>
    <numFmt numFmtId="173" formatCode="yyyy/mm/dd"/>
    <numFmt numFmtId="174" formatCode="yyyy/m/d"/>
    <numFmt numFmtId="175" formatCode="d mmm yyyy"/>
    <numFmt numFmtId="176" formatCode="&quot; &quot;mm&quot;/&quot;dd&quot;/&quot;yyyy"/>
    <numFmt numFmtId="177" formatCode="_(* #,##0_);_(* \(#,##0\);_(* &quot;-&quot;_);_(@_)"/>
    <numFmt numFmtId="178" formatCode="dd\ mmm\ yyyy"/>
    <numFmt numFmtId="179" formatCode="yyyy&quot;-&quot;mm&quot;-&quot;dd"/>
    <numFmt numFmtId="180" formatCode="m/d/yyyy"/>
    <numFmt numFmtId="181" formatCode="[$-F800]dddd\,\ mmmm\ dd\,\ yyyy"/>
  </numFmts>
  <fonts count="67">
    <font>
      <sz val="10.0"/>
      <color rgb="FF000000"/>
      <name val="Arial"/>
      <scheme val="minor"/>
    </font>
    <font>
      <color theme="1"/>
      <name val="&quot;Google Sans Text&quot;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8.0"/>
      <color rgb="FF000000"/>
      <name val="Calibri"/>
    </font>
    <font>
      <b/>
      <sz val="16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11.0"/>
      <color rgb="FF000000"/>
      <name val="Calibri"/>
    </font>
    <font>
      <u/>
      <color rgb="FF0000FF"/>
    </font>
    <font>
      <b/>
      <sz val="15.0"/>
      <color rgb="FF000000"/>
      <name val="Calibri"/>
    </font>
    <font/>
    <font>
      <b/>
      <color rgb="FF000000"/>
      <name val="Calibri"/>
    </font>
    <font>
      <b/>
      <sz val="8.0"/>
      <color rgb="FFFF0000"/>
      <name val="Calibri"/>
    </font>
    <font>
      <sz val="8.0"/>
      <color rgb="FFFF0000"/>
      <name val="Calibri"/>
    </font>
    <font>
      <b/>
      <sz val="14.0"/>
      <color rgb="FF000000"/>
      <name val="Calibri"/>
    </font>
    <font>
      <b/>
      <sz val="14.0"/>
      <color theme="1"/>
      <name val="&quot;Arial Narrow&quot;"/>
    </font>
    <font>
      <sz val="11.0"/>
      <color rgb="FF000000"/>
      <name val="Calibri"/>
    </font>
    <font>
      <sz val="14.0"/>
      <color rgb="FF000000"/>
      <name val="Calibri"/>
    </font>
    <font>
      <b/>
      <color theme="1"/>
      <name val="&quot;Arial Narrow&quot;"/>
    </font>
    <font>
      <color theme="1"/>
      <name val="&quot;Arial Narrow&quot;"/>
    </font>
    <font>
      <b/>
      <color rgb="FF000000"/>
      <name val="&quot;Arial Narrow&quot;"/>
    </font>
    <font>
      <b/>
      <sz val="8.0"/>
      <color theme="1"/>
      <name val="Calibri"/>
    </font>
    <font>
      <color rgb="FF000000"/>
      <name val="&quot;Arial Narrow&quot;"/>
    </font>
    <font>
      <sz val="18.0"/>
      <color theme="1"/>
      <name val="Arial"/>
    </font>
    <font>
      <sz val="14.0"/>
      <color theme="1"/>
      <name val="&quot;Calibri Light&quot;"/>
    </font>
    <font>
      <color rgb="FF000000"/>
      <name val="Calibri"/>
    </font>
    <font>
      <sz val="11.0"/>
      <color theme="1"/>
      <name val="Arial"/>
    </font>
    <font>
      <sz val="11.0"/>
      <color theme="1"/>
      <name val="Aptos Narrow"/>
    </font>
    <font>
      <sz val="10.0"/>
      <color theme="1"/>
      <name val="Arial"/>
      <scheme val="minor"/>
    </font>
    <font>
      <color rgb="FF4C4C4C"/>
      <name val="&quot;Lucida Grande&quot;"/>
    </font>
    <font>
      <sz val="10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8.0"/>
      <color theme="1"/>
      <name val="Arial"/>
      <scheme val="minor"/>
    </font>
    <font>
      <sz val="11.0"/>
      <color rgb="FF000000"/>
      <name val="Arial"/>
    </font>
    <font>
      <b/>
      <sz val="10.0"/>
      <color theme="1"/>
      <name val="Calibri"/>
    </font>
    <font>
      <sz val="14.0"/>
      <color theme="1"/>
      <name val="Calibri"/>
    </font>
    <font>
      <sz val="11.0"/>
      <color rgb="FFFF0000"/>
      <name val="&quot;Aptos Narrow&quot;"/>
    </font>
    <font>
      <sz val="11.0"/>
      <color theme="1"/>
      <name val="Calibri"/>
    </font>
    <font>
      <b/>
      <sz val="50.0"/>
      <color theme="1"/>
      <name val="Cambria"/>
    </font>
    <font>
      <b/>
      <sz val="50.0"/>
      <color rgb="FF000000"/>
      <name val="Cambria"/>
    </font>
    <font>
      <b/>
      <sz val="53.0"/>
      <color theme="1"/>
      <name val="Cambria"/>
    </font>
    <font>
      <b/>
      <sz val="9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b/>
      <sz val="9.0"/>
      <color rgb="FFFF0000"/>
      <name val="Arial"/>
    </font>
    <font>
      <sz val="9.0"/>
      <color rgb="FFFF0000"/>
      <name val="Arial"/>
    </font>
    <font>
      <sz val="10.0"/>
      <color rgb="FF000000"/>
      <name val="Arial"/>
    </font>
    <font>
      <sz val="10.0"/>
      <color rgb="FFFF0000"/>
      <name val="Calibri"/>
    </font>
    <font>
      <sz val="10.0"/>
      <color rgb="FF000000"/>
      <name val="Calibri"/>
    </font>
    <font>
      <b/>
      <sz val="16.0"/>
      <color theme="1"/>
      <name val="Arial"/>
      <scheme val="minor"/>
    </font>
    <font>
      <sz val="11.0"/>
      <color rgb="FF000000"/>
      <name val="&quot;Aptos Narrow&quot;"/>
    </font>
    <font>
      <b/>
      <sz val="8.0"/>
      <color rgb="FFFFFFFF"/>
      <name val="Arial"/>
    </font>
    <font>
      <b/>
      <sz val="8.0"/>
      <color theme="1"/>
      <name val="Arial"/>
    </font>
    <font>
      <b/>
      <sz val="12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b/>
      <sz val="11.0"/>
      <color theme="1"/>
      <name val="Arial"/>
    </font>
    <font>
      <color rgb="FF4C4C4C"/>
      <name val="Arial"/>
    </font>
    <font>
      <sz val="11.0"/>
      <color theme="1"/>
      <name val="&quot;Aptos Narrow&quot;"/>
    </font>
    <font>
      <sz val="10.0"/>
      <color theme="1"/>
      <name val="Arial"/>
    </font>
    <font>
      <b/>
      <sz val="10.0"/>
      <color theme="1"/>
      <name val="Aptos Narrow"/>
    </font>
    <font>
      <sz val="10.0"/>
      <color theme="1"/>
      <name val="Aptos Narrow"/>
    </font>
    <font>
      <sz val="10.0"/>
      <color rgb="FFFF0000"/>
      <name val="Aptos Narrow"/>
    </font>
    <font>
      <sz val="10.0"/>
      <color theme="1"/>
      <name val="&quot;Aptos Narrow&quot;"/>
    </font>
  </fonts>
  <fills count="3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EAAAA"/>
        <bgColor rgb="FFAEAAAA"/>
      </patternFill>
    </fill>
    <fill>
      <patternFill patternType="solid">
        <fgColor rgb="FFBFBFBF"/>
        <bgColor rgb="FFBFBFBF"/>
      </patternFill>
    </fill>
    <fill>
      <patternFill patternType="solid">
        <fgColor rgb="FFE9EBF5"/>
        <bgColor rgb="FFE9EBF5"/>
      </patternFill>
    </fill>
    <fill>
      <patternFill patternType="solid">
        <fgColor rgb="FFCFD5EA"/>
        <bgColor rgb="FFCFD5EA"/>
      </patternFill>
    </fill>
    <fill>
      <patternFill patternType="solid">
        <fgColor rgb="FF66FFCC"/>
        <bgColor rgb="FF66FFCC"/>
      </patternFill>
    </fill>
    <fill>
      <patternFill patternType="solid">
        <fgColor rgb="FF00B0F0"/>
        <bgColor rgb="FF00B0F0"/>
      </patternFill>
    </fill>
    <fill>
      <patternFill patternType="solid">
        <fgColor rgb="FFFABF8F"/>
        <bgColor rgb="FFFABF8F"/>
      </patternFill>
    </fill>
    <fill>
      <patternFill patternType="solid">
        <fgColor rgb="FFDDD9C4"/>
        <bgColor rgb="FFDDD9C4"/>
      </patternFill>
    </fill>
    <fill>
      <patternFill patternType="solid">
        <fgColor rgb="FFFFC000"/>
        <bgColor rgb="FFFFC000"/>
      </patternFill>
    </fill>
    <fill>
      <patternFill patternType="solid">
        <fgColor rgb="FFF9CB9C"/>
        <bgColor rgb="FFF9CB9C"/>
      </patternFill>
    </fill>
    <fill>
      <patternFill patternType="solid">
        <fgColor rgb="FFC65911"/>
        <bgColor rgb="FFC65911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A9D18E"/>
      </patternFill>
    </fill>
    <fill>
      <patternFill patternType="solid">
        <fgColor rgb="FF666666"/>
        <bgColor rgb="FF666666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A6C9EC"/>
        <bgColor rgb="FFA6C9EC"/>
      </patternFill>
    </fill>
    <fill>
      <patternFill patternType="solid">
        <fgColor rgb="FF215C98"/>
        <bgColor rgb="FF215C98"/>
      </patternFill>
    </fill>
    <fill>
      <patternFill patternType="solid">
        <fgColor rgb="FFF6C6AC"/>
        <bgColor rgb="FFF6C6AC"/>
      </patternFill>
    </fill>
    <fill>
      <patternFill patternType="solid">
        <fgColor rgb="FFF1CEEE"/>
        <bgColor rgb="FFF1CEEE"/>
      </patternFill>
    </fill>
    <fill>
      <patternFill patternType="solid">
        <fgColor rgb="FF92D050"/>
        <bgColor rgb="FF92D050"/>
      </patternFill>
    </fill>
  </fills>
  <borders count="28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top style="thin">
        <color rgb="FF4472C4"/>
      </top>
      <bottom style="thin">
        <color rgb="FF4472C4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4472C4"/>
      </right>
      <bottom style="thin">
        <color rgb="FF4472C4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4472C4"/>
      </left>
      <right style="thin">
        <color rgb="FF4472C4"/>
      </right>
      <bottom style="thin">
        <color rgb="FF4472C4"/>
      </bottom>
    </border>
    <border>
      <bottom style="thin">
        <color rgb="FF4472C4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shrinkToFit="0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2" fillId="3" fontId="4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wrapText="0"/>
    </xf>
    <xf borderId="3" fillId="4" fontId="6" numFmtId="0" xfId="0" applyAlignment="1" applyBorder="1" applyFill="1" applyFont="1">
      <alignment horizontal="center" readingOrder="0" shrinkToFit="0" wrapText="0"/>
    </xf>
    <xf borderId="3" fillId="5" fontId="6" numFmtId="0" xfId="0" applyAlignment="1" applyBorder="1" applyFill="1" applyFont="1">
      <alignment readingOrder="0" shrinkToFit="0" wrapText="0"/>
    </xf>
    <xf borderId="3" fillId="0" fontId="6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shrinkToFit="0" vertical="bottom" wrapText="0"/>
    </xf>
    <xf borderId="3" fillId="0" fontId="3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left" readingOrder="0" shrinkToFit="0" wrapText="0"/>
    </xf>
    <xf borderId="3" fillId="4" fontId="6" numFmtId="0" xfId="0" applyAlignment="1" applyBorder="1" applyFill="1" applyFont="1">
      <alignment horizontal="center" readingOrder="0" vertical="bottom"/>
    </xf>
    <xf borderId="3" fillId="4" fontId="6" numFmtId="0" xfId="0" applyAlignment="1" applyBorder="1" applyFill="1" applyFont="1">
      <alignment horizontal="center" vertical="bottom"/>
    </xf>
    <xf borderId="0" fillId="0" fontId="3" numFmtId="164" xfId="0" applyAlignment="1" applyFont="1" applyNumberFormat="1">
      <alignment shrinkToFit="0" wrapText="0"/>
    </xf>
    <xf borderId="0" fillId="0" fontId="7" numFmtId="11" xfId="0" applyAlignment="1" applyFont="1" applyNumberFormat="1">
      <alignment horizontal="right" readingOrder="0" shrinkToFit="0" vertical="bottom" wrapText="0"/>
    </xf>
    <xf borderId="3" fillId="0" fontId="7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  <xf borderId="0" fillId="0" fontId="8" numFmtId="0" xfId="0" applyAlignment="1" applyFont="1">
      <alignment horizontal="center" shrinkToFit="0" wrapText="0"/>
    </xf>
    <xf borderId="3" fillId="4" fontId="7" numFmtId="0" xfId="0" applyAlignment="1" applyBorder="1" applyFill="1" applyFont="1">
      <alignment horizontal="center" readingOrder="0" shrinkToFit="0" wrapText="0"/>
    </xf>
    <xf borderId="0" fillId="0" fontId="8" numFmtId="0" xfId="0" applyAlignment="1" applyFont="1">
      <alignment horizontal="center" shrinkToFit="0" vertical="center" wrapText="1"/>
    </xf>
    <xf borderId="3" fillId="4" fontId="6" numFmtId="0" xfId="0" applyAlignment="1" applyBorder="1" applyFill="1" applyFont="1">
      <alignment horizontal="left" readingOrder="0" shrinkToFit="0" wrapText="0"/>
    </xf>
    <xf borderId="0" fillId="0" fontId="7" numFmtId="0" xfId="0" applyAlignment="1" applyFont="1">
      <alignment horizontal="left" shrinkToFit="0" wrapText="0"/>
    </xf>
    <xf borderId="3" fillId="0" fontId="7" numFmtId="0" xfId="0" applyAlignment="1" applyBorder="1" applyFont="1">
      <alignment horizontal="left" readingOrder="0" shrinkToFit="0" wrapText="0"/>
    </xf>
    <xf borderId="4" fillId="0" fontId="8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shrinkToFit="0" wrapText="0"/>
    </xf>
    <xf borderId="3" fillId="4" fontId="7" numFmtId="0" xfId="0" applyAlignment="1" applyBorder="1" applyFill="1" applyFont="1">
      <alignment horizontal="left" readingOrder="0" shrinkToFit="0" wrapText="0"/>
    </xf>
    <xf borderId="4" fillId="0" fontId="10" numFmtId="0" xfId="0" applyAlignment="1" applyBorder="1" applyFont="1">
      <alignment horizontal="center" readingOrder="0" shrinkToFit="0" wrapText="0"/>
    </xf>
    <xf borderId="0" fillId="0" fontId="3" numFmtId="165" xfId="0" applyAlignment="1" applyFont="1" applyNumberFormat="1">
      <alignment horizontal="center" vertical="center"/>
    </xf>
    <xf borderId="3" fillId="3" fontId="4" numFmtId="0" xfId="0" applyAlignment="1" applyBorder="1" applyFill="1" applyFont="1">
      <alignment horizontal="center" readingOrder="0" shrinkToFit="0" vertical="center" wrapText="0"/>
    </xf>
    <xf borderId="0" fillId="0" fontId="3" numFmtId="166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0"/>
    </xf>
    <xf borderId="6" fillId="0" fontId="11" numFmtId="0" xfId="0" applyBorder="1" applyFont="1"/>
    <xf borderId="5" fillId="3" fontId="4" numFmtId="0" xfId="0" applyAlignment="1" applyBorder="1" applyFill="1" applyFont="1">
      <alignment horizontal="center" readingOrder="0" vertical="center"/>
    </xf>
    <xf borderId="3" fillId="5" fontId="7" numFmtId="0" xfId="0" applyAlignment="1" applyBorder="1" applyFill="1" applyFont="1">
      <alignment readingOrder="0" shrinkToFit="0" wrapText="0"/>
    </xf>
    <xf borderId="3" fillId="6" fontId="4" numFmtId="0" xfId="0" applyAlignment="1" applyBorder="1" applyFill="1" applyFont="1">
      <alignment horizontal="center" readingOrder="0" shrinkToFit="0" vertical="center" wrapText="0"/>
    </xf>
    <xf borderId="2" fillId="6" fontId="4" numFmtId="0" xfId="0" applyAlignment="1" applyBorder="1" applyFill="1" applyFont="1">
      <alignment horizontal="center" readingOrder="0" shrinkToFit="0" vertical="center" wrapText="0"/>
    </xf>
    <xf borderId="2" fillId="7" fontId="12" numFmtId="0" xfId="0" applyAlignment="1" applyBorder="1" applyFill="1" applyFont="1">
      <alignment horizontal="center" readingOrder="0" shrinkToFit="0" vertical="center" wrapText="0"/>
    </xf>
    <xf borderId="2" fillId="3" fontId="4" numFmtId="0" xfId="0" applyAlignment="1" applyBorder="1" applyFill="1" applyFont="1">
      <alignment horizontal="center" readingOrder="0" shrinkToFit="0" vertical="center" wrapText="1"/>
    </xf>
    <xf borderId="3" fillId="5" fontId="6" numFmtId="0" xfId="0" applyAlignment="1" applyBorder="1" applyFill="1" applyFont="1">
      <alignment horizontal="left" readingOrder="0" shrinkToFit="0" wrapText="0"/>
    </xf>
    <xf borderId="2" fillId="3" fontId="4" numFmtId="0" xfId="0" applyAlignment="1" applyBorder="1" applyFill="1" applyFont="1">
      <alignment horizontal="center" readingOrder="0" vertical="center"/>
    </xf>
    <xf borderId="3" fillId="5" fontId="6" numFmtId="0" xfId="0" applyAlignment="1" applyBorder="1" applyFill="1" applyFont="1">
      <alignment horizontal="center" readingOrder="0" shrinkToFit="0" wrapText="0"/>
    </xf>
    <xf borderId="3" fillId="5" fontId="7" numFmtId="0" xfId="0" applyAlignment="1" applyBorder="1" applyFill="1" applyFont="1">
      <alignment horizontal="center" readingOrder="0" shrinkToFit="0" vertical="bottom" wrapText="0"/>
    </xf>
    <xf borderId="7" fillId="0" fontId="11" numFmtId="0" xfId="0" applyBorder="1" applyFont="1"/>
    <xf borderId="3" fillId="0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 shrinkToFit="0" wrapText="0"/>
    </xf>
    <xf borderId="3" fillId="4" fontId="6" numFmtId="165" xfId="0" applyAlignment="1" applyBorder="1" applyFill="1" applyFont="1" applyNumberFormat="1">
      <alignment horizontal="center" readingOrder="0" shrinkToFit="0" wrapText="0"/>
    </xf>
    <xf borderId="3" fillId="0" fontId="13" numFmtId="0" xfId="0" applyAlignment="1" applyBorder="1" applyFont="1">
      <alignment horizontal="left" shrinkToFit="0" wrapText="0"/>
    </xf>
    <xf borderId="3" fillId="4" fontId="6" numFmtId="166" xfId="0" applyAlignment="1" applyBorder="1" applyFill="1" applyFont="1" applyNumberFormat="1">
      <alignment horizontal="center" readingOrder="0" shrinkToFit="0" wrapText="0"/>
    </xf>
    <xf borderId="3" fillId="0" fontId="13" numFmtId="0" xfId="0" applyAlignment="1" applyBorder="1" applyFont="1">
      <alignment horizontal="left" readingOrder="0" shrinkToFit="0" wrapText="0"/>
    </xf>
    <xf borderId="3" fillId="0" fontId="4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right" readingOrder="0" shrinkToFit="0" wrapText="0"/>
    </xf>
    <xf borderId="0" fillId="0" fontId="14" numFmtId="0" xfId="0" applyAlignment="1" applyFont="1">
      <alignment shrinkToFit="0" wrapText="0"/>
    </xf>
    <xf borderId="8" fillId="8" fontId="15" numFmtId="0" xfId="0" applyAlignment="1" applyBorder="1" applyFill="1" applyFont="1">
      <alignment horizontal="center" readingOrder="0"/>
    </xf>
    <xf borderId="9" fillId="0" fontId="11" numFmtId="0" xfId="0" applyBorder="1" applyFont="1"/>
    <xf borderId="10" fillId="0" fontId="11" numFmtId="0" xfId="0" applyBorder="1" applyFont="1"/>
    <xf borderId="9" fillId="8" fontId="15" numFmtId="0" xfId="0" applyAlignment="1" applyBorder="1" applyFill="1" applyFont="1">
      <alignment horizontal="center" readingOrder="0"/>
    </xf>
    <xf borderId="0" fillId="0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shrinkToFit="0" vertical="bottom" wrapText="0"/>
    </xf>
    <xf borderId="11" fillId="9" fontId="18" numFmtId="0" xfId="0" applyAlignment="1" applyBorder="1" applyFill="1" applyFont="1">
      <alignment horizontal="center" readingOrder="0"/>
    </xf>
    <xf borderId="0" fillId="4" fontId="19" numFmtId="0" xfId="0" applyAlignment="1" applyFill="1" applyFont="1">
      <alignment shrinkToFit="0" wrapText="0"/>
    </xf>
    <xf borderId="12" fillId="9" fontId="18" numFmtId="0" xfId="0" applyAlignment="1" applyBorder="1" applyFill="1" applyFont="1">
      <alignment horizontal="center" readingOrder="0"/>
    </xf>
    <xf borderId="0" fillId="4" fontId="20" numFmtId="0" xfId="0" applyAlignment="1" applyFill="1" applyFont="1">
      <alignment shrinkToFit="0" wrapText="0"/>
    </xf>
    <xf borderId="9" fillId="9" fontId="18" numFmtId="0" xfId="0" applyAlignment="1" applyBorder="1" applyFill="1" applyFont="1">
      <alignment horizontal="center" readingOrder="0"/>
    </xf>
    <xf borderId="0" fillId="4" fontId="19" numFmtId="0" xfId="0" applyAlignment="1" applyFill="1" applyFont="1">
      <alignment horizontal="center" shrinkToFit="0" wrapText="0"/>
    </xf>
    <xf borderId="2" fillId="10" fontId="20" numFmtId="0" xfId="0" applyAlignment="1" applyBorder="1" applyFill="1" applyFont="1">
      <alignment horizontal="center" readingOrder="0" shrinkToFit="0" wrapText="0"/>
    </xf>
    <xf borderId="5" fillId="11" fontId="21" numFmtId="0" xfId="0" applyAlignment="1" applyBorder="1" applyFill="1" applyFont="1">
      <alignment readingOrder="0" shrinkToFit="0" wrapText="0"/>
    </xf>
    <xf borderId="13" fillId="11" fontId="21" numFmtId="0" xfId="0" applyAlignment="1" applyBorder="1" applyFill="1" applyFont="1">
      <alignment readingOrder="0" shrinkToFit="0" wrapText="0"/>
    </xf>
    <xf borderId="13" fillId="12" fontId="21" numFmtId="0" xfId="0" applyAlignment="1" applyBorder="1" applyFill="1" applyFont="1">
      <alignment readingOrder="0" shrinkToFit="0" wrapText="0"/>
    </xf>
    <xf borderId="11" fillId="0" fontId="11" numFmtId="0" xfId="0" applyBorder="1" applyFont="1"/>
    <xf borderId="7" fillId="10" fontId="20" numFmtId="0" xfId="0" applyAlignment="1" applyBorder="1" applyFill="1" applyFont="1">
      <alignment horizontal="center" readingOrder="0" shrinkToFit="0" wrapText="0"/>
    </xf>
    <xf borderId="12" fillId="8" fontId="18" numFmtId="0" xfId="0" applyAlignment="1" applyBorder="1" applyFill="1" applyFont="1">
      <alignment horizontal="center" readingOrder="0"/>
    </xf>
    <xf borderId="7" fillId="13" fontId="20" numFmtId="0" xfId="0" applyAlignment="1" applyBorder="1" applyFill="1" applyFont="1">
      <alignment horizontal="center" readingOrder="0" shrinkToFit="0" wrapText="0"/>
    </xf>
    <xf borderId="9" fillId="8" fontId="18" numFmtId="0" xfId="0" applyAlignment="1" applyBorder="1" applyFill="1" applyFont="1">
      <alignment horizontal="center" readingOrder="0"/>
    </xf>
    <xf borderId="14" fillId="13" fontId="20" numFmtId="0" xfId="0" applyAlignment="1" applyBorder="1" applyFill="1" applyFont="1">
      <alignment horizontal="center" readingOrder="0" shrinkToFit="0" wrapText="0"/>
    </xf>
    <xf borderId="15" fillId="8" fontId="18" numFmtId="0" xfId="0" applyAlignment="1" applyBorder="1" applyFill="1" applyFont="1">
      <alignment horizontal="center"/>
    </xf>
    <xf borderId="14" fillId="12" fontId="20" numFmtId="0" xfId="0" applyAlignment="1" applyBorder="1" applyFill="1" applyFont="1">
      <alignment horizontal="center" readingOrder="0" shrinkToFit="0" wrapText="0"/>
    </xf>
    <xf borderId="15" fillId="9" fontId="18" numFmtId="0" xfId="0" applyAlignment="1" applyBorder="1" applyFill="1" applyFont="1">
      <alignment horizontal="center" readingOrder="0"/>
    </xf>
    <xf borderId="12" fillId="8" fontId="18" numFmtId="0" xfId="0" applyAlignment="1" applyBorder="1" applyFill="1" applyFont="1">
      <alignment horizontal="left"/>
    </xf>
    <xf borderId="12" fillId="9" fontId="18" numFmtId="0" xfId="0" applyAlignment="1" applyBorder="1" applyFill="1" applyFont="1">
      <alignment horizontal="left" readingOrder="0"/>
    </xf>
    <xf borderId="1" fillId="14" fontId="21" numFmtId="0" xfId="0" applyAlignment="1" applyBorder="1" applyFill="1" applyFont="1">
      <alignment horizontal="center" readingOrder="0" shrinkToFit="0" wrapText="0"/>
    </xf>
    <xf borderId="16" fillId="4" fontId="20" numFmtId="0" xfId="0" applyAlignment="1" applyBorder="1" applyFill="1" applyFont="1">
      <alignment horizontal="center" readingOrder="0" shrinkToFit="0" wrapText="0"/>
    </xf>
    <xf borderId="3" fillId="4" fontId="19" numFmtId="0" xfId="0" applyAlignment="1" applyBorder="1" applyFill="1" applyFont="1">
      <alignment horizontal="center" shrinkToFit="0" wrapText="0"/>
    </xf>
    <xf borderId="3" fillId="15" fontId="19" numFmtId="0" xfId="0" applyAlignment="1" applyBorder="1" applyFill="1" applyFont="1">
      <alignment horizontal="center" readingOrder="0" shrinkToFit="0" wrapText="0"/>
    </xf>
    <xf borderId="3" fillId="15" fontId="19" numFmtId="0" xfId="0" applyAlignment="1" applyBorder="1" applyFill="1" applyFont="1">
      <alignment horizontal="center" shrinkToFit="0" wrapText="0"/>
    </xf>
    <xf borderId="3" fillId="4" fontId="19" numFmtId="0" xfId="0" applyAlignment="1" applyBorder="1" applyFill="1" applyFont="1">
      <alignment horizontal="center" readingOrder="0" shrinkToFit="0" wrapText="0"/>
    </xf>
    <xf borderId="0" fillId="0" fontId="17" numFmtId="0" xfId="0" applyAlignment="1" applyFont="1">
      <alignment horizontal="right" readingOrder="0" shrinkToFit="0" vertical="bottom" wrapText="0"/>
    </xf>
    <xf borderId="2" fillId="14" fontId="19" numFmtId="0" xfId="0" applyAlignment="1" applyBorder="1" applyFill="1" applyFont="1">
      <alignment horizontal="center" readingOrder="0" shrinkToFit="0" wrapText="0"/>
    </xf>
    <xf borderId="17" fillId="4" fontId="20" numFmtId="0" xfId="0" applyAlignment="1" applyBorder="1" applyFill="1" applyFont="1">
      <alignment horizontal="center" readingOrder="0" shrinkToFit="0" wrapText="0"/>
    </xf>
    <xf borderId="3" fillId="0" fontId="22" numFmtId="0" xfId="0" applyAlignment="1" applyBorder="1" applyFont="1">
      <alignment horizontal="center" readingOrder="0" shrinkToFit="0" wrapText="0"/>
    </xf>
    <xf borderId="2" fillId="14" fontId="21" numFmtId="0" xfId="0" applyAlignment="1" applyBorder="1" applyFill="1" applyFont="1">
      <alignment horizontal="center" readingOrder="0" shrinkToFit="0" wrapText="0"/>
    </xf>
    <xf borderId="17" fillId="4" fontId="23" numFmtId="0" xfId="0" applyAlignment="1" applyBorder="1" applyFill="1" applyFont="1">
      <alignment horizontal="center" readingOrder="0" shrinkToFit="0" wrapText="0"/>
    </xf>
    <xf borderId="15" fillId="16" fontId="18" numFmtId="0" xfId="0" applyAlignment="1" applyBorder="1" applyFill="1" applyFont="1">
      <alignment horizontal="center" readingOrder="0"/>
    </xf>
    <xf borderId="12" fillId="16" fontId="18" numFmtId="0" xfId="0" applyAlignment="1" applyBorder="1" applyFill="1" applyFont="1">
      <alignment horizontal="left" readingOrder="0"/>
    </xf>
    <xf borderId="12" fillId="9" fontId="18" numFmtId="0" xfId="0" applyAlignment="1" applyBorder="1" applyFill="1" applyFont="1">
      <alignment horizontal="left"/>
    </xf>
    <xf borderId="12" fillId="8" fontId="18" numFmtId="0" xfId="0" applyAlignment="1" applyBorder="1" applyFill="1" applyFont="1">
      <alignment horizontal="left" readingOrder="0"/>
    </xf>
    <xf borderId="17" fillId="4" fontId="20" numFmtId="0" xfId="0" applyAlignment="1" applyBorder="1" applyFill="1" applyFont="1">
      <alignment horizontal="center" readingOrder="0"/>
    </xf>
    <xf borderId="16" fillId="4" fontId="23" numFmtId="0" xfId="0" applyAlignment="1" applyBorder="1" applyFill="1" applyFont="1">
      <alignment horizontal="center" readingOrder="0" shrinkToFit="0" wrapText="0"/>
    </xf>
    <xf borderId="2" fillId="14" fontId="19" numFmtId="0" xfId="0" applyAlignment="1" applyBorder="1" applyFill="1" applyFont="1">
      <alignment horizontal="center" readingOrder="0"/>
    </xf>
    <xf borderId="2" fillId="14" fontId="21" numFmtId="0" xfId="0" applyAlignment="1" applyBorder="1" applyFill="1" applyFont="1">
      <alignment horizontal="center" readingOrder="0" shrinkToFit="0" vertical="top" wrapText="0"/>
    </xf>
    <xf borderId="17" fillId="4" fontId="17" numFmtId="0" xfId="0" applyAlignment="1" applyBorder="1" applyFill="1" applyFont="1">
      <alignment horizontal="center" readingOrder="0" shrinkToFit="0" wrapText="0"/>
    </xf>
    <xf borderId="1" fillId="14" fontId="19" numFmtId="0" xfId="0" applyAlignment="1" applyBorder="1" applyFill="1" applyFont="1">
      <alignment horizontal="center" readingOrder="0" shrinkToFit="0" wrapText="0"/>
    </xf>
    <xf borderId="16" fillId="4" fontId="19" numFmtId="0" xfId="0" applyAlignment="1" applyBorder="1" applyFill="1" applyFont="1">
      <alignment horizontal="center" shrinkToFit="0" wrapText="0"/>
    </xf>
    <xf borderId="16" fillId="14" fontId="19" numFmtId="0" xfId="0" applyAlignment="1" applyBorder="1" applyFill="1" applyFont="1">
      <alignment horizontal="center" readingOrder="0" shrinkToFit="0" wrapText="0"/>
    </xf>
    <xf borderId="16" fillId="0" fontId="11" numFmtId="0" xfId="0" applyBorder="1" applyFont="1"/>
    <xf borderId="17" fillId="14" fontId="19" numFmtId="0" xfId="0" applyAlignment="1" applyBorder="1" applyFill="1" applyFont="1">
      <alignment horizontal="center" readingOrder="0" shrinkToFit="0" wrapText="0"/>
    </xf>
    <xf borderId="3" fillId="0" fontId="6" numFmtId="167" xfId="0" applyAlignment="1" applyBorder="1" applyFont="1" applyNumberFormat="1">
      <alignment horizontal="left" readingOrder="0" shrinkToFit="0" wrapText="0"/>
    </xf>
    <xf borderId="16" fillId="14" fontId="21" numFmtId="0" xfId="0" applyAlignment="1" applyBorder="1" applyFill="1" applyFont="1">
      <alignment horizontal="center" readingOrder="0" shrinkToFit="0" wrapText="0"/>
    </xf>
    <xf borderId="3" fillId="0" fontId="7" numFmtId="0" xfId="0" applyAlignment="1" applyBorder="1" applyFont="1">
      <alignment readingOrder="0" shrinkToFit="0" wrapText="0"/>
    </xf>
    <xf borderId="12" fillId="8" fontId="24" numFmtId="0" xfId="0" applyAlignment="1" applyBorder="1" applyFill="1" applyFont="1">
      <alignment vertical="top"/>
    </xf>
    <xf borderId="3" fillId="4" fontId="6" numFmtId="0" xfId="0" applyAlignment="1" applyBorder="1" applyFill="1" applyFont="1">
      <alignment horizontal="center" readingOrder="0" shrinkToFit="0" vertical="center" wrapText="1"/>
    </xf>
    <xf borderId="3" fillId="4" fontId="6" numFmtId="0" xfId="0" applyAlignment="1" applyBorder="1" applyFill="1" applyFont="1">
      <alignment readingOrder="0" shrinkToFit="0" wrapText="0"/>
    </xf>
    <xf borderId="0" fillId="4" fontId="14" numFmtId="0" xfId="0" applyAlignment="1" applyFill="1" applyFont="1">
      <alignment shrinkToFit="0" wrapText="0"/>
    </xf>
    <xf borderId="12" fillId="9" fontId="24" numFmtId="0" xfId="0" applyAlignment="1" applyBorder="1" applyFill="1" applyFont="1">
      <alignment horizontal="center" vertical="top"/>
    </xf>
    <xf borderId="15" fillId="9" fontId="18" numFmtId="0" xfId="0" applyAlignment="1" applyBorder="1" applyFill="1" applyFont="1">
      <alignment horizontal="center"/>
    </xf>
    <xf borderId="2" fillId="14" fontId="12" numFmtId="0" xfId="0" applyAlignment="1" applyBorder="1" applyFill="1" applyFont="1">
      <alignment horizontal="center" readingOrder="0" shrinkToFit="0" vertical="top" wrapText="0"/>
    </xf>
    <xf borderId="12" fillId="9" fontId="24" numFmtId="0" xfId="0" applyAlignment="1" applyBorder="1" applyFill="1" applyFont="1">
      <alignment vertical="top"/>
    </xf>
    <xf borderId="0" fillId="4" fontId="17" numFmtId="0" xfId="0" applyAlignment="1" applyFill="1" applyFont="1">
      <alignment horizontal="center" shrinkToFit="0" wrapText="0"/>
    </xf>
    <xf borderId="0" fillId="4" fontId="19" numFmtId="0" xfId="0" applyAlignment="1" applyFill="1" applyFont="1">
      <alignment horizontal="center"/>
    </xf>
    <xf borderId="0" fillId="0" fontId="17" numFmtId="0" xfId="0" applyAlignment="1" applyFont="1">
      <alignment horizontal="center" shrinkToFit="0" wrapText="0"/>
    </xf>
    <xf borderId="16" fillId="4" fontId="17" numFmtId="0" xfId="0" applyAlignment="1" applyBorder="1" applyFill="1" applyFont="1">
      <alignment horizontal="center" shrinkToFit="0" wrapText="0"/>
    </xf>
    <xf borderId="17" fillId="14" fontId="19" numFmtId="0" xfId="0" applyAlignment="1" applyBorder="1" applyFill="1" applyFont="1">
      <alignment horizontal="center" readingOrder="0"/>
    </xf>
    <xf borderId="18" fillId="0" fontId="11" numFmtId="0" xfId="0" applyBorder="1" applyFont="1"/>
    <xf borderId="16" fillId="0" fontId="17" numFmtId="0" xfId="0" applyAlignment="1" applyBorder="1" applyFont="1">
      <alignment horizontal="center" shrinkToFit="0" wrapText="0"/>
    </xf>
    <xf borderId="9" fillId="17" fontId="15" numFmtId="0" xfId="0" applyAlignment="1" applyBorder="1" applyFill="1" applyFont="1">
      <alignment horizontal="center" readingOrder="0"/>
    </xf>
    <xf borderId="15" fillId="17" fontId="15" numFmtId="0" xfId="0" applyAlignment="1" applyBorder="1" applyFill="1" applyFont="1">
      <alignment horizontal="center" readingOrder="0"/>
    </xf>
    <xf borderId="3" fillId="0" fontId="6" numFmtId="168" xfId="0" applyAlignment="1" applyBorder="1" applyFont="1" applyNumberFormat="1">
      <alignment horizontal="left" readingOrder="0" shrinkToFit="0" wrapText="0"/>
    </xf>
    <xf borderId="8" fillId="9" fontId="24" numFmtId="0" xfId="0" applyAlignment="1" applyBorder="1" applyFill="1" applyFont="1">
      <alignment horizontal="center"/>
    </xf>
    <xf borderId="11" fillId="8" fontId="18" numFmtId="0" xfId="0" applyAlignment="1" applyBorder="1" applyFill="1" applyFont="1">
      <alignment horizontal="center" readingOrder="0"/>
    </xf>
    <xf borderId="15" fillId="8" fontId="18" numFmtId="0" xfId="0" applyBorder="1" applyFill="1" applyFont="1"/>
    <xf borderId="3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shrinkToFit="0" wrapText="0"/>
    </xf>
    <xf borderId="3" fillId="4" fontId="7" numFmtId="0" xfId="0" applyAlignment="1" applyBorder="1" applyFill="1" applyFont="1">
      <alignment horizontal="center" readingOrder="0" shrinkToFit="0" vertical="center" wrapText="1"/>
    </xf>
    <xf borderId="3" fillId="4" fontId="7" numFmtId="0" xfId="0" applyAlignment="1" applyBorder="1" applyFill="1" applyFont="1">
      <alignment readingOrder="0" shrinkToFit="0" wrapText="0"/>
    </xf>
    <xf borderId="3" fillId="4" fontId="7" numFmtId="169" xfId="0" applyAlignment="1" applyBorder="1" applyFill="1" applyFont="1" applyNumberFormat="1">
      <alignment horizontal="left" readingOrder="0" shrinkToFit="0" wrapText="0"/>
    </xf>
    <xf borderId="12" fillId="9" fontId="25" numFmtId="0" xfId="0" applyAlignment="1" applyBorder="1" applyFill="1" applyFont="1">
      <alignment horizontal="center" readingOrder="0" vertical="top"/>
    </xf>
    <xf borderId="15" fillId="9" fontId="24" numFmtId="0" xfId="0" applyAlignment="1" applyBorder="1" applyFill="1" applyFont="1">
      <alignment vertical="top"/>
    </xf>
    <xf borderId="15" fillId="17" fontId="15" numFmtId="0" xfId="0" applyAlignment="1" applyBorder="1" applyFill="1" applyFont="1">
      <alignment horizontal="right" readingOrder="0"/>
    </xf>
    <xf borderId="3" fillId="4" fontId="7" numFmtId="0" xfId="0" applyAlignment="1" applyBorder="1" applyFill="1" applyFont="1">
      <alignment horizontal="left" shrinkToFit="0" wrapText="0"/>
    </xf>
    <xf borderId="0" fillId="4" fontId="7" numFmtId="0" xfId="0" applyAlignment="1" applyFill="1" applyFont="1">
      <alignment shrinkToFit="0" wrapText="0"/>
    </xf>
    <xf borderId="3" fillId="0" fontId="6" numFmtId="170" xfId="0" applyAlignment="1" applyBorder="1" applyFont="1" applyNumberFormat="1">
      <alignment horizontal="left" readingOrder="0" shrinkToFit="0" wrapText="0"/>
    </xf>
    <xf borderId="0" fillId="0" fontId="13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3" fillId="4" fontId="13" numFmtId="0" xfId="0" applyAlignment="1" applyBorder="1" applyFill="1" applyFont="1">
      <alignment horizontal="left" shrinkToFit="0" wrapText="0"/>
    </xf>
    <xf borderId="3" fillId="4" fontId="13" numFmtId="0" xfId="0" applyAlignment="1" applyBorder="1" applyFill="1" applyFont="1">
      <alignment horizontal="left" readingOrder="0" shrinkToFit="0" wrapText="0"/>
    </xf>
    <xf borderId="3" fillId="4" fontId="4" numFmtId="0" xfId="0" applyAlignment="1" applyBorder="1" applyFill="1" applyFont="1">
      <alignment horizontal="center" readingOrder="0" shrinkToFit="0" wrapText="0"/>
    </xf>
    <xf borderId="3" fillId="4" fontId="14" numFmtId="0" xfId="0" applyAlignment="1" applyBorder="1" applyFill="1" applyFont="1">
      <alignment horizontal="left" shrinkToFit="0" wrapText="0"/>
    </xf>
    <xf borderId="0" fillId="4" fontId="13" numFmtId="0" xfId="0" applyAlignment="1" applyFill="1" applyFont="1">
      <alignment horizontal="center" shrinkToFit="0" wrapText="0"/>
    </xf>
    <xf borderId="3" fillId="0" fontId="26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171" xfId="0" applyAlignment="1" applyFont="1" applyNumberFormat="1">
      <alignment horizontal="center" vertical="center"/>
    </xf>
    <xf borderId="3" fillId="0" fontId="7" numFmtId="0" xfId="0" applyAlignment="1" applyBorder="1" applyFont="1">
      <alignment horizontal="left" shrinkToFit="0" wrapText="0"/>
    </xf>
    <xf borderId="3" fillId="0" fontId="7" numFmtId="170" xfId="0" applyAlignment="1" applyBorder="1" applyFont="1" applyNumberFormat="1">
      <alignment horizontal="left" readingOrder="0" shrinkToFit="0" wrapText="0"/>
    </xf>
    <xf borderId="0" fillId="0" fontId="22" numFmtId="0" xfId="0" applyAlignment="1" applyFont="1">
      <alignment horizontal="center" shrinkToFit="0" wrapText="0"/>
    </xf>
    <xf borderId="3" fillId="0" fontId="7" numFmtId="165" xfId="0" applyAlignment="1" applyBorder="1" applyFont="1" applyNumberFormat="1">
      <alignment horizontal="left" readingOrder="0" shrinkToFit="0" wrapText="0"/>
    </xf>
    <xf borderId="3" fillId="4" fontId="7" numFmtId="167" xfId="0" applyAlignment="1" applyBorder="1" applyFill="1" applyFont="1" applyNumberFormat="1">
      <alignment horizontal="left" readingOrder="0" shrinkToFit="0" wrapText="0"/>
    </xf>
    <xf borderId="0" fillId="4" fontId="22" numFmtId="0" xfId="0" applyAlignment="1" applyFill="1" applyFont="1">
      <alignment horizontal="center" shrinkToFit="0" wrapText="0"/>
    </xf>
    <xf borderId="0" fillId="4" fontId="4" numFmtId="0" xfId="0" applyAlignment="1" applyFill="1" applyFont="1">
      <alignment horizontal="center" shrinkToFit="0" wrapText="0"/>
    </xf>
    <xf borderId="0" fillId="0" fontId="27" numFmtId="0" xfId="0" applyAlignment="1" applyFont="1">
      <alignment readingOrder="0" vertical="bottom"/>
    </xf>
    <xf borderId="0" fillId="0" fontId="28" numFmtId="0" xfId="0" applyAlignment="1" applyFont="1">
      <alignment vertical="bottom"/>
    </xf>
    <xf borderId="0" fillId="0" fontId="28" numFmtId="0" xfId="0" applyAlignment="1" applyFont="1">
      <alignment textRotation="0" vertical="bottom"/>
    </xf>
    <xf borderId="0" fillId="0" fontId="28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horizontal="center" vertical="center"/>
    </xf>
    <xf borderId="3" fillId="0" fontId="7" numFmtId="168" xfId="0" applyAlignment="1" applyBorder="1" applyFont="1" applyNumberFormat="1">
      <alignment horizontal="left" readingOrder="0" shrinkToFit="0" wrapText="0"/>
    </xf>
    <xf borderId="1" fillId="3" fontId="6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shrinkToFit="0" wrapText="0"/>
    </xf>
    <xf borderId="2" fillId="3" fontId="6" numFmtId="0" xfId="0" applyAlignment="1" applyBorder="1" applyFill="1" applyFont="1">
      <alignment horizontal="center" vertical="top"/>
    </xf>
    <xf borderId="2" fillId="3" fontId="4" numFmtId="0" xfId="0" applyAlignment="1" applyBorder="1" applyFill="1" applyFont="1">
      <alignment horizontal="center" readingOrder="0" shrinkToFit="0" textRotation="0" vertical="center" wrapText="1"/>
    </xf>
    <xf borderId="2" fillId="3" fontId="6" numFmtId="0" xfId="0" applyAlignment="1" applyBorder="1" applyFill="1" applyFont="1">
      <alignment horizontal="center" shrinkToFit="0" vertical="top" wrapText="0"/>
    </xf>
    <xf borderId="2" fillId="3" fontId="4" numFmtId="0" xfId="0" applyAlignment="1" applyBorder="1" applyFill="1" applyFont="1">
      <alignment horizontal="center" readingOrder="0" shrinkToFit="0" wrapText="1"/>
    </xf>
    <xf borderId="5" fillId="3" fontId="6" numFmtId="0" xfId="0" applyAlignment="1" applyBorder="1" applyFill="1" applyFont="1">
      <alignment horizontal="center" vertical="top"/>
    </xf>
    <xf borderId="5" fillId="3" fontId="6" numFmtId="0" xfId="0" applyAlignment="1" applyBorder="1" applyFill="1" applyFont="1">
      <alignment horizontal="center"/>
    </xf>
    <xf borderId="5" fillId="3" fontId="6" numFmtId="0" xfId="0" applyAlignment="1" applyBorder="1" applyFill="1" applyFont="1">
      <alignment horizontal="center" readingOrder="0"/>
    </xf>
    <xf borderId="3" fillId="3" fontId="7" numFmtId="0" xfId="0" applyAlignment="1" applyBorder="1" applyFill="1" applyFont="1">
      <alignment horizontal="center" readingOrder="0" vertical="center"/>
    </xf>
    <xf borderId="2" fillId="3" fontId="6" numFmtId="0" xfId="0" applyAlignment="1" applyBorder="1" applyFill="1" applyFont="1">
      <alignment horizontal="center" readingOrder="0" vertical="top"/>
    </xf>
    <xf borderId="7" fillId="3" fontId="6" numFmtId="0" xfId="0" applyAlignment="1" applyBorder="1" applyFill="1" applyFont="1">
      <alignment horizontal="center" vertical="top"/>
    </xf>
    <xf borderId="1" fillId="0" fontId="11" numFmtId="0" xfId="0" applyBorder="1" applyFont="1"/>
    <xf borderId="7" fillId="3" fontId="6" numFmtId="0" xfId="0" applyAlignment="1" applyBorder="1" applyFill="1" applyFont="1">
      <alignment horizontal="center" readingOrder="0" vertical="top"/>
    </xf>
    <xf borderId="7" fillId="3" fontId="7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0" fillId="0" fontId="7" numFmtId="0" xfId="0" applyAlignment="1" applyFont="1">
      <alignment horizontal="center" shrinkToFit="0" wrapText="0"/>
    </xf>
    <xf borderId="3" fillId="0" fontId="6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readingOrder="0" shrinkToFit="0" textRotation="0" wrapText="0"/>
    </xf>
    <xf borderId="3" fillId="0" fontId="6" numFmtId="0" xfId="0" applyAlignment="1" applyBorder="1" applyFont="1">
      <alignment horizontal="center" shrinkToFit="0" vertical="bottom" wrapText="0"/>
    </xf>
    <xf borderId="3" fillId="0" fontId="29" numFmtId="171" xfId="0" applyAlignment="1" applyBorder="1" applyFont="1" applyNumberFormat="1">
      <alignment horizontal="center" readingOrder="0" vertical="bottom"/>
    </xf>
    <xf borderId="3" fillId="4" fontId="6" numFmtId="166" xfId="0" applyAlignment="1" applyBorder="1" applyFill="1" applyFont="1" applyNumberFormat="1">
      <alignment horizontal="center" readingOrder="0" vertical="bottom"/>
    </xf>
    <xf borderId="3" fillId="0" fontId="3" numFmtId="171" xfId="0" applyAlignment="1" applyBorder="1" applyFont="1" applyNumberFormat="1">
      <alignment readingOrder="0"/>
    </xf>
    <xf borderId="3" fillId="4" fontId="6" numFmtId="168" xfId="0" applyAlignment="1" applyBorder="1" applyFill="1" applyFont="1" applyNumberFormat="1">
      <alignment horizontal="left" readingOrder="0" shrinkToFit="0" wrapText="0"/>
    </xf>
    <xf borderId="0" fillId="4" fontId="30" numFmtId="170" xfId="0" applyAlignment="1" applyFill="1" applyFont="1" applyNumberFormat="1">
      <alignment horizontal="left" readingOrder="0" shrinkToFit="0" wrapText="0"/>
    </xf>
    <xf borderId="3" fillId="0" fontId="6" numFmtId="0" xfId="0" applyAlignment="1" applyBorder="1" applyFont="1">
      <alignment horizontal="center" readingOrder="0" shrinkToFit="0" vertical="bottom" wrapText="0"/>
    </xf>
    <xf borderId="0" fillId="4" fontId="30" numFmtId="169" xfId="0" applyAlignment="1" applyFill="1" applyFont="1" applyNumberFormat="1">
      <alignment horizontal="left" readingOrder="0" shrinkToFit="0" wrapText="0"/>
    </xf>
    <xf borderId="3" fillId="5" fontId="6" numFmtId="0" xfId="0" applyAlignment="1" applyBorder="1" applyFill="1" applyFont="1">
      <alignment horizontal="center" readingOrder="0" vertical="bottom"/>
    </xf>
    <xf borderId="3" fillId="5" fontId="6" numFmtId="0" xfId="0" applyAlignment="1" applyBorder="1" applyFill="1" applyFont="1">
      <alignment horizontal="center" vertical="bottom"/>
    </xf>
    <xf borderId="3" fillId="5" fontId="6" numFmtId="0" xfId="0" applyAlignment="1" applyBorder="1" applyFill="1" applyFont="1">
      <alignment horizontal="center" readingOrder="0" shrinkToFit="0" textRotation="0" wrapText="0"/>
    </xf>
    <xf borderId="3" fillId="5" fontId="6" numFmtId="0" xfId="0" applyAlignment="1" applyBorder="1" applyFill="1" applyFont="1">
      <alignment horizontal="center" shrinkToFit="0" vertical="bottom" wrapText="0"/>
    </xf>
    <xf borderId="3" fillId="0" fontId="6" numFmtId="166" xfId="0" applyAlignment="1" applyBorder="1" applyFont="1" applyNumberFormat="1">
      <alignment horizontal="center" readingOrder="0" vertical="bottom"/>
    </xf>
    <xf borderId="0" fillId="4" fontId="30" numFmtId="170" xfId="0" applyAlignment="1" applyFill="1" applyFont="1" applyNumberFormat="1">
      <alignment horizontal="left" readingOrder="0" vertical="top"/>
    </xf>
    <xf borderId="3" fillId="18" fontId="6" numFmtId="0" xfId="0" applyAlignment="1" applyBorder="1" applyFill="1" applyFont="1">
      <alignment horizontal="center" readingOrder="0" vertical="bottom"/>
    </xf>
    <xf borderId="3" fillId="0" fontId="6" numFmtId="170" xfId="0" applyAlignment="1" applyBorder="1" applyFont="1" applyNumberFormat="1">
      <alignment horizontal="center" readingOrder="0" vertical="bottom"/>
    </xf>
    <xf borderId="0" fillId="4" fontId="30" numFmtId="0" xfId="0" applyAlignment="1" applyFill="1" applyFont="1">
      <alignment horizontal="left" readingOrder="0" shrinkToFit="0" wrapText="0"/>
    </xf>
    <xf borderId="3" fillId="0" fontId="6" numFmtId="0" xfId="0" applyAlignment="1" applyBorder="1" applyFont="1">
      <alignment horizontal="left" shrinkToFit="0" wrapText="0"/>
    </xf>
    <xf borderId="0" fillId="4" fontId="6" numFmtId="0" xfId="0" applyAlignment="1" applyFill="1" applyFont="1">
      <alignment shrinkToFit="0" wrapText="0"/>
    </xf>
    <xf borderId="3" fillId="4" fontId="29" numFmtId="171" xfId="0" applyAlignment="1" applyBorder="1" applyFill="1" applyFont="1" applyNumberFormat="1">
      <alignment horizontal="center" readingOrder="0" vertical="bottom"/>
    </xf>
    <xf borderId="3" fillId="19" fontId="6" numFmtId="0" xfId="0" applyAlignment="1" applyBorder="1" applyFill="1" applyFont="1">
      <alignment horizontal="center" vertical="bottom"/>
    </xf>
    <xf borderId="3" fillId="4" fontId="6" numFmtId="0" xfId="0" applyAlignment="1" applyBorder="1" applyFill="1" applyFont="1">
      <alignment horizontal="center" shrinkToFit="0" vertical="bottom" wrapText="0"/>
    </xf>
    <xf borderId="3" fillId="4" fontId="6" numFmtId="167" xfId="0" applyAlignment="1" applyBorder="1" applyFill="1" applyFont="1" applyNumberFormat="1">
      <alignment horizontal="left" readingOrder="0" shrinkToFit="0" wrapText="0"/>
    </xf>
    <xf borderId="3" fillId="6" fontId="6" numFmtId="0" xfId="0" applyAlignment="1" applyBorder="1" applyFill="1" applyFont="1">
      <alignment horizontal="center" vertical="bottom"/>
    </xf>
    <xf borderId="3" fillId="6" fontId="6" numFmtId="0" xfId="0" applyAlignment="1" applyBorder="1" applyFill="1" applyFont="1">
      <alignment horizontal="center" readingOrder="0" shrinkToFit="0" textRotation="0" wrapText="0"/>
    </xf>
    <xf borderId="3" fillId="6" fontId="6" numFmtId="0" xfId="0" applyAlignment="1" applyBorder="1" applyFill="1" applyFont="1">
      <alignment horizontal="center" shrinkToFit="0" vertical="bottom" wrapText="0"/>
    </xf>
    <xf borderId="3" fillId="6" fontId="6" numFmtId="0" xfId="0" applyAlignment="1" applyBorder="1" applyFill="1" applyFont="1">
      <alignment horizontal="center" readingOrder="0" shrinkToFit="0" wrapText="0"/>
    </xf>
    <xf borderId="3" fillId="6" fontId="29" numFmtId="171" xfId="0" applyAlignment="1" applyBorder="1" applyFill="1" applyFont="1" applyNumberFormat="1">
      <alignment horizontal="center" readingOrder="0" vertical="bottom"/>
    </xf>
    <xf borderId="3" fillId="6" fontId="13" numFmtId="0" xfId="0" applyAlignment="1" applyBorder="1" applyFill="1" applyFont="1">
      <alignment horizontal="left" shrinkToFit="0" wrapText="0"/>
    </xf>
    <xf borderId="3" fillId="6" fontId="6" numFmtId="166" xfId="0" applyAlignment="1" applyBorder="1" applyFill="1" applyFont="1" applyNumberFormat="1">
      <alignment horizontal="center" readingOrder="0" vertical="bottom"/>
    </xf>
    <xf borderId="3" fillId="6" fontId="3" numFmtId="171" xfId="0" applyAlignment="1" applyBorder="1" applyFill="1" applyFont="1" applyNumberFormat="1">
      <alignment readingOrder="0"/>
    </xf>
    <xf borderId="3" fillId="6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readingOrder="0"/>
    </xf>
    <xf borderId="3" fillId="4" fontId="6" numFmtId="0" xfId="0" applyAlignment="1" applyBorder="1" applyFill="1" applyFont="1">
      <alignment horizontal="left" shrinkToFit="0" wrapText="0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textRotation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6" numFmtId="0" xfId="0" applyAlignment="1" applyFont="1">
      <alignment horizontal="center" readingOrder="0" shrinkToFit="0" textRotation="0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left" shrinkToFit="0" wrapText="0"/>
    </xf>
    <xf borderId="0" fillId="0" fontId="3" numFmtId="171" xfId="0" applyFont="1" applyNumberFormat="1"/>
    <xf borderId="3" fillId="4" fontId="31" numFmtId="171" xfId="0" applyAlignment="1" applyBorder="1" applyFill="1" applyFont="1" applyNumberFormat="1">
      <alignment horizontal="center" readingOrder="0" vertical="bottom"/>
    </xf>
    <xf borderId="3" fillId="4" fontId="6" numFmtId="171" xfId="0" applyAlignment="1" applyBorder="1" applyFill="1" applyFont="1" applyNumberFormat="1">
      <alignment horizontal="center" readingOrder="0" vertical="bottom"/>
    </xf>
    <xf borderId="3" fillId="0" fontId="31" numFmtId="171" xfId="0" applyAlignment="1" applyBorder="1" applyFont="1" applyNumberFormat="1">
      <alignment horizontal="center" readingOrder="0" vertical="bottom"/>
    </xf>
    <xf borderId="3" fillId="6" fontId="31" numFmtId="171" xfId="0" applyAlignment="1" applyBorder="1" applyFill="1" applyFont="1" applyNumberFormat="1">
      <alignment horizontal="center" readingOrder="0" vertical="bottom"/>
    </xf>
    <xf borderId="3" fillId="4" fontId="7" numFmtId="168" xfId="0" applyAlignment="1" applyBorder="1" applyFill="1" applyFont="1" applyNumberFormat="1">
      <alignment horizontal="left" readingOrder="0" shrinkToFit="0" wrapText="0"/>
    </xf>
    <xf borderId="3" fillId="0" fontId="14" numFmtId="0" xfId="0" applyAlignment="1" applyBorder="1" applyFont="1">
      <alignment horizontal="center" readingOrder="0" shrinkToFit="0" wrapText="0"/>
    </xf>
    <xf borderId="0" fillId="20" fontId="15" numFmtId="0" xfId="0" applyAlignment="1" applyFill="1" applyFont="1">
      <alignment horizontal="center" readingOrder="0"/>
    </xf>
    <xf borderId="0" fillId="16" fontId="15" numFmtId="0" xfId="0" applyAlignment="1" applyFill="1" applyFont="1">
      <alignment horizontal="right" readingOrder="0"/>
    </xf>
    <xf borderId="0" fillId="20" fontId="15" numFmtId="0" xfId="0" applyAlignment="1" applyFill="1" applyFont="1">
      <alignment horizontal="right" readingOrder="0"/>
    </xf>
    <xf borderId="8" fillId="20" fontId="15" numFmtId="0" xfId="0" applyAlignment="1" applyBorder="1" applyFill="1" applyFont="1">
      <alignment horizontal="center" readingOrder="0"/>
    </xf>
    <xf borderId="19" fillId="16" fontId="15" numFmtId="0" xfId="0" applyAlignment="1" applyBorder="1" applyFill="1" applyFont="1">
      <alignment horizontal="right" readingOrder="0"/>
    </xf>
    <xf borderId="19" fillId="20" fontId="15" numFmtId="0" xfId="0" applyAlignment="1" applyBorder="1" applyFill="1" applyFont="1">
      <alignment horizontal="right" readingOrder="0"/>
    </xf>
    <xf borderId="3" fillId="0" fontId="7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0" fillId="4" fontId="6" numFmtId="0" xfId="0" applyAlignment="1" applyFill="1" applyFont="1">
      <alignment horizontal="center" readingOrder="0" shrinkToFit="0" wrapText="0"/>
    </xf>
    <xf borderId="0" fillId="5" fontId="7" numFmtId="0" xfId="0" applyAlignment="1" applyFill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4" fontId="7" numFmtId="0" xfId="0" applyAlignment="1" applyFill="1" applyFont="1">
      <alignment horizontal="left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4" fontId="6" numFmtId="165" xfId="0" applyAlignment="1" applyFill="1" applyFont="1" applyNumberFormat="1">
      <alignment horizontal="center" readingOrder="0" shrinkToFit="0" wrapText="0"/>
    </xf>
    <xf borderId="0" fillId="4" fontId="6" numFmtId="166" xfId="0" applyAlignment="1" applyFill="1" applyFont="1" applyNumberFormat="1">
      <alignment horizontal="center" readingOrder="0" shrinkToFit="0" wrapText="0"/>
    </xf>
    <xf borderId="0" fillId="0" fontId="1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172" xfId="0" applyAlignment="1" applyFont="1" applyNumberFormat="1">
      <alignment horizontal="center" readingOrder="0" shrinkToFit="0" wrapText="0"/>
    </xf>
    <xf borderId="0" fillId="5" fontId="7" numFmtId="172" xfId="0" applyAlignment="1" applyFill="1" applyFont="1" applyNumberFormat="1">
      <alignment horizontal="center" readingOrder="0" shrinkToFit="0" wrapText="0"/>
    </xf>
    <xf borderId="0" fillId="5" fontId="7" numFmtId="165" xfId="0" applyAlignment="1" applyFill="1" applyFont="1" applyNumberFormat="1">
      <alignment horizontal="center" readingOrder="0" shrinkToFit="0" wrapText="0"/>
    </xf>
    <xf borderId="0" fillId="5" fontId="6" numFmtId="165" xfId="0" applyAlignment="1" applyFill="1" applyFont="1" applyNumberFormat="1">
      <alignment horizontal="center" readingOrder="0" shrinkToFit="0" wrapText="0"/>
    </xf>
    <xf borderId="0" fillId="5" fontId="6" numFmtId="0" xfId="0" applyAlignment="1" applyFill="1" applyFont="1">
      <alignment readingOrder="0" shrinkToFit="0" wrapText="0"/>
    </xf>
    <xf borderId="0" fillId="0" fontId="3" numFmtId="165" xfId="0" applyAlignment="1" applyFont="1" applyNumberFormat="1">
      <alignment readingOrder="0"/>
    </xf>
    <xf borderId="0" fillId="0" fontId="3" numFmtId="173" xfId="0" applyAlignment="1" applyFont="1" applyNumberFormat="1">
      <alignment readingOrder="0"/>
    </xf>
    <xf borderId="0" fillId="0" fontId="3" numFmtId="174" xfId="0" applyAlignment="1" applyFont="1" applyNumberFormat="1">
      <alignment readingOrder="0"/>
    </xf>
    <xf borderId="0" fillId="5" fontId="7" numFmtId="0" xfId="0" applyAlignment="1" applyFill="1" applyFont="1">
      <alignment readingOrder="0" shrinkToFit="0" wrapText="0"/>
    </xf>
    <xf borderId="0" fillId="5" fontId="6" numFmtId="0" xfId="0" applyAlignment="1" applyFill="1" applyFont="1">
      <alignment horizontal="left" readingOrder="0" shrinkToFit="0" wrapText="0"/>
    </xf>
    <xf borderId="0" fillId="5" fontId="6" numFmtId="0" xfId="0" applyAlignment="1" applyFill="1" applyFont="1">
      <alignment horizontal="center" readingOrder="0" shrinkToFit="0" wrapText="0"/>
    </xf>
    <xf borderId="3" fillId="0" fontId="3" numFmtId="0" xfId="0" applyAlignment="1" applyBorder="1" applyFont="1">
      <alignment readingOrder="0" shrinkToFit="0" vertical="center" wrapText="1"/>
    </xf>
    <xf borderId="3" fillId="0" fontId="3" numFmtId="175" xfId="0" applyAlignment="1" applyBorder="1" applyFont="1" applyNumberFormat="1">
      <alignment readingOrder="0"/>
    </xf>
    <xf borderId="3" fillId="0" fontId="3" numFmtId="165" xfId="0" applyAlignment="1" applyBorder="1" applyFont="1" applyNumberFormat="1">
      <alignment readingOrder="0"/>
    </xf>
    <xf borderId="0" fillId="0" fontId="32" numFmtId="0" xfId="0" applyAlignment="1" applyFont="1">
      <alignment horizontal="center" readingOrder="0" vertical="center"/>
    </xf>
    <xf borderId="0" fillId="0" fontId="33" numFmtId="0" xfId="0" applyAlignment="1" applyFont="1">
      <alignment horizontal="center" vertical="bottom"/>
    </xf>
    <xf borderId="4" fillId="0" fontId="33" numFmtId="0" xfId="0" applyAlignment="1" applyBorder="1" applyFont="1">
      <alignment horizontal="center" vertical="bottom"/>
    </xf>
    <xf borderId="4" fillId="0" fontId="11" numFmtId="0" xfId="0" applyBorder="1" applyFont="1"/>
    <xf borderId="3" fillId="3" fontId="22" numFmtId="0" xfId="0" applyAlignment="1" applyBorder="1" applyFill="1" applyFont="1">
      <alignment horizontal="center"/>
    </xf>
    <xf borderId="0" fillId="0" fontId="34" numFmtId="0" xfId="0" applyAlignment="1" applyFont="1">
      <alignment vertical="bottom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center" shrinkToFit="0" wrapText="1"/>
    </xf>
    <xf borderId="3" fillId="4" fontId="6" numFmtId="165" xfId="0" applyAlignment="1" applyBorder="1" applyFill="1" applyFont="1" applyNumberFormat="1">
      <alignment horizontal="center" vertical="bottom"/>
    </xf>
    <xf borderId="3" fillId="0" fontId="13" numFmtId="0" xfId="0" applyAlignment="1" applyBorder="1" applyFont="1">
      <alignment vertical="bottom"/>
    </xf>
    <xf borderId="3" fillId="4" fontId="6" numFmtId="176" xfId="0" applyAlignment="1" applyBorder="1" applyFill="1" applyFont="1" applyNumberFormat="1">
      <alignment horizontal="center" vertical="bottom"/>
    </xf>
    <xf borderId="3" fillId="0" fontId="22" numFmtId="0" xfId="0" applyAlignment="1" applyBorder="1" applyFont="1">
      <alignment horizontal="center" vertical="bottom"/>
    </xf>
    <xf borderId="0" fillId="0" fontId="22" numFmtId="0" xfId="0" applyAlignment="1" applyFont="1">
      <alignment horizontal="center" vertical="bottom"/>
    </xf>
    <xf borderId="3" fillId="4" fontId="6" numFmtId="172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21" fontId="3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2" fillId="4" fontId="33" numFmtId="0" xfId="0" applyAlignment="1" applyBorder="1" applyFill="1" applyFont="1">
      <alignment horizontal="center" readingOrder="0" shrinkToFit="0" vertical="center" wrapText="0"/>
    </xf>
    <xf borderId="3" fillId="21" fontId="3" numFmtId="0" xfId="0" applyAlignment="1" applyBorder="1" applyFill="1" applyFont="1">
      <alignment horizontal="center" vertical="center"/>
    </xf>
    <xf borderId="2" fillId="4" fontId="8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8" numFmtId="0" xfId="0" applyAlignment="1" applyFont="1">
      <alignment horizontal="center" readingOrder="0" shrinkToFit="0" wrapText="0"/>
    </xf>
    <xf borderId="0" fillId="4" fontId="4" numFmtId="0" xfId="0" applyAlignment="1" applyFill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shrinkToFit="0" vertical="center" wrapText="0"/>
    </xf>
    <xf borderId="2" fillId="4" fontId="4" numFmtId="0" xfId="0" applyAlignment="1" applyBorder="1" applyFill="1" applyFont="1">
      <alignment horizontal="center" readingOrder="0" shrinkToFit="0" vertical="center" wrapText="0"/>
    </xf>
    <xf borderId="2" fillId="4" fontId="4" numFmtId="0" xfId="0" applyAlignment="1" applyBorder="1" applyFill="1" applyFont="1">
      <alignment horizontal="center" readingOrder="0" shrinkToFit="0" vertical="center" wrapText="1"/>
    </xf>
    <xf borderId="3" fillId="22" fontId="6" numFmtId="0" xfId="0" applyAlignment="1" applyBorder="1" applyFill="1" applyFont="1">
      <alignment readingOrder="0" shrinkToFit="0" wrapText="0"/>
    </xf>
    <xf borderId="2" fillId="4" fontId="4" numFmtId="0" xfId="0" applyAlignment="1" applyBorder="1" applyFill="1" applyFont="1">
      <alignment horizontal="center" readingOrder="0" vertical="center"/>
    </xf>
    <xf borderId="3" fillId="4" fontId="4" numFmtId="0" xfId="0" applyAlignment="1" applyBorder="1" applyFill="1" applyFont="1">
      <alignment horizontal="center" readingOrder="0" shrinkToFit="0" vertical="center" wrapText="0"/>
    </xf>
    <xf borderId="3" fillId="4" fontId="13" numFmtId="0" xfId="0" applyAlignment="1" applyBorder="1" applyFill="1" applyFont="1">
      <alignment horizontal="center" shrinkToFit="0" wrapText="0"/>
    </xf>
    <xf borderId="3" fillId="4" fontId="6" numFmtId="176" xfId="0" applyAlignment="1" applyBorder="1" applyFill="1" applyFont="1" applyNumberFormat="1">
      <alignment horizontal="center" readingOrder="0" shrinkToFit="0" wrapText="0"/>
    </xf>
    <xf borderId="0" fillId="4" fontId="4" numFmtId="0" xfId="0" applyAlignment="1" applyFill="1" applyFont="1">
      <alignment horizontal="center" readingOrder="0" shrinkToFit="0" wrapText="0"/>
    </xf>
    <xf borderId="3" fillId="5" fontId="6" numFmtId="165" xfId="0" applyAlignment="1" applyBorder="1" applyFill="1" applyFont="1" applyNumberFormat="1">
      <alignment horizontal="center" readingOrder="0" shrinkToFit="0" wrapText="0"/>
    </xf>
    <xf borderId="3" fillId="0" fontId="6" numFmtId="172" xfId="0" applyAlignment="1" applyBorder="1" applyFont="1" applyNumberFormat="1">
      <alignment horizontal="center" readingOrder="0" shrinkToFit="0" wrapText="0"/>
    </xf>
    <xf borderId="3" fillId="4" fontId="6" numFmtId="172" xfId="0" applyAlignment="1" applyBorder="1" applyFill="1" applyFont="1" applyNumberFormat="1">
      <alignment horizontal="center" readingOrder="0" shrinkToFit="0" wrapText="0"/>
    </xf>
    <xf borderId="3" fillId="5" fontId="6" numFmtId="172" xfId="0" applyAlignment="1" applyBorder="1" applyFill="1" applyFont="1" applyNumberFormat="1">
      <alignment horizontal="center" readingOrder="0" shrinkToFit="0" wrapText="0"/>
    </xf>
    <xf borderId="3" fillId="0" fontId="6" numFmtId="165" xfId="0" applyAlignment="1" applyBorder="1" applyFont="1" applyNumberFormat="1">
      <alignment horizontal="center" readingOrder="0" shrinkToFit="0" wrapText="0"/>
    </xf>
    <xf borderId="3" fillId="0" fontId="7" numFmtId="165" xfId="0" applyAlignment="1" applyBorder="1" applyFont="1" applyNumberFormat="1">
      <alignment horizontal="center" readingOrder="0" shrinkToFit="0" wrapText="0"/>
    </xf>
    <xf borderId="3" fillId="5" fontId="7" numFmtId="165" xfId="0" applyAlignment="1" applyBorder="1" applyFill="1" applyFont="1" applyNumberFormat="1">
      <alignment horizontal="center" readingOrder="0" shrinkToFit="0" wrapText="0"/>
    </xf>
    <xf borderId="3" fillId="5" fontId="7" numFmtId="172" xfId="0" applyAlignment="1" applyBorder="1" applyFill="1" applyFont="1" applyNumberFormat="1">
      <alignment horizontal="center" readingOrder="0" shrinkToFit="0" wrapText="0"/>
    </xf>
    <xf borderId="3" fillId="4" fontId="7" numFmtId="172" xfId="0" applyAlignment="1" applyBorder="1" applyFill="1" applyFont="1" applyNumberFormat="1">
      <alignment horizontal="center" readingOrder="0" shrinkToFit="0" wrapText="0"/>
    </xf>
    <xf borderId="3" fillId="4" fontId="7" numFmtId="165" xfId="0" applyAlignment="1" applyBorder="1" applyFill="1" applyFont="1" applyNumberFormat="1">
      <alignment horizontal="center" readingOrder="0" shrinkToFit="0" wrapText="0"/>
    </xf>
    <xf borderId="3" fillId="0" fontId="7" numFmtId="172" xfId="0" applyAlignment="1" applyBorder="1" applyFont="1" applyNumberFormat="1">
      <alignment horizontal="center" readingOrder="0" shrinkToFit="0" wrapText="0"/>
    </xf>
    <xf borderId="3" fillId="17" fontId="7" numFmtId="0" xfId="0" applyAlignment="1" applyBorder="1" applyFill="1" applyFont="1">
      <alignment readingOrder="0" shrinkToFit="0" wrapText="0"/>
    </xf>
    <xf borderId="3" fillId="17" fontId="7" numFmtId="0" xfId="0" applyAlignment="1" applyBorder="1" applyFill="1" applyFont="1">
      <alignment horizontal="center" readingOrder="0" shrinkToFit="0" wrapText="0"/>
    </xf>
    <xf borderId="3" fillId="17" fontId="7" numFmtId="0" xfId="0" applyAlignment="1" applyBorder="1" applyFill="1" applyFont="1">
      <alignment horizontal="left" readingOrder="0" shrinkToFit="0" wrapText="0"/>
    </xf>
    <xf borderId="3" fillId="17" fontId="6" numFmtId="0" xfId="0" applyAlignment="1" applyBorder="1" applyFill="1" applyFont="1">
      <alignment horizontal="center" readingOrder="0" shrinkToFit="0" wrapText="0"/>
    </xf>
    <xf borderId="3" fillId="17" fontId="7" numFmtId="0" xfId="0" applyAlignment="1" applyBorder="1" applyFill="1" applyFont="1">
      <alignment horizontal="center" readingOrder="0" shrinkToFit="0" vertical="center" wrapText="1"/>
    </xf>
    <xf borderId="3" fillId="17" fontId="7" numFmtId="172" xfId="0" applyAlignment="1" applyBorder="1" applyFill="1" applyFont="1" applyNumberFormat="1">
      <alignment horizontal="center" readingOrder="0" shrinkToFit="0" wrapText="0"/>
    </xf>
    <xf borderId="3" fillId="17" fontId="7" numFmtId="165" xfId="0" applyAlignment="1" applyBorder="1" applyFill="1" applyFont="1" applyNumberFormat="1">
      <alignment horizontal="center" readingOrder="0" shrinkToFit="0" wrapText="0"/>
    </xf>
    <xf borderId="3" fillId="17" fontId="6" numFmtId="165" xfId="0" applyAlignment="1" applyBorder="1" applyFill="1" applyFont="1" applyNumberFormat="1">
      <alignment horizontal="center" readingOrder="0" shrinkToFit="0" wrapText="0"/>
    </xf>
    <xf borderId="3" fillId="17" fontId="6" numFmtId="176" xfId="0" applyAlignment="1" applyBorder="1" applyFill="1" applyFont="1" applyNumberFormat="1">
      <alignment horizontal="center" readingOrder="0" shrinkToFit="0" wrapText="0"/>
    </xf>
    <xf borderId="3" fillId="17" fontId="4" numFmtId="0" xfId="0" applyAlignment="1" applyBorder="1" applyFill="1" applyFont="1">
      <alignment horizontal="center" readingOrder="0" shrinkToFit="0" wrapText="0"/>
    </xf>
    <xf borderId="0" fillId="17" fontId="4" numFmtId="0" xfId="0" applyAlignment="1" applyFill="1" applyFont="1">
      <alignment horizontal="center" readingOrder="0" shrinkToFit="0" wrapText="0"/>
    </xf>
    <xf borderId="3" fillId="6" fontId="15" numFmtId="0" xfId="0" applyAlignment="1" applyBorder="1" applyFill="1" applyFont="1">
      <alignment horizontal="center" readingOrder="0" shrinkToFit="0" wrapText="0"/>
    </xf>
    <xf borderId="3" fillId="23" fontId="15" numFmtId="0" xfId="0" applyAlignment="1" applyBorder="1" applyFill="1" applyFont="1">
      <alignment horizontal="center" readingOrder="0" shrinkToFit="0" wrapText="0"/>
    </xf>
    <xf borderId="3" fillId="24" fontId="15" numFmtId="0" xfId="0" applyAlignment="1" applyBorder="1" applyFill="1" applyFont="1">
      <alignment horizontal="center" readingOrder="0" shrinkToFit="0" wrapText="0"/>
    </xf>
    <xf borderId="3" fillId="4" fontId="35" numFmtId="0" xfId="0" applyAlignment="1" applyBorder="1" applyFill="1" applyFont="1">
      <alignment horizontal="center" readingOrder="0"/>
    </xf>
    <xf borderId="3" fillId="0" fontId="36" numFmtId="0" xfId="0" applyAlignment="1" applyBorder="1" applyFont="1">
      <alignment horizontal="center" readingOrder="0" shrinkToFit="0" wrapText="0"/>
    </xf>
    <xf borderId="3" fillId="0" fontId="37" numFmtId="0" xfId="0" applyAlignment="1" applyBorder="1" applyFont="1">
      <alignment horizontal="left" shrinkToFit="0" wrapText="0"/>
    </xf>
    <xf borderId="3" fillId="0" fontId="35" numFmtId="0" xfId="0" applyAlignment="1" applyBorder="1" applyFont="1">
      <alignment horizontal="center" readingOrder="0"/>
    </xf>
    <xf borderId="3" fillId="0" fontId="38" numFmtId="0" xfId="0" applyAlignment="1" applyBorder="1" applyFont="1">
      <alignment readingOrder="0" shrinkToFit="0" wrapText="0"/>
    </xf>
    <xf borderId="3" fillId="23" fontId="3" numFmtId="165" xfId="0" applyAlignment="1" applyBorder="1" applyFill="1" applyFont="1" applyNumberFormat="1">
      <alignment horizontal="center" vertical="center"/>
    </xf>
    <xf borderId="3" fillId="24" fontId="39" numFmtId="0" xfId="0" applyAlignment="1" applyBorder="1" applyFill="1" applyFont="1">
      <alignment shrinkToFit="0" wrapText="0"/>
    </xf>
    <xf borderId="3" fillId="24" fontId="17" numFmtId="165" xfId="0" applyAlignment="1" applyBorder="1" applyFill="1" applyFont="1" applyNumberFormat="1">
      <alignment horizontal="center" readingOrder="0" shrinkToFit="0" wrapText="0"/>
    </xf>
    <xf borderId="3" fillId="24" fontId="40" numFmtId="165" xfId="0" applyAlignment="1" applyBorder="1" applyFill="1" applyFont="1" applyNumberFormat="1">
      <alignment horizontal="center" readingOrder="0" shrinkToFit="0" wrapText="0"/>
    </xf>
    <xf borderId="3" fillId="23" fontId="39" numFmtId="0" xfId="0" applyAlignment="1" applyBorder="1" applyFill="1" applyFont="1">
      <alignment shrinkToFit="0" wrapText="0"/>
    </xf>
    <xf borderId="3" fillId="18" fontId="6" numFmtId="0" xfId="0" applyAlignment="1" applyBorder="1" applyFill="1" applyFont="1">
      <alignment horizontal="center" readingOrder="0" shrinkToFit="0" wrapText="0"/>
    </xf>
    <xf borderId="3" fillId="18" fontId="6" numFmtId="0" xfId="0" applyAlignment="1" applyBorder="1" applyFill="1" applyFont="1">
      <alignment readingOrder="0" shrinkToFit="0" wrapText="0"/>
    </xf>
    <xf borderId="3" fillId="18" fontId="6" numFmtId="0" xfId="0" applyAlignment="1" applyBorder="1" applyFill="1" applyFont="1">
      <alignment horizontal="left" readingOrder="0" shrinkToFit="0" wrapText="0"/>
    </xf>
    <xf borderId="3" fillId="18" fontId="6" numFmtId="0" xfId="0" applyAlignment="1" applyBorder="1" applyFill="1" applyFont="1">
      <alignment horizontal="center" readingOrder="0" shrinkToFit="0" vertical="center" wrapText="1"/>
    </xf>
    <xf borderId="3" fillId="18" fontId="6" numFmtId="165" xfId="0" applyAlignment="1" applyBorder="1" applyFill="1" applyFont="1" applyNumberFormat="1">
      <alignment horizontal="center" readingOrder="0" shrinkToFit="0" wrapText="0"/>
    </xf>
    <xf borderId="3" fillId="18" fontId="7" numFmtId="172" xfId="0" applyAlignment="1" applyBorder="1" applyFill="1" applyFont="1" applyNumberFormat="1">
      <alignment horizontal="center" readingOrder="0" shrinkToFit="0" wrapText="0"/>
    </xf>
    <xf borderId="3" fillId="18" fontId="6" numFmtId="176" xfId="0" applyAlignment="1" applyBorder="1" applyFill="1" applyFont="1" applyNumberFormat="1">
      <alignment horizontal="center" readingOrder="0" shrinkToFit="0" wrapText="0"/>
    </xf>
    <xf borderId="3" fillId="18" fontId="4" numFmtId="0" xfId="0" applyAlignment="1" applyBorder="1" applyFill="1" applyFont="1">
      <alignment horizontal="center" readingOrder="0" shrinkToFit="0" wrapText="0"/>
    </xf>
    <xf borderId="3" fillId="18" fontId="14" numFmtId="0" xfId="0" applyAlignment="1" applyBorder="1" applyFill="1" applyFont="1">
      <alignment horizontal="left" shrinkToFit="0" wrapText="0"/>
    </xf>
    <xf borderId="3" fillId="4" fontId="41" numFmtId="0" xfId="0" applyAlignment="1" applyBorder="1" applyFill="1" applyFont="1">
      <alignment horizontal="center" readingOrder="0" shrinkToFit="0" wrapText="0"/>
    </xf>
    <xf borderId="3" fillId="18" fontId="7" numFmtId="0" xfId="0" applyAlignment="1" applyBorder="1" applyFill="1" applyFont="1">
      <alignment horizontal="left" readingOrder="0" shrinkToFit="0" wrapText="0"/>
    </xf>
    <xf borderId="3" fillId="19" fontId="6" numFmtId="0" xfId="0" applyAlignment="1" applyBorder="1" applyFill="1" applyFont="1">
      <alignment horizontal="center" readingOrder="0" shrinkToFit="0" wrapText="0"/>
    </xf>
    <xf borderId="3" fillId="4" fontId="42" numFmtId="0" xfId="0" applyAlignment="1" applyBorder="1" applyFill="1" applyFont="1">
      <alignment horizontal="center" readingOrder="0" shrinkToFit="0" wrapText="0"/>
    </xf>
    <xf borderId="3" fillId="19" fontId="6" numFmtId="0" xfId="0" applyAlignment="1" applyBorder="1" applyFill="1" applyFont="1">
      <alignment readingOrder="0" shrinkToFit="0" wrapText="0"/>
    </xf>
    <xf borderId="3" fillId="19" fontId="6" numFmtId="0" xfId="0" applyAlignment="1" applyBorder="1" applyFill="1" applyFont="1">
      <alignment horizontal="left" readingOrder="0" shrinkToFit="0" wrapText="0"/>
    </xf>
    <xf borderId="3" fillId="19" fontId="6" numFmtId="0" xfId="0" applyAlignment="1" applyBorder="1" applyFill="1" applyFont="1">
      <alignment horizontal="center" readingOrder="0" shrinkToFit="0" vertical="center" wrapText="1"/>
    </xf>
    <xf borderId="3" fillId="4" fontId="42" numFmtId="0" xfId="0" applyAlignment="1" applyBorder="1" applyFill="1" applyFont="1">
      <alignment horizontal="center" readingOrder="0" shrinkToFit="0" vertical="bottom" wrapText="0"/>
    </xf>
    <xf borderId="3" fillId="19" fontId="6" numFmtId="165" xfId="0" applyAlignment="1" applyBorder="1" applyFill="1" applyFont="1" applyNumberFormat="1">
      <alignment horizontal="center" readingOrder="0" shrinkToFit="0" wrapText="0"/>
    </xf>
    <xf borderId="0" fillId="0" fontId="43" numFmtId="0" xfId="0" applyFont="1"/>
    <xf borderId="3" fillId="19" fontId="7" numFmtId="172" xfId="0" applyAlignment="1" applyBorder="1" applyFill="1" applyFont="1" applyNumberFormat="1">
      <alignment horizontal="center" readingOrder="0" shrinkToFit="0" wrapText="0"/>
    </xf>
    <xf borderId="3" fillId="0" fontId="14" numFmtId="0" xfId="0" applyAlignment="1" applyBorder="1" applyFont="1">
      <alignment horizontal="left" shrinkToFit="0" wrapText="0"/>
    </xf>
    <xf borderId="3" fillId="19" fontId="7" numFmtId="0" xfId="0" applyAlignment="1" applyBorder="1" applyFill="1" applyFont="1">
      <alignment horizontal="left" readingOrder="0" shrinkToFit="0" wrapText="0"/>
    </xf>
    <xf borderId="0" fillId="4" fontId="8" numFmtId="0" xfId="0" applyAlignment="1" applyFill="1" applyFont="1">
      <alignment horizontal="center" shrinkToFit="0" wrapText="0"/>
    </xf>
    <xf borderId="0" fillId="4" fontId="7" numFmtId="0" xfId="0" applyAlignment="1" applyFill="1" applyFont="1">
      <alignment horizontal="left" shrinkToFit="0" wrapText="0"/>
    </xf>
    <xf borderId="3" fillId="3" fontId="4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readingOrder="0" vertical="center"/>
    </xf>
    <xf borderId="3" fillId="0" fontId="3" numFmtId="172" xfId="0" applyAlignment="1" applyBorder="1" applyFont="1" applyNumberFormat="1">
      <alignment readingOrder="0"/>
    </xf>
    <xf borderId="3" fillId="2" fontId="3" numFmtId="0" xfId="0" applyAlignment="1" applyBorder="1" applyFill="1" applyFont="1">
      <alignment readingOrder="0"/>
    </xf>
    <xf borderId="3" fillId="0" fontId="13" numFmtId="0" xfId="0" applyAlignment="1" applyBorder="1" applyFont="1">
      <alignment horizontal="center" shrinkToFit="0" wrapText="0"/>
    </xf>
    <xf borderId="3" fillId="22" fontId="7" numFmtId="0" xfId="0" applyAlignment="1" applyBorder="1" applyFill="1" applyFont="1">
      <alignment readingOrder="0" shrinkToFit="0" wrapText="0"/>
    </xf>
    <xf borderId="3" fillId="17" fontId="7" numFmtId="167" xfId="0" applyAlignment="1" applyBorder="1" applyFill="1" applyFont="1" applyNumberFormat="1">
      <alignment horizontal="left" readingOrder="0" shrinkToFit="0" wrapText="0"/>
    </xf>
    <xf borderId="2" fillId="0" fontId="44" numFmtId="0" xfId="0" applyAlignment="1" applyBorder="1" applyFont="1">
      <alignment horizontal="center" readingOrder="0" shrinkToFit="0" wrapText="0"/>
    </xf>
    <xf borderId="2" fillId="0" fontId="44" numFmtId="0" xfId="0" applyAlignment="1" applyBorder="1" applyFont="1">
      <alignment horizontal="center" readingOrder="0"/>
    </xf>
    <xf borderId="2" fillId="0" fontId="44" numFmtId="0" xfId="0" applyAlignment="1" applyBorder="1" applyFont="1">
      <alignment horizontal="center" readingOrder="0" vertical="bottom"/>
    </xf>
    <xf borderId="0" fillId="0" fontId="45" numFmtId="0" xfId="0" applyAlignment="1" applyFont="1">
      <alignment shrinkToFit="0" vertical="bottom" wrapText="0"/>
    </xf>
    <xf borderId="3" fillId="19" fontId="45" numFmtId="0" xfId="0" applyAlignment="1" applyBorder="1" applyFill="1" applyFont="1">
      <alignment horizontal="center" readingOrder="0" shrinkToFit="0" wrapText="0"/>
    </xf>
    <xf borderId="3" fillId="19" fontId="46" numFmtId="0" xfId="0" applyAlignment="1" applyBorder="1" applyFill="1" applyFont="1">
      <alignment horizontal="center" readingOrder="0" shrinkToFit="0" wrapText="0"/>
    </xf>
    <xf borderId="3" fillId="19" fontId="45" numFmtId="172" xfId="0" applyAlignment="1" applyBorder="1" applyFill="1" applyFont="1" applyNumberFormat="1">
      <alignment horizontal="center" readingOrder="0" shrinkToFit="0" wrapText="0"/>
    </xf>
    <xf borderId="3" fillId="19" fontId="45" numFmtId="165" xfId="0" applyAlignment="1" applyBorder="1" applyFill="1" applyFont="1" applyNumberFormat="1">
      <alignment horizontal="center" readingOrder="0" shrinkToFit="0" wrapText="0"/>
    </xf>
    <xf borderId="0" fillId="19" fontId="45" numFmtId="0" xfId="0" applyAlignment="1" applyFill="1" applyFont="1">
      <alignment readingOrder="0" shrinkToFit="0" vertical="bottom" wrapText="0"/>
    </xf>
    <xf borderId="0" fillId="19" fontId="45" numFmtId="0" xfId="0" applyAlignment="1" applyFill="1" applyFont="1">
      <alignment shrinkToFit="0" vertical="bottom" wrapText="0"/>
    </xf>
    <xf borderId="0" fillId="19" fontId="3" numFmtId="0" xfId="0" applyFill="1" applyFont="1"/>
    <xf borderId="3" fillId="0" fontId="45" numFmtId="0" xfId="0" applyAlignment="1" applyBorder="1" applyFont="1">
      <alignment horizontal="center" readingOrder="0" shrinkToFit="0" wrapText="0"/>
    </xf>
    <xf borderId="3" fillId="0" fontId="46" numFmtId="0" xfId="0" applyAlignment="1" applyBorder="1" applyFont="1">
      <alignment horizontal="center" readingOrder="0" shrinkToFit="0" wrapText="0"/>
    </xf>
    <xf borderId="3" fillId="0" fontId="45" numFmtId="172" xfId="0" applyAlignment="1" applyBorder="1" applyFont="1" applyNumberFormat="1">
      <alignment horizontal="center" readingOrder="0" shrinkToFit="0" wrapText="0"/>
    </xf>
    <xf borderId="3" fillId="0" fontId="45" numFmtId="165" xfId="0" applyAlignment="1" applyBorder="1" applyFont="1" applyNumberFormat="1">
      <alignment horizontal="center" readingOrder="0" shrinkToFit="0" wrapText="0"/>
    </xf>
    <xf borderId="3" fillId="0" fontId="46" numFmtId="165" xfId="0" applyAlignment="1" applyBorder="1" applyFont="1" applyNumberFormat="1">
      <alignment horizontal="center" readingOrder="0" shrinkToFit="0" wrapText="0"/>
    </xf>
    <xf borderId="3" fillId="0" fontId="46" numFmtId="172" xfId="0" applyAlignment="1" applyBorder="1" applyFont="1" applyNumberFormat="1">
      <alignment horizontal="center" readingOrder="0" shrinkToFit="0" wrapText="0"/>
    </xf>
    <xf borderId="3" fillId="19" fontId="46" numFmtId="172" xfId="0" applyAlignment="1" applyBorder="1" applyFill="1" applyFont="1" applyNumberFormat="1">
      <alignment horizontal="center" readingOrder="0" shrinkToFit="0" wrapText="0"/>
    </xf>
    <xf borderId="3" fillId="19" fontId="46" numFmtId="165" xfId="0" applyAlignment="1" applyBorder="1" applyFill="1" applyFont="1" applyNumberFormat="1">
      <alignment horizontal="center" readingOrder="0" shrinkToFit="0" wrapText="0"/>
    </xf>
    <xf borderId="0" fillId="19" fontId="44" numFmtId="0" xfId="0" applyAlignment="1" applyFill="1" applyFont="1">
      <alignment readingOrder="0" shrinkToFit="0" vertical="bottom" wrapText="0"/>
    </xf>
    <xf borderId="5" fillId="0" fontId="45" numFmtId="0" xfId="0" applyAlignment="1" applyBorder="1" applyFont="1">
      <alignment horizontal="center" readingOrder="0" shrinkToFit="0" wrapText="0"/>
    </xf>
    <xf borderId="13" fillId="0" fontId="11" numFmtId="0" xfId="0" applyBorder="1" applyFont="1"/>
    <xf borderId="16" fillId="0" fontId="46" numFmtId="0" xfId="0" applyAlignment="1" applyBorder="1" applyFont="1">
      <alignment horizontal="center" readingOrder="0" shrinkToFit="0" wrapText="0"/>
    </xf>
    <xf borderId="16" fillId="0" fontId="46" numFmtId="172" xfId="0" applyAlignment="1" applyBorder="1" applyFont="1" applyNumberFormat="1">
      <alignment horizontal="center" readingOrder="0" shrinkToFit="0" wrapText="0"/>
    </xf>
    <xf borderId="16" fillId="0" fontId="45" numFmtId="0" xfId="0" applyAlignment="1" applyBorder="1" applyFont="1">
      <alignment horizontal="center" readingOrder="0" shrinkToFit="0" wrapText="0"/>
    </xf>
    <xf borderId="3" fillId="0" fontId="45" numFmtId="0" xfId="0" applyAlignment="1" applyBorder="1" applyFont="1">
      <alignment horizontal="center" shrinkToFit="0" wrapText="0"/>
    </xf>
    <xf borderId="3" fillId="18" fontId="45" numFmtId="0" xfId="0" applyAlignment="1" applyBorder="1" applyFill="1" applyFont="1">
      <alignment horizontal="center" readingOrder="0" shrinkToFit="0" wrapText="0"/>
    </xf>
    <xf borderId="3" fillId="18" fontId="46" numFmtId="0" xfId="0" applyAlignment="1" applyBorder="1" applyFill="1" applyFont="1">
      <alignment horizontal="center" readingOrder="0" shrinkToFit="0" wrapText="0"/>
    </xf>
    <xf borderId="3" fillId="18" fontId="45" numFmtId="165" xfId="0" applyAlignment="1" applyBorder="1" applyFill="1" applyFont="1" applyNumberFormat="1">
      <alignment horizontal="center" readingOrder="0" shrinkToFit="0" wrapText="0"/>
    </xf>
    <xf borderId="3" fillId="18" fontId="45" numFmtId="0" xfId="0" applyAlignment="1" applyBorder="1" applyFill="1" applyFont="1">
      <alignment horizontal="center" shrinkToFit="0" wrapText="0"/>
    </xf>
    <xf borderId="0" fillId="25" fontId="47" numFmtId="0" xfId="0" applyAlignment="1" applyFill="1" applyFont="1">
      <alignment readingOrder="0" shrinkToFit="0" vertical="bottom" wrapText="0"/>
    </xf>
    <xf borderId="3" fillId="5" fontId="45" numFmtId="0" xfId="0" applyAlignment="1" applyBorder="1" applyFill="1" applyFont="1">
      <alignment horizontal="center" readingOrder="0" shrinkToFit="0" wrapText="0"/>
    </xf>
    <xf borderId="3" fillId="5" fontId="46" numFmtId="0" xfId="0" applyAlignment="1" applyBorder="1" applyFill="1" applyFont="1">
      <alignment horizontal="center" readingOrder="0" shrinkToFit="0" wrapText="0"/>
    </xf>
    <xf borderId="3" fillId="5" fontId="46" numFmtId="172" xfId="0" applyAlignment="1" applyBorder="1" applyFill="1" applyFont="1" applyNumberFormat="1">
      <alignment horizontal="center" readingOrder="0" shrinkToFit="0" wrapText="0"/>
    </xf>
    <xf borderId="0" fillId="5" fontId="47" numFmtId="0" xfId="0" applyAlignment="1" applyFill="1" applyFont="1">
      <alignment readingOrder="0" shrinkToFit="0" vertical="bottom" wrapText="0"/>
    </xf>
    <xf borderId="0" fillId="5" fontId="45" numFmtId="0" xfId="0" applyAlignment="1" applyFill="1" applyFont="1">
      <alignment shrinkToFit="0" vertical="bottom" wrapText="0"/>
    </xf>
    <xf borderId="0" fillId="5" fontId="3" numFmtId="0" xfId="0" applyFill="1" applyFont="1"/>
    <xf borderId="3" fillId="5" fontId="46" numFmtId="0" xfId="0" applyAlignment="1" applyBorder="1" applyFill="1" applyFont="1">
      <alignment readingOrder="0" shrinkToFit="0" wrapText="0"/>
    </xf>
    <xf borderId="3" fillId="5" fontId="45" numFmtId="0" xfId="0" applyAlignment="1" applyBorder="1" applyFill="1" applyFont="1">
      <alignment horizontal="left" readingOrder="0" shrinkToFit="0" wrapText="0"/>
    </xf>
    <xf borderId="3" fillId="5" fontId="45" numFmtId="0" xfId="0" applyAlignment="1" applyBorder="1" applyFill="1" applyFont="1">
      <alignment readingOrder="0" shrinkToFit="0" wrapText="0"/>
    </xf>
    <xf borderId="3" fillId="5" fontId="45" numFmtId="172" xfId="0" applyAlignment="1" applyBorder="1" applyFill="1" applyFont="1" applyNumberFormat="1">
      <alignment horizontal="center" readingOrder="0" shrinkToFit="0" wrapText="0"/>
    </xf>
    <xf borderId="0" fillId="0" fontId="48" numFmtId="0" xfId="0" applyAlignment="1" applyFont="1">
      <alignment shrinkToFit="0" wrapText="0"/>
    </xf>
    <xf borderId="3" fillId="5" fontId="45" numFmtId="0" xfId="0" applyAlignment="1" applyBorder="1" applyFill="1" applyFont="1">
      <alignment horizontal="center" readingOrder="0" vertical="bottom"/>
    </xf>
    <xf borderId="3" fillId="5" fontId="45" numFmtId="0" xfId="0" applyAlignment="1" applyBorder="1" applyFill="1" applyFont="1">
      <alignment horizontal="center" readingOrder="0" shrinkToFit="0" vertical="bottom" wrapText="0"/>
    </xf>
    <xf borderId="3" fillId="5" fontId="45" numFmtId="165" xfId="0" applyAlignment="1" applyBorder="1" applyFill="1" applyFont="1" applyNumberFormat="1">
      <alignment horizontal="center" readingOrder="0" shrinkToFit="0" vertical="bottom" wrapText="0"/>
    </xf>
    <xf borderId="3" fillId="5" fontId="45" numFmtId="172" xfId="0" applyAlignment="1" applyBorder="1" applyFill="1" applyFont="1" applyNumberFormat="1">
      <alignment horizontal="center" readingOrder="0" shrinkToFit="0" vertical="bottom" wrapText="0"/>
    </xf>
    <xf borderId="3" fillId="5" fontId="45" numFmtId="169" xfId="0" applyAlignment="1" applyBorder="1" applyFill="1" applyFont="1" applyNumberFormat="1">
      <alignment horizontal="center" readingOrder="0" vertical="bottom"/>
    </xf>
    <xf borderId="0" fillId="5" fontId="45" numFmtId="0" xfId="0" applyAlignment="1" applyFill="1" applyFont="1">
      <alignment readingOrder="0" shrinkToFit="0" vertical="bottom" wrapText="0"/>
    </xf>
    <xf borderId="0" fillId="4" fontId="45" numFmtId="0" xfId="0" applyAlignment="1" applyFill="1" applyFont="1">
      <alignment shrinkToFit="0" vertical="bottom" wrapText="0"/>
    </xf>
    <xf borderId="0" fillId="4" fontId="3" numFmtId="0" xfId="0" applyFill="1" applyFont="1"/>
    <xf borderId="1" fillId="5" fontId="45" numFmtId="0" xfId="0" applyAlignment="1" applyBorder="1" applyFill="1" applyFont="1">
      <alignment horizontal="center" readingOrder="0" vertical="bottom"/>
    </xf>
    <xf borderId="16" fillId="5" fontId="45" numFmtId="0" xfId="0" applyAlignment="1" applyBorder="1" applyFill="1" applyFont="1">
      <alignment horizontal="center" readingOrder="0" vertical="bottom"/>
    </xf>
    <xf borderId="16" fillId="5" fontId="46" numFmtId="0" xfId="0" applyAlignment="1" applyBorder="1" applyFill="1" applyFont="1">
      <alignment horizontal="center" readingOrder="0" shrinkToFit="0" wrapText="0"/>
    </xf>
    <xf borderId="16" fillId="5" fontId="45" numFmtId="0" xfId="0" applyAlignment="1" applyBorder="1" applyFill="1" applyFont="1">
      <alignment horizontal="center" readingOrder="0" shrinkToFit="0" vertical="bottom" wrapText="0"/>
    </xf>
    <xf borderId="16" fillId="5" fontId="45" numFmtId="165" xfId="0" applyAlignment="1" applyBorder="1" applyFill="1" applyFont="1" applyNumberFormat="1">
      <alignment horizontal="center" readingOrder="0" shrinkToFit="0" vertical="bottom" wrapText="0"/>
    </xf>
    <xf borderId="16" fillId="5" fontId="45" numFmtId="172" xfId="0" applyAlignment="1" applyBorder="1" applyFill="1" applyFont="1" applyNumberFormat="1">
      <alignment horizontal="center" readingOrder="0" shrinkToFit="0" vertical="bottom" wrapText="0"/>
    </xf>
    <xf borderId="16" fillId="5" fontId="45" numFmtId="169" xfId="0" applyAlignment="1" applyBorder="1" applyFill="1" applyFont="1" applyNumberFormat="1">
      <alignment horizontal="center" readingOrder="0" vertical="bottom"/>
    </xf>
    <xf borderId="3" fillId="0" fontId="49" numFmtId="0" xfId="0" applyAlignment="1" applyBorder="1" applyFont="1">
      <alignment horizontal="center" readingOrder="0" shrinkToFit="0" wrapText="0"/>
    </xf>
    <xf borderId="3" fillId="0" fontId="31" numFmtId="0" xfId="0" applyAlignment="1" applyBorder="1" applyFont="1">
      <alignment readingOrder="0" shrinkToFit="0" wrapText="0"/>
    </xf>
    <xf borderId="3" fillId="0" fontId="31" numFmtId="0" xfId="0" applyAlignment="1" applyBorder="1" applyFont="1">
      <alignment horizontal="center" readingOrder="0" shrinkToFit="0" wrapText="0"/>
    </xf>
    <xf borderId="3" fillId="0" fontId="31" numFmtId="0" xfId="0" applyAlignment="1" applyBorder="1" applyFont="1">
      <alignment horizontal="left" readingOrder="0" shrinkToFit="0" wrapText="0"/>
    </xf>
    <xf borderId="3" fillId="0" fontId="31" numFmtId="165" xfId="0" applyAlignment="1" applyBorder="1" applyFont="1" applyNumberFormat="1">
      <alignment horizontal="center" readingOrder="0" shrinkToFit="0" wrapText="0"/>
    </xf>
    <xf borderId="0" fillId="0" fontId="49" numFmtId="0" xfId="0" applyAlignment="1" applyFont="1">
      <alignment shrinkToFit="0" vertical="bottom" wrapText="0"/>
    </xf>
    <xf borderId="3" fillId="0" fontId="50" numFmtId="0" xfId="0" applyAlignment="1" applyBorder="1" applyFont="1">
      <alignment horizontal="left" shrinkToFit="0" wrapText="0"/>
    </xf>
    <xf borderId="0" fillId="0" fontId="29" numFmtId="0" xfId="0" applyFont="1"/>
    <xf borderId="3" fillId="19" fontId="49" numFmtId="0" xfId="0" applyAlignment="1" applyBorder="1" applyFill="1" applyFont="1">
      <alignment horizontal="center" readingOrder="0" vertical="bottom"/>
    </xf>
    <xf borderId="3" fillId="19" fontId="31" numFmtId="0" xfId="0" applyAlignment="1" applyBorder="1" applyFill="1" applyFont="1">
      <alignment readingOrder="0" shrinkToFit="0" wrapText="0"/>
    </xf>
    <xf borderId="3" fillId="19" fontId="31" numFmtId="0" xfId="0" applyAlignment="1" applyBorder="1" applyFill="1" applyFont="1">
      <alignment horizontal="center" readingOrder="0" shrinkToFit="0" wrapText="0"/>
    </xf>
    <xf borderId="3" fillId="19" fontId="51" numFmtId="0" xfId="0" applyAlignment="1" applyBorder="1" applyFill="1" applyFont="1">
      <alignment horizontal="left" readingOrder="0" shrinkToFit="0" wrapText="0"/>
    </xf>
    <xf borderId="3" fillId="19" fontId="51" numFmtId="0" xfId="0" applyAlignment="1" applyBorder="1" applyFill="1" applyFont="1">
      <alignment horizontal="center" readingOrder="0" shrinkToFit="0" wrapText="0"/>
    </xf>
    <xf borderId="3" fillId="19" fontId="51" numFmtId="0" xfId="0" applyAlignment="1" applyBorder="1" applyFill="1" applyFont="1">
      <alignment readingOrder="0" shrinkToFit="0" wrapText="0"/>
    </xf>
    <xf borderId="3" fillId="19" fontId="31" numFmtId="172" xfId="0" applyAlignment="1" applyBorder="1" applyFill="1" applyFont="1" applyNumberFormat="1">
      <alignment horizontal="center" readingOrder="0" shrinkToFit="0" wrapText="0"/>
    </xf>
    <xf borderId="3" fillId="19" fontId="51" numFmtId="165" xfId="0" applyAlignment="1" applyBorder="1" applyFill="1" applyFont="1" applyNumberFormat="1">
      <alignment horizontal="center" readingOrder="0" shrinkToFit="0" wrapText="0"/>
    </xf>
    <xf borderId="3" fillId="19" fontId="3" numFmtId="0" xfId="0" applyBorder="1" applyFill="1" applyFont="1"/>
    <xf borderId="0" fillId="19" fontId="50" numFmtId="0" xfId="0" applyAlignment="1" applyFill="1" applyFont="1">
      <alignment readingOrder="0" shrinkToFit="0" wrapText="0"/>
    </xf>
    <xf borderId="0" fillId="19" fontId="29" numFmtId="0" xfId="0" applyFill="1" applyFont="1"/>
    <xf borderId="3" fillId="5" fontId="31" numFmtId="0" xfId="0" applyAlignment="1" applyBorder="1" applyFill="1" applyFont="1">
      <alignment readingOrder="0" shrinkToFit="0" wrapText="0"/>
    </xf>
    <xf borderId="3" fillId="5" fontId="31" numFmtId="0" xfId="0" applyAlignment="1" applyBorder="1" applyFill="1" applyFont="1">
      <alignment horizontal="center" readingOrder="0" shrinkToFit="0" wrapText="0"/>
    </xf>
    <xf borderId="3" fillId="5" fontId="31" numFmtId="0" xfId="0" applyAlignment="1" applyBorder="1" applyFill="1" applyFont="1">
      <alignment horizontal="left" readingOrder="0" shrinkToFit="0" wrapText="0"/>
    </xf>
    <xf borderId="3" fillId="5" fontId="51" numFmtId="0" xfId="0" applyAlignment="1" applyBorder="1" applyFill="1" applyFont="1">
      <alignment horizontal="center" readingOrder="0" shrinkToFit="0" wrapText="0"/>
    </xf>
    <xf borderId="3" fillId="5" fontId="51" numFmtId="165" xfId="0" applyAlignment="1" applyBorder="1" applyFill="1" applyFont="1" applyNumberFormat="1">
      <alignment horizontal="center" readingOrder="0" shrinkToFit="0" wrapText="0"/>
    </xf>
    <xf borderId="3" fillId="5" fontId="51" numFmtId="0" xfId="0" applyAlignment="1" applyBorder="1" applyFill="1" applyFont="1">
      <alignment horizontal="left" shrinkToFit="0" wrapText="0"/>
    </xf>
    <xf borderId="3" fillId="5" fontId="50" numFmtId="0" xfId="0" applyAlignment="1" applyBorder="1" applyFill="1" applyFont="1">
      <alignment horizontal="left" shrinkToFit="0" wrapText="0"/>
    </xf>
    <xf borderId="3" fillId="22" fontId="6" numFmtId="0" xfId="0" applyAlignment="1" applyBorder="1" applyFill="1" applyFont="1">
      <alignment horizontal="left" readingOrder="0" shrinkToFit="0" wrapText="0"/>
    </xf>
    <xf borderId="2" fillId="5" fontId="31" numFmtId="0" xfId="0" applyAlignment="1" applyBorder="1" applyFill="1" applyFont="1">
      <alignment horizontal="center" readingOrder="0" shrinkToFit="0" wrapText="0"/>
    </xf>
    <xf borderId="2" fillId="5" fontId="31" numFmtId="0" xfId="0" applyAlignment="1" applyBorder="1" applyFill="1" applyFont="1">
      <alignment readingOrder="0" shrinkToFit="0" wrapText="0"/>
    </xf>
    <xf borderId="3" fillId="4" fontId="31" numFmtId="0" xfId="0" applyAlignment="1" applyBorder="1" applyFill="1" applyFont="1">
      <alignment horizontal="center" readingOrder="0" shrinkToFit="0" wrapText="0"/>
    </xf>
    <xf borderId="3" fillId="0" fontId="51" numFmtId="0" xfId="0" applyAlignment="1" applyBorder="1" applyFont="1">
      <alignment horizontal="left" readingOrder="0" shrinkToFit="0" wrapText="0"/>
    </xf>
    <xf borderId="3" fillId="0" fontId="51" numFmtId="0" xfId="0" applyAlignment="1" applyBorder="1" applyFont="1">
      <alignment horizontal="center" readingOrder="0" shrinkToFit="0" wrapText="0"/>
    </xf>
    <xf borderId="3" fillId="0" fontId="51" numFmtId="0" xfId="0" applyAlignment="1" applyBorder="1" applyFont="1">
      <alignment readingOrder="0" shrinkToFit="0" wrapText="0"/>
    </xf>
    <xf borderId="3" fillId="4" fontId="51" numFmtId="172" xfId="0" applyAlignment="1" applyBorder="1" applyFill="1" applyFont="1" applyNumberFormat="1">
      <alignment horizontal="center" readingOrder="0" shrinkToFit="0" wrapText="0"/>
    </xf>
    <xf borderId="3" fillId="4" fontId="51" numFmtId="165" xfId="0" applyAlignment="1" applyBorder="1" applyFill="1" applyFont="1" applyNumberFormat="1">
      <alignment horizontal="center" readingOrder="0" shrinkToFit="0" wrapText="0"/>
    </xf>
    <xf borderId="3" fillId="0" fontId="51" numFmtId="172" xfId="0" applyAlignment="1" applyBorder="1" applyFont="1" applyNumberFormat="1">
      <alignment horizontal="left" readingOrder="0" shrinkToFit="0" wrapText="0"/>
    </xf>
    <xf borderId="0" fillId="5" fontId="31" numFmtId="0" xfId="0" applyAlignment="1" applyFill="1" applyFont="1">
      <alignment horizontal="center" readingOrder="0" shrinkToFit="0" wrapText="0"/>
    </xf>
    <xf borderId="3" fillId="22" fontId="6" numFmtId="0" xfId="0" applyAlignment="1" applyBorder="1" applyFill="1" applyFont="1">
      <alignment horizontal="center" readingOrder="0" shrinkToFit="0" wrapText="0"/>
    </xf>
    <xf borderId="3" fillId="22" fontId="7" numFmtId="0" xfId="0" applyAlignment="1" applyBorder="1" applyFill="1" applyFont="1">
      <alignment horizontal="center" readingOrder="0" shrinkToFit="0" vertical="bottom" wrapText="0"/>
    </xf>
    <xf borderId="0" fillId="4" fontId="52" numFmtId="0" xfId="0" applyAlignment="1" applyFill="1" applyFont="1">
      <alignment horizontal="center" readingOrder="0" vertical="center"/>
    </xf>
    <xf borderId="20" fillId="26" fontId="52" numFmtId="0" xfId="0" applyAlignment="1" applyBorder="1" applyFill="1" applyFont="1">
      <alignment horizontal="center" readingOrder="0" vertical="center"/>
    </xf>
    <xf borderId="21" fillId="0" fontId="11" numFmtId="0" xfId="0" applyBorder="1" applyFont="1"/>
    <xf borderId="17" fillId="0" fontId="11" numFmtId="0" xfId="0" applyBorder="1" applyFont="1"/>
    <xf borderId="0" fillId="0" fontId="52" numFmtId="0" xfId="0" applyAlignment="1" applyFont="1">
      <alignment horizontal="center" readingOrder="0" vertical="center"/>
    </xf>
    <xf borderId="22" fillId="0" fontId="11" numFmtId="0" xfId="0" applyBorder="1" applyFont="1"/>
    <xf borderId="14" fillId="0" fontId="11" numFmtId="0" xfId="0" applyBorder="1" applyFont="1"/>
    <xf borderId="0" fillId="4" fontId="3" numFmtId="0" xfId="0" applyAlignment="1" applyFill="1" applyFont="1">
      <alignment readingOrder="0"/>
    </xf>
    <xf borderId="3" fillId="26" fontId="3" numFmtId="0" xfId="0" applyAlignment="1" applyBorder="1" applyFill="1" applyFont="1">
      <alignment readingOrder="0"/>
    </xf>
    <xf borderId="3" fillId="0" fontId="3" numFmtId="170" xfId="0" applyAlignment="1" applyBorder="1" applyFont="1" applyNumberFormat="1">
      <alignment readingOrder="0"/>
    </xf>
    <xf borderId="3" fillId="0" fontId="3" numFmtId="169" xfId="0" applyAlignment="1" applyBorder="1" applyFont="1" applyNumberFormat="1">
      <alignment readingOrder="0"/>
    </xf>
    <xf borderId="0" fillId="27" fontId="53" numFmtId="0" xfId="0" applyAlignment="1" applyFill="1" applyFont="1">
      <alignment horizontal="center" readingOrder="0" shrinkToFit="0" wrapText="0"/>
    </xf>
    <xf borderId="0" fillId="27" fontId="53" numFmtId="0" xfId="0" applyAlignment="1" applyFill="1" applyFont="1">
      <alignment horizontal="center" readingOrder="0" shrinkToFit="0" vertical="bottom" wrapText="0"/>
    </xf>
    <xf borderId="0" fillId="0" fontId="53" numFmtId="0" xfId="0" applyAlignment="1" applyFont="1">
      <alignment horizontal="right" readingOrder="0" shrinkToFit="0" vertical="bottom" wrapText="0"/>
    </xf>
    <xf borderId="0" fillId="0" fontId="53" numFmtId="0" xfId="0" applyAlignment="1" applyFont="1">
      <alignment readingOrder="0" shrinkToFit="0" vertical="bottom" wrapText="0"/>
    </xf>
    <xf borderId="0" fillId="4" fontId="36" numFmtId="165" xfId="0" applyAlignment="1" applyFill="1" applyFont="1" applyNumberFormat="1">
      <alignment horizontal="left" readingOrder="0" shrinkToFit="0" vertical="bottom" wrapText="0"/>
    </xf>
    <xf borderId="0" fillId="4" fontId="53" numFmtId="165" xfId="0" applyAlignment="1" applyFill="1" applyFont="1" applyNumberFormat="1">
      <alignment horizontal="left" readingOrder="0" shrinkToFit="0" vertical="bottom" wrapText="0"/>
    </xf>
    <xf borderId="0" fillId="4" fontId="36" numFmtId="172" xfId="0" applyAlignment="1" applyFill="1" applyFont="1" applyNumberFormat="1">
      <alignment horizontal="left" readingOrder="0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22" fontId="36" numFmtId="172" xfId="0" applyAlignment="1" applyFill="1" applyFont="1" applyNumberFormat="1">
      <alignment horizontal="left" readingOrder="0" shrinkToFit="0" vertical="bottom" wrapText="0"/>
    </xf>
    <xf borderId="0" fillId="22" fontId="36" numFmtId="165" xfId="0" applyAlignment="1" applyFill="1" applyFont="1" applyNumberFormat="1">
      <alignment horizontal="left" readingOrder="0" shrinkToFit="0" vertical="bottom" wrapText="0"/>
    </xf>
    <xf borderId="0" fillId="22" fontId="53" numFmtId="165" xfId="0" applyAlignment="1" applyFill="1" applyFont="1" applyNumberFormat="1">
      <alignment horizontal="left" readingOrder="0" shrinkToFit="0" vertical="bottom" wrapText="0"/>
    </xf>
    <xf borderId="0" fillId="4" fontId="53" numFmtId="172" xfId="0" applyAlignment="1" applyFill="1" applyFont="1" applyNumberFormat="1">
      <alignment horizontal="left" readingOrder="0" shrinkToFit="0" vertical="bottom" wrapText="0"/>
    </xf>
    <xf borderId="0" fillId="0" fontId="53" numFmtId="165" xfId="0" applyAlignment="1" applyFont="1" applyNumberFormat="1">
      <alignment horizontal="left" readingOrder="0" shrinkToFit="0" vertical="bottom" wrapText="0"/>
    </xf>
    <xf borderId="0" fillId="0" fontId="36" numFmtId="172" xfId="0" applyAlignment="1" applyFont="1" applyNumberFormat="1">
      <alignment horizontal="left" readingOrder="0" shrinkToFit="0" vertical="bottom" wrapText="0"/>
    </xf>
    <xf borderId="2" fillId="28" fontId="54" numFmtId="0" xfId="0" applyAlignment="1" applyBorder="1" applyFill="1" applyFont="1">
      <alignment horizontal="center" shrinkToFit="0" vertical="center" wrapText="1"/>
    </xf>
    <xf borderId="23" fillId="28" fontId="54" numFmtId="0" xfId="0" applyAlignment="1" applyBorder="1" applyFill="1" applyFont="1">
      <alignment horizontal="center" shrinkToFit="0" vertical="center" wrapText="1"/>
    </xf>
    <xf borderId="24" fillId="28" fontId="54" numFmtId="0" xfId="0" applyAlignment="1" applyBorder="1" applyFill="1" applyFont="1">
      <alignment horizontal="center" shrinkToFit="0" vertical="center" wrapText="1"/>
    </xf>
    <xf borderId="23" fillId="19" fontId="55" numFmtId="0" xfId="0" applyAlignment="1" applyBorder="1" applyFill="1" applyFont="1">
      <alignment horizontal="center" shrinkToFit="0" vertical="center" wrapText="1"/>
    </xf>
    <xf borderId="25" fillId="19" fontId="55" numFmtId="0" xfId="0" applyAlignment="1" applyBorder="1" applyFill="1" applyFont="1">
      <alignment horizontal="center" shrinkToFit="0" vertical="center" wrapText="1"/>
    </xf>
    <xf borderId="25" fillId="19" fontId="55" numFmtId="14" xfId="0" applyAlignment="1" applyBorder="1" applyFill="1" applyFont="1" applyNumberFormat="1">
      <alignment horizontal="center" shrinkToFit="0" vertical="center" wrapText="1"/>
    </xf>
    <xf borderId="26" fillId="4" fontId="56" numFmtId="0" xfId="0" applyAlignment="1" applyBorder="1" applyFill="1" applyFont="1">
      <alignment horizontal="center" shrinkToFit="0" vertical="center" wrapText="1"/>
    </xf>
    <xf borderId="3" fillId="5" fontId="57" numFmtId="0" xfId="0" applyAlignment="1" applyBorder="1" applyFill="1" applyFont="1">
      <alignment horizontal="center" vertical="center"/>
    </xf>
    <xf borderId="3" fillId="5" fontId="58" numFmtId="0" xfId="0" applyAlignment="1" applyBorder="1" applyFill="1" applyFont="1">
      <alignment horizontal="center" vertical="center"/>
    </xf>
    <xf borderId="26" fillId="4" fontId="59" numFmtId="0" xfId="0" applyAlignment="1" applyBorder="1" applyFill="1" applyFont="1">
      <alignment horizontal="center" shrinkToFit="0" vertical="center" wrapText="1"/>
    </xf>
    <xf borderId="3" fillId="5" fontId="58" numFmtId="177" xfId="0" applyAlignment="1" applyBorder="1" applyFill="1" applyFont="1" applyNumberFormat="1">
      <alignment horizontal="center" vertical="center"/>
    </xf>
    <xf borderId="3" fillId="5" fontId="58" numFmtId="1" xfId="0" applyAlignment="1" applyBorder="1" applyFill="1" applyFont="1" applyNumberFormat="1">
      <alignment horizontal="center" vertical="center"/>
    </xf>
    <xf borderId="3" fillId="5" fontId="58" numFmtId="0" xfId="0" applyAlignment="1" applyBorder="1" applyFill="1" applyFont="1">
      <alignment horizontal="center" readingOrder="0" vertical="center"/>
    </xf>
    <xf borderId="3" fillId="5" fontId="58" numFmtId="14" xfId="0" applyAlignment="1" applyBorder="1" applyFill="1" applyFont="1" applyNumberFormat="1">
      <alignment horizontal="center" vertical="center"/>
    </xf>
    <xf borderId="25" fillId="4" fontId="55" numFmtId="0" xfId="0" applyAlignment="1" applyBorder="1" applyFill="1" applyFont="1">
      <alignment horizontal="center" shrinkToFit="0" vertical="center" wrapText="1"/>
    </xf>
    <xf borderId="3" fillId="5" fontId="58" numFmtId="178" xfId="0" applyAlignment="1" applyBorder="1" applyFill="1" applyFont="1" applyNumberFormat="1">
      <alignment horizontal="center" vertical="center"/>
    </xf>
    <xf borderId="26" fillId="4" fontId="56" numFmtId="179" xfId="0" applyAlignment="1" applyBorder="1" applyFill="1" applyFont="1" applyNumberFormat="1">
      <alignment horizontal="center" shrinkToFit="0" vertical="center" wrapText="1"/>
    </xf>
    <xf borderId="3" fillId="4" fontId="58" numFmtId="0" xfId="0" applyAlignment="1" applyBorder="1" applyFill="1" applyFont="1">
      <alignment horizontal="center" readingOrder="0" vertical="center"/>
    </xf>
    <xf borderId="0" fillId="4" fontId="56" numFmtId="0" xfId="0" applyAlignment="1" applyFill="1" applyFont="1">
      <alignment horizontal="center" shrinkToFit="0" vertical="center" wrapText="1"/>
    </xf>
    <xf borderId="0" fillId="4" fontId="56" numFmtId="179" xfId="0" applyAlignment="1" applyFill="1" applyFont="1" applyNumberFormat="1">
      <alignment horizontal="center" shrinkToFit="0" vertical="center" wrapText="1"/>
    </xf>
    <xf borderId="0" fillId="4" fontId="34" numFmtId="0" xfId="0" applyFill="1" applyFont="1"/>
    <xf borderId="0" fillId="4" fontId="34" numFmtId="179" xfId="0" applyFill="1" applyFont="1" applyNumberFormat="1"/>
    <xf borderId="3" fillId="4" fontId="58" numFmtId="0" xfId="0" applyAlignment="1" applyBorder="1" applyFill="1" applyFont="1">
      <alignment horizontal="center" vertical="center"/>
    </xf>
    <xf borderId="0" fillId="4" fontId="34" numFmtId="0" xfId="0" applyAlignment="1" applyFill="1" applyFont="1">
      <alignment readingOrder="0"/>
    </xf>
    <xf borderId="0" fillId="4" fontId="17" numFmtId="0" xfId="0" applyAlignment="1" applyFill="1" applyFont="1">
      <alignment horizontal="center" readingOrder="0" shrinkToFit="0" vertical="bottom" wrapText="0"/>
    </xf>
    <xf borderId="0" fillId="4" fontId="34" numFmtId="0" xfId="0" applyAlignment="1" applyFill="1" applyFont="1">
      <alignment horizontal="center" readingOrder="0"/>
    </xf>
    <xf borderId="0" fillId="4" fontId="34" numFmtId="0" xfId="0" applyAlignment="1" applyFill="1" applyFont="1">
      <alignment horizontal="center"/>
    </xf>
    <xf borderId="0" fillId="4" fontId="34" numFmtId="179" xfId="0" applyAlignment="1" applyFill="1" applyFont="1" applyNumberFormat="1">
      <alignment horizontal="center" readingOrder="0"/>
    </xf>
    <xf borderId="0" fillId="4" fontId="34" numFmtId="179" xfId="0" applyAlignment="1" applyFill="1" applyFont="1" applyNumberFormat="1">
      <alignment horizontal="center"/>
    </xf>
    <xf borderId="0" fillId="4" fontId="3" numFmtId="169" xfId="0" applyAlignment="1" applyFill="1" applyFont="1" applyNumberFormat="1">
      <alignment readingOrder="0"/>
    </xf>
    <xf borderId="0" fillId="4" fontId="3" numFmtId="0" xfId="0" applyAlignment="1" applyFill="1" applyFont="1">
      <alignment horizontal="center" readingOrder="0"/>
    </xf>
    <xf borderId="0" fillId="4" fontId="3" numFmtId="164" xfId="0" applyAlignment="1" applyFill="1" applyFont="1" applyNumberFormat="1">
      <alignment horizontal="center" readingOrder="0"/>
    </xf>
    <xf quotePrefix="1" borderId="3" fillId="5" fontId="58" numFmtId="177" xfId="0" applyAlignment="1" applyBorder="1" applyFill="1" applyFont="1" applyNumberFormat="1">
      <alignment horizontal="center" vertical="center"/>
    </xf>
    <xf borderId="0" fillId="4" fontId="30" numFmtId="0" xfId="0" applyAlignment="1" applyFill="1" applyFont="1">
      <alignment horizontal="center" readingOrder="0"/>
    </xf>
    <xf borderId="0" fillId="4" fontId="60" numFmtId="0" xfId="0" applyAlignment="1" applyFill="1" applyFont="1">
      <alignment horizontal="center" readingOrder="0"/>
    </xf>
    <xf borderId="0" fillId="4" fontId="34" numFmtId="164" xfId="0" applyAlignment="1" applyFill="1" applyFont="1" applyNumberFormat="1">
      <alignment horizontal="center" readingOrder="0"/>
    </xf>
    <xf borderId="0" fillId="4" fontId="3" numFmtId="179" xfId="0" applyAlignment="1" applyFill="1" applyFont="1" applyNumberFormat="1">
      <alignment horizontal="center" readingOrder="0"/>
    </xf>
    <xf borderId="0" fillId="4" fontId="61" numFmtId="0" xfId="0" applyAlignment="1" applyFill="1" applyFont="1">
      <alignment horizontal="center" readingOrder="0" shrinkToFit="0" vertical="bottom" wrapText="0"/>
    </xf>
    <xf borderId="0" fillId="4" fontId="34" numFmtId="0" xfId="0" applyAlignment="1" applyFill="1" applyFont="1">
      <alignment horizontal="center" vertical="bottom"/>
    </xf>
    <xf borderId="0" fillId="4" fontId="34" numFmtId="180" xfId="0" applyAlignment="1" applyFill="1" applyFont="1" applyNumberFormat="1">
      <alignment horizontal="center" readingOrder="0"/>
    </xf>
    <xf borderId="0" fillId="4" fontId="34" numFmtId="0" xfId="0" applyAlignment="1" applyFill="1" applyFont="1">
      <alignment horizontal="center" vertical="bottom"/>
    </xf>
    <xf quotePrefix="1" borderId="0" fillId="4" fontId="34" numFmtId="0" xfId="0" applyAlignment="1" applyFill="1" applyFont="1">
      <alignment horizontal="center" readingOrder="0"/>
    </xf>
    <xf borderId="0" fillId="4" fontId="62" numFmtId="0" xfId="0" applyAlignment="1" applyFill="1" applyFont="1">
      <alignment horizontal="center" vertical="bottom"/>
    </xf>
    <xf borderId="3" fillId="0" fontId="63" numFmtId="0" xfId="0" applyAlignment="1" applyBorder="1" applyFont="1">
      <alignment horizontal="left" shrinkToFit="0" vertical="center" wrapText="1"/>
    </xf>
    <xf borderId="3" fillId="19" fontId="63" numFmtId="0" xfId="0" applyAlignment="1" applyBorder="1" applyFill="1" applyFont="1">
      <alignment horizontal="left" shrinkToFit="0" vertical="center" wrapText="1"/>
    </xf>
    <xf borderId="3" fillId="14" fontId="63" numFmtId="0" xfId="0" applyAlignment="1" applyBorder="1" applyFill="1" applyFont="1">
      <alignment horizontal="left" shrinkToFit="0" vertical="center" wrapText="1"/>
    </xf>
    <xf borderId="3" fillId="14" fontId="63" numFmtId="0" xfId="0" applyAlignment="1" applyBorder="1" applyFill="1" applyFont="1">
      <alignment horizontal="center" shrinkToFit="0" vertical="center" wrapText="1"/>
    </xf>
    <xf borderId="3" fillId="0" fontId="63" numFmtId="0" xfId="0" applyAlignment="1" applyBorder="1" applyFont="1">
      <alignment horizontal="center" shrinkToFit="0" vertical="center" wrapText="1"/>
    </xf>
    <xf borderId="0" fillId="0" fontId="63" numFmtId="0" xfId="0" applyAlignment="1" applyFont="1">
      <alignment horizontal="left" shrinkToFit="0" vertical="center" wrapText="1"/>
    </xf>
    <xf borderId="3" fillId="0" fontId="64" numFmtId="0" xfId="0" applyBorder="1" applyFont="1"/>
    <xf borderId="3" fillId="0" fontId="64" numFmtId="0" xfId="0" applyAlignment="1" applyBorder="1" applyFont="1">
      <alignment horizontal="center" vertical="center"/>
    </xf>
    <xf borderId="3" fillId="0" fontId="64" numFmtId="1" xfId="0" applyAlignment="1" applyBorder="1" applyFont="1" applyNumberFormat="1">
      <alignment horizontal="center" vertical="center"/>
    </xf>
    <xf borderId="3" fillId="0" fontId="64" numFmtId="181" xfId="0" applyAlignment="1" applyBorder="1" applyFont="1" applyNumberFormat="1">
      <alignment horizontal="right" vertical="center"/>
    </xf>
    <xf borderId="3" fillId="0" fontId="64" numFmtId="14" xfId="0" applyBorder="1" applyFont="1" applyNumberFormat="1"/>
    <xf borderId="3" fillId="0" fontId="64" numFmtId="14" xfId="0" applyAlignment="1" applyBorder="1" applyFont="1" applyNumberFormat="1">
      <alignment horizontal="center"/>
    </xf>
    <xf borderId="3" fillId="0" fontId="64" numFmtId="0" xfId="0" applyAlignment="1" applyBorder="1" applyFont="1">
      <alignment horizontal="left" vertical="center"/>
    </xf>
    <xf borderId="3" fillId="0" fontId="64" numFmtId="0" xfId="0" applyAlignment="1" applyBorder="1" applyFont="1">
      <alignment horizontal="center"/>
    </xf>
    <xf borderId="3" fillId="29" fontId="64" numFmtId="0" xfId="0" applyBorder="1" applyFill="1" applyFont="1"/>
    <xf borderId="0" fillId="0" fontId="64" numFmtId="0" xfId="0" applyFont="1"/>
    <xf borderId="3" fillId="30" fontId="64" numFmtId="0" xfId="0" applyBorder="1" applyFill="1" applyFont="1"/>
    <xf borderId="3" fillId="31" fontId="64" numFmtId="0" xfId="0" applyBorder="1" applyFill="1" applyFont="1"/>
    <xf borderId="0" fillId="4" fontId="34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horizontal="center"/>
    </xf>
    <xf borderId="0" fillId="0" fontId="64" numFmtId="0" xfId="0" applyAlignment="1" applyFont="1">
      <alignment vertical="center"/>
    </xf>
    <xf borderId="3" fillId="0" fontId="64" numFmtId="0" xfId="0" applyAlignment="1" applyBorder="1" applyFont="1">
      <alignment vertical="center"/>
    </xf>
    <xf borderId="0" fillId="0" fontId="64" numFmtId="0" xfId="0" applyAlignment="1" applyFont="1">
      <alignment horizontal="center"/>
    </xf>
    <xf borderId="0" fillId="0" fontId="64" numFmtId="0" xfId="0" applyAlignment="1" applyFont="1">
      <alignment horizontal="center" vertical="center"/>
    </xf>
    <xf borderId="27" fillId="18" fontId="65" numFmtId="0" xfId="0" applyBorder="1" applyFill="1" applyFont="1"/>
    <xf borderId="0" fillId="4" fontId="66" numFmtId="0" xfId="0" applyAlignment="1" applyFill="1" applyFont="1">
      <alignment horizontal="center" readingOrder="0" shrinkToFit="0" vertical="bottom" wrapText="0"/>
    </xf>
    <xf borderId="0" fillId="4" fontId="62" numFmtId="164" xfId="0" applyAlignment="1" applyFill="1" applyFont="1" applyNumberFormat="1">
      <alignment horizontal="center" readingOrder="0" shrinkToFit="0" vertical="bottom" wrapText="0"/>
    </xf>
    <xf borderId="0" fillId="4" fontId="34" numFmtId="179" xfId="0" applyAlignment="1" applyFill="1" applyFont="1" applyNumberFormat="1">
      <alignment horizontal="center" readingOrder="0" vertical="bottom"/>
    </xf>
    <xf borderId="0" fillId="4" fontId="34" numFmtId="179" xfId="0" applyAlignment="1" applyFill="1" applyFont="1" applyNumberFormat="1">
      <alignment readingOrder="0"/>
    </xf>
    <xf borderId="3" fillId="4" fontId="58" numFmtId="177" xfId="0" applyAlignment="1" applyBorder="1" applyFill="1" applyFont="1" applyNumberFormat="1">
      <alignment horizontal="center" vertical="center"/>
    </xf>
    <xf borderId="0" fillId="4" fontId="34" numFmtId="165" xfId="0" applyAlignment="1" applyFill="1" applyFont="1" applyNumberFormat="1">
      <alignment readingOrder="0"/>
    </xf>
    <xf borderId="0" fillId="4" fontId="34" numFmtId="0" xfId="0" applyAlignment="1" applyFill="1" applyFont="1">
      <alignment vertical="bottom"/>
    </xf>
    <xf borderId="0" fillId="4" fontId="28" numFmtId="0" xfId="0" applyAlignment="1" applyFill="1" applyFont="1">
      <alignment horizontal="center" vertical="bottom"/>
    </xf>
    <xf borderId="0" fillId="4" fontId="34" numFmtId="0" xfId="0" applyAlignment="1" applyFill="1" applyFont="1">
      <alignment horizontal="right" vertical="bottom"/>
    </xf>
    <xf borderId="0" fillId="4" fontId="34" numFmtId="179" xfId="0" applyAlignment="1" applyFill="1" applyFont="1" applyNumberFormat="1">
      <alignment horizontal="center" vertical="bottom"/>
    </xf>
    <xf borderId="0" fillId="4" fontId="34" numFmtId="179" xfId="0" applyAlignment="1" applyFill="1" applyFont="1" applyNumberFormat="1">
      <alignment vertical="bottom"/>
    </xf>
    <xf borderId="0" fillId="4" fontId="34" numFmtId="164" xfId="0" applyAlignment="1" applyFill="1" applyFont="1" applyNumberFormat="1">
      <alignment horizontal="center" vertical="bottom"/>
    </xf>
    <xf borderId="3" fillId="4" fontId="26" numFmtId="0" xfId="0" applyAlignment="1" applyBorder="1" applyFill="1" applyFont="1">
      <alignment horizontal="left" readingOrder="0" shrinkToFit="0" vertical="bottom" wrapText="0"/>
    </xf>
    <xf borderId="0" fillId="0" fontId="34" numFmtId="0" xfId="0" applyFont="1"/>
    <xf borderId="0" fillId="0" fontId="34" numFmtId="179" xfId="0" applyFont="1" applyNumberFormat="1"/>
  </cellXfs>
  <cellStyles count="1">
    <cellStyle xfId="0" name="Normal" builtinId="0"/>
  </cellStyles>
  <dxfs count="7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>
        <color rgb="FFFFFF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ony Darsal" id="{23ac4b24-c8b3-408b-80f2-93835a78ecc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34" dT="2026-01-19T04:49:28.00" personId="{23ac4b24-c8b3-408b-80f2-93835a78ecc1}" id="{399037c6-0dcf-47ca-905f-9890848b03c3}" done="1">
    <x18tc:text xml:space="preserve">MT Perbantuan ke Plumpang dan Di Tera Ulang di Plumpang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6PN3AA68ZLKcIBxSYEcHH1uWBLIf9oyh/view?usp=drivesdk" TargetMode="External"/><Relationship Id="rId194" Type="http://schemas.openxmlformats.org/officeDocument/2006/relationships/hyperlink" Target="https://drive.google.com/file/d/1Qo0kQb62KZLR2RjgfGenmpJ5v5RlDcVg/view?usp=drivesdk" TargetMode="External"/><Relationship Id="rId193" Type="http://schemas.openxmlformats.org/officeDocument/2006/relationships/hyperlink" Target="https://drive.google.com/file/d/19uz6kzXiPagmE0eAud12j98SFVbn7rKr/view?usp=drivesdk" TargetMode="External"/><Relationship Id="rId192" Type="http://schemas.openxmlformats.org/officeDocument/2006/relationships/hyperlink" Target="https://drive.google.com/open?id=1VMrY_ke5-b30iWL8IHRlpcXVvRjgA-M-" TargetMode="External"/><Relationship Id="rId191" Type="http://schemas.openxmlformats.org/officeDocument/2006/relationships/hyperlink" Target="https://drive.google.com/open?id=1VMrY_ke5-b30iWL8IHRlpcXVvRjgA-M-" TargetMode="External"/><Relationship Id="rId187" Type="http://schemas.openxmlformats.org/officeDocument/2006/relationships/hyperlink" Target="https://drive.google.com/file/d/1WEBqVu_7AV8M_eiSAXV-0glOujxk3L7L/view?usp=drivesdk" TargetMode="External"/><Relationship Id="rId186" Type="http://schemas.openxmlformats.org/officeDocument/2006/relationships/hyperlink" Target="https://drive.google.com/file/d/1VLcmYX6fFG5ntmpQoG32H1wIn0qMYFH-/view?usp=drivesdk" TargetMode="External"/><Relationship Id="rId185" Type="http://schemas.openxmlformats.org/officeDocument/2006/relationships/hyperlink" Target="https://drive.google.com/file/d/1M9mhdyNztqDfZuNYIHrjpGDEH7KpHsbD/view?usp=drivesdk" TargetMode="External"/><Relationship Id="rId184" Type="http://schemas.openxmlformats.org/officeDocument/2006/relationships/hyperlink" Target="https://drive.google.com/file/d/1IeFajaqa4Dz0Fyk2XrjXO0aIoeY7LiYq/view?usp=drivesdk" TargetMode="External"/><Relationship Id="rId189" Type="http://schemas.openxmlformats.org/officeDocument/2006/relationships/hyperlink" Target="https://drive.google.com/file/d/1zlXRAwQtlJ6hJVfZolA4j9yBfB3JhQqo/view?usp=drivesdk" TargetMode="External"/><Relationship Id="rId188" Type="http://schemas.openxmlformats.org/officeDocument/2006/relationships/hyperlink" Target="https://drive.google.com/file/d/1drwABmrAWpQGDI-ueHDtCCRF2QEN7vHI/view?usp=drivesdk" TargetMode="External"/><Relationship Id="rId183" Type="http://schemas.openxmlformats.org/officeDocument/2006/relationships/hyperlink" Target="https://drive.google.com/file/d/1NnruYrFYyx6NIQywKPT8msBp8Q-MJkYZ/view?usp=drivesdk" TargetMode="External"/><Relationship Id="rId182" Type="http://schemas.openxmlformats.org/officeDocument/2006/relationships/hyperlink" Target="https://drive.google.com/open?id=1iiOgcizUBe1Fg9ynX7e9MiA1cYcfKmGK" TargetMode="External"/><Relationship Id="rId181" Type="http://schemas.openxmlformats.org/officeDocument/2006/relationships/hyperlink" Target="https://drive.google.com/open?id=1gfiYXii_qLuKAongAjlHuOWr2OWkjWLt" TargetMode="External"/><Relationship Id="rId180" Type="http://schemas.openxmlformats.org/officeDocument/2006/relationships/hyperlink" Target="https://drive.google.com/open?id=1sV3OKUQNQROPy2Iw0GZcHHAH-3vW5X_V" TargetMode="External"/><Relationship Id="rId176" Type="http://schemas.openxmlformats.org/officeDocument/2006/relationships/hyperlink" Target="https://drive.google.com/file/d/177kCfENhV7FiQ_6c8co6qMrq_N8O4bo_/view?usp=drivesdk" TargetMode="External"/><Relationship Id="rId297" Type="http://schemas.openxmlformats.org/officeDocument/2006/relationships/hyperlink" Target="https://drive.google.com/file/d/1azeDiMRP69NgMdDojLqRfhwNs0jT2FFx/view?usp=drivesdk" TargetMode="External"/><Relationship Id="rId175" Type="http://schemas.openxmlformats.org/officeDocument/2006/relationships/hyperlink" Target="https://drive.google.com/open?id=1lmB52EYk7lHKbktkJsxdz52csL1C0pUq" TargetMode="External"/><Relationship Id="rId296" Type="http://schemas.openxmlformats.org/officeDocument/2006/relationships/hyperlink" Target="https://drive.google.com/file/d/1LAqR5jCDxu6v66Litztt0Kv-0q_vPpk8/view?usp=drivesdk" TargetMode="External"/><Relationship Id="rId174" Type="http://schemas.openxmlformats.org/officeDocument/2006/relationships/hyperlink" Target="https://drive.google.com/open?id=1Xvn5jzMU_Qn15kftLpH03pJm49pF27Xu" TargetMode="External"/><Relationship Id="rId295" Type="http://schemas.openxmlformats.org/officeDocument/2006/relationships/hyperlink" Target="https://drive.google.com/file/d/1CfiEvWKso-sgDr7fTAiwNmEbvf4OP1pa/view?usp=drivesdk" TargetMode="External"/><Relationship Id="rId173" Type="http://schemas.openxmlformats.org/officeDocument/2006/relationships/hyperlink" Target="https://drive.google.com/open?id=1vyqT6lEFdhiy5O0q1cEnRq20W6SG1HE7" TargetMode="External"/><Relationship Id="rId294" Type="http://schemas.openxmlformats.org/officeDocument/2006/relationships/hyperlink" Target="https://drive.google.com/file/d/1mpMzCRtN4XL2CnzSu9nHI-HZH_VZ1ITk/view?usp=drivesdk" TargetMode="External"/><Relationship Id="rId179" Type="http://schemas.openxmlformats.org/officeDocument/2006/relationships/hyperlink" Target="https://drive.google.com/file/d/1RfV1KCLyp3LoyACwg9t9N9CKSZ9QJPFM/view?usp=drivesdk" TargetMode="External"/><Relationship Id="rId178" Type="http://schemas.openxmlformats.org/officeDocument/2006/relationships/hyperlink" Target="https://drive.google.com/file/d/1o-rqxi7jCowEk2b9WpL2wl3Z_RFC2lwN/view?usp=drivesdk" TargetMode="External"/><Relationship Id="rId299" Type="http://schemas.openxmlformats.org/officeDocument/2006/relationships/hyperlink" Target="https://drive.google.com/open?id=1V39MD6U3HocifpNteTFedFiyPA73-Hw9" TargetMode="External"/><Relationship Id="rId177" Type="http://schemas.openxmlformats.org/officeDocument/2006/relationships/hyperlink" Target="https://drive.google.com/file/d/1xnKCFGMdixBiCF3ws2vQnne47XGzYcLy/view?usp=drivesdk" TargetMode="External"/><Relationship Id="rId298" Type="http://schemas.openxmlformats.org/officeDocument/2006/relationships/hyperlink" Target="https://drive.google.com/open?id=1V39MD6U3HocifpNteTFedFiyPA73-Hw9" TargetMode="External"/><Relationship Id="rId198" Type="http://schemas.openxmlformats.org/officeDocument/2006/relationships/hyperlink" Target="https://drive.google.com/file/d/1yYff7NcL-TzDkjgHZJj2suag9XjGJJDl/view?usp=drivesdk" TargetMode="External"/><Relationship Id="rId197" Type="http://schemas.openxmlformats.org/officeDocument/2006/relationships/hyperlink" Target="https://drive.google.com/file/d/1dkyYchVT6FRFU3CAGNJcLWyNLCaMhV5f/view?usp=drivesdk" TargetMode="External"/><Relationship Id="rId196" Type="http://schemas.openxmlformats.org/officeDocument/2006/relationships/hyperlink" Target="https://drive.google.com/file/d/1v4tiRuWXnDgQ0k9VoERdp9FbdCVYVIWg/view?usp=drivesdk" TargetMode="External"/><Relationship Id="rId195" Type="http://schemas.openxmlformats.org/officeDocument/2006/relationships/hyperlink" Target="https://drive.google.com/file/d/1147fxXM3VCh_jK6cx1gyCnz8PxDRSt9V/view?usp=drivesdk" TargetMode="External"/><Relationship Id="rId199" Type="http://schemas.openxmlformats.org/officeDocument/2006/relationships/hyperlink" Target="https://drive.google.com/file/d/14ZYwFnmrpXZFyxixcM1d_q0XphmO1xCQ/view?usp=drivesdk" TargetMode="External"/><Relationship Id="rId150" Type="http://schemas.openxmlformats.org/officeDocument/2006/relationships/hyperlink" Target="https://drive.google.com/file/d/1PMYcq3AlbFEYlxKCRWaKG9yctBOw0U3Q/view?usp=drivesdk" TargetMode="External"/><Relationship Id="rId271" Type="http://schemas.openxmlformats.org/officeDocument/2006/relationships/hyperlink" Target="https://drive.google.com/open?id=1sKxwJNf-ukFCY6B-R8tWd-AedbY3je_T" TargetMode="External"/><Relationship Id="rId392" Type="http://schemas.openxmlformats.org/officeDocument/2006/relationships/hyperlink" Target="https://drive.google.com/file/d/1C84KH4dpAw65b9XVvJrmzYQ9C4XwMcmk/view?usp=drivesdk" TargetMode="External"/><Relationship Id="rId270" Type="http://schemas.openxmlformats.org/officeDocument/2006/relationships/hyperlink" Target="https://drive.google.com/open?id=1vhjKIigS_CVKt5638x-OSxdrHPCLpepc" TargetMode="External"/><Relationship Id="rId391" Type="http://schemas.openxmlformats.org/officeDocument/2006/relationships/hyperlink" Target="https://drive.google.com/file/d/1o5VLi2gI4AR37B-4cBXs-GnlfzYAPKuN/view?usp=drivesdk" TargetMode="External"/><Relationship Id="rId390" Type="http://schemas.openxmlformats.org/officeDocument/2006/relationships/hyperlink" Target="https://drive.google.com/file/d/1oJJP2kwulZ5tgMb6vb-bLWy1c_vkqpCb/view?usp=drivesdk" TargetMode="External"/><Relationship Id="rId1" Type="http://schemas.openxmlformats.org/officeDocument/2006/relationships/hyperlink" Target="https://drive.google.com/file/d/1iwLW_jr7VrNQgTnaQ8OpwUT-J3IzAdCF/view?usp=drivesdk" TargetMode="External"/><Relationship Id="rId2" Type="http://schemas.openxmlformats.org/officeDocument/2006/relationships/hyperlink" Target="https://drive.google.com/file/d/18UIz76WX6mOb_5c4MXbTTw2rJdbFDHbQ/view?usp=drivesdk" TargetMode="External"/><Relationship Id="rId3" Type="http://schemas.openxmlformats.org/officeDocument/2006/relationships/hyperlink" Target="https://drive.google.com/file/d/13kG7TZTNNrdRWSTZN39rCsigls6xfboB/view?usp=drivesdk" TargetMode="External"/><Relationship Id="rId149" Type="http://schemas.openxmlformats.org/officeDocument/2006/relationships/hyperlink" Target="https://drive.google.com/file/d/1ZumhtDHZLWYt8Z_h8kWDJem6yAZOqKwH/view?usp=drivesdk" TargetMode="External"/><Relationship Id="rId4" Type="http://schemas.openxmlformats.org/officeDocument/2006/relationships/hyperlink" Target="https://drive.google.com/file/d/1KY_3kFnzLWMzQnyMOrg6lpOv5OpWuOFM/view?usp=drivesdk" TargetMode="External"/><Relationship Id="rId148" Type="http://schemas.openxmlformats.org/officeDocument/2006/relationships/hyperlink" Target="https://drive.google.com/file/d/1XNd_0R4Pxf6Y2aZ50aSMc2upANyLeMFo/view?usp=drivesdk" TargetMode="External"/><Relationship Id="rId269" Type="http://schemas.openxmlformats.org/officeDocument/2006/relationships/hyperlink" Target="https://drive.google.com/open?id=1vhjKIigS_CVKt5638x-OSxdrHPCLpepc" TargetMode="External"/><Relationship Id="rId9" Type="http://schemas.openxmlformats.org/officeDocument/2006/relationships/hyperlink" Target="https://drive.google.com/open?id=1-ng5Ay22ubdDPOOa6Odry1Bvai-cjCTa" TargetMode="External"/><Relationship Id="rId143" Type="http://schemas.openxmlformats.org/officeDocument/2006/relationships/hyperlink" Target="https://drive.google.com/file/d/1eZsknqSSY5sq224B3nF8pBaMGGklxuza/view?usp=drivesdk" TargetMode="External"/><Relationship Id="rId264" Type="http://schemas.openxmlformats.org/officeDocument/2006/relationships/hyperlink" Target="https://drive.google.com/file/d/1tabjHuhTojc6_IDZtGtdbKVX6vUVjY73/view?usp=drivesdk" TargetMode="External"/><Relationship Id="rId385" Type="http://schemas.openxmlformats.org/officeDocument/2006/relationships/hyperlink" Target="https://drive.google.com/file/d/1sJKpF-dh7YyCp7jPBzRW69_jLBWlDNHw/view?usp=drivesdk" TargetMode="External"/><Relationship Id="rId142" Type="http://schemas.openxmlformats.org/officeDocument/2006/relationships/hyperlink" Target="https://drive.google.com/file/d/1X9Fa2_w-wFWkz0EsBnqOCAQu75hC4BjR/view?usp=drivesdk" TargetMode="External"/><Relationship Id="rId263" Type="http://schemas.openxmlformats.org/officeDocument/2006/relationships/hyperlink" Target="https://drive.google.com/file/d/1_2vb___7DJWB5pKgo8faiLiUK3vPJmdK/view?usp=drivesdk" TargetMode="External"/><Relationship Id="rId384" Type="http://schemas.openxmlformats.org/officeDocument/2006/relationships/hyperlink" Target="https://drive.google.com/file/d/1F-IcbKhsXzY2JdpjiIri1MsyArmMlva8/view?usp=drivesdk" TargetMode="External"/><Relationship Id="rId141" Type="http://schemas.openxmlformats.org/officeDocument/2006/relationships/hyperlink" Target="https://drive.google.com/file/d/1jmUmVGE2xXEJRuhZHFhP2Az7Tel7NqiZ/view?usp=drivesdk" TargetMode="External"/><Relationship Id="rId262" Type="http://schemas.openxmlformats.org/officeDocument/2006/relationships/hyperlink" Target="https://drive.google.com/file/d/1q6tizD2yTX-gjpfHQ-CH2DtyN4LwUCl5/view?usp=drivesdk" TargetMode="External"/><Relationship Id="rId383" Type="http://schemas.openxmlformats.org/officeDocument/2006/relationships/hyperlink" Target="https://drive.google.com/file/d/1ocaXwrlhzDwELw2ncR_oik3FDwdGPwcE/view?usp=drivesdk" TargetMode="External"/><Relationship Id="rId140" Type="http://schemas.openxmlformats.org/officeDocument/2006/relationships/hyperlink" Target="https://drive.google.com/file/d/1KrsPNpeP2rrvQL72zTobQkJXwGCYpT_y/view?usp=drivesdk" TargetMode="External"/><Relationship Id="rId261" Type="http://schemas.openxmlformats.org/officeDocument/2006/relationships/hyperlink" Target="https://drive.google.com/file/d/1yxbpL-feeMowh_RUKzQdoJFME01WWYr9/view?usp=drivesdk" TargetMode="External"/><Relationship Id="rId382" Type="http://schemas.openxmlformats.org/officeDocument/2006/relationships/hyperlink" Target="https://drive.google.com/file/d/13K9jMqRW6F3_9Q6ym6me2IE0wGxExFqM/view?usp=drivesdk" TargetMode="External"/><Relationship Id="rId5" Type="http://schemas.openxmlformats.org/officeDocument/2006/relationships/hyperlink" Target="https://drive.google.com/file/d/1SXdCjFn9JPGpur7rWHOD7cqTaaVC-DID/view?usp=drivesdk" TargetMode="External"/><Relationship Id="rId147" Type="http://schemas.openxmlformats.org/officeDocument/2006/relationships/hyperlink" Target="https://drive.google.com/open?id=1rgGEyxmD-o0h-scqsg7yYNfFODDRYWF1" TargetMode="External"/><Relationship Id="rId268" Type="http://schemas.openxmlformats.org/officeDocument/2006/relationships/hyperlink" Target="https://drive.google.com/file/d/1u-uyanzLl10G3G1fjcS0MTgWxEDWwyrc/view?usp=drivesdk" TargetMode="External"/><Relationship Id="rId389" Type="http://schemas.openxmlformats.org/officeDocument/2006/relationships/hyperlink" Target="https://drive.google.com/file/d/1u5R_I7DRWCGvYR6avKdYv8KAtSfMYkly/view?usp=drivesdk" TargetMode="External"/><Relationship Id="rId6" Type="http://schemas.openxmlformats.org/officeDocument/2006/relationships/hyperlink" Target="https://drive.google.com/file/d/1Z7REYu81XPIFb2Qjkhc5FtQHt3vaz1Dn/view?usp=drivesdk" TargetMode="External"/><Relationship Id="rId146" Type="http://schemas.openxmlformats.org/officeDocument/2006/relationships/hyperlink" Target="https://drive.google.com/file/d/1YGIHlPeGst4RTTBKL6yDgPwcC7cRF4PY/view?usp=drivesdk" TargetMode="External"/><Relationship Id="rId267" Type="http://schemas.openxmlformats.org/officeDocument/2006/relationships/hyperlink" Target="https://drive.google.com/file/d/1TspxE6bmBC-aGxl8DUIkHbMLc3PVJNUJ/view?usp=drivesdk" TargetMode="External"/><Relationship Id="rId388" Type="http://schemas.openxmlformats.org/officeDocument/2006/relationships/hyperlink" Target="https://drive.google.com/file/d/1QW8Ffi2hULchjzXBdGHR2QyBQWG6JJaI/view?usp=drivesdk" TargetMode="External"/><Relationship Id="rId7" Type="http://schemas.openxmlformats.org/officeDocument/2006/relationships/hyperlink" Target="https://drive.google.com/file/d/1xLkDywC7WOPoxpncA4FsIfqDOQnNv6sN/view?usp=drivesdk" TargetMode="External"/><Relationship Id="rId145" Type="http://schemas.openxmlformats.org/officeDocument/2006/relationships/hyperlink" Target="https://drive.google.com/file/d/1y1sMRVugNovQQLjhJNIkJmhNWcIF-8mt/view?usp=drivesdk" TargetMode="External"/><Relationship Id="rId266" Type="http://schemas.openxmlformats.org/officeDocument/2006/relationships/hyperlink" Target="https://drive.google.com/file/d/1jFPtR-3jIQpVPh9XY-FU7r2hH55zawKx/view?usp=drivesdk" TargetMode="External"/><Relationship Id="rId387" Type="http://schemas.openxmlformats.org/officeDocument/2006/relationships/hyperlink" Target="https://drive.google.com/file/d/1kkJkMClY1AhoHQoIImOdTf8tYuiqy4Do/view?usp=drivesdk" TargetMode="External"/><Relationship Id="rId8" Type="http://schemas.openxmlformats.org/officeDocument/2006/relationships/hyperlink" Target="https://drive.google.com/file/d/1aO9i8-YdZKDPVUAVL5oy0SVrZmES95Jp/view?usp=drivesdk" TargetMode="External"/><Relationship Id="rId144" Type="http://schemas.openxmlformats.org/officeDocument/2006/relationships/hyperlink" Target="https://drive.google.com/file/d/1sc3hzGaiMhl7wTa15iCumOCrBSz87bBP/view?usp=drivesdk" TargetMode="External"/><Relationship Id="rId265" Type="http://schemas.openxmlformats.org/officeDocument/2006/relationships/hyperlink" Target="https://drive.google.com/file/d/1foX-Q301DltQBNxnjzUrHu4kDyMnqC62/view?usp=drivesdk" TargetMode="External"/><Relationship Id="rId386" Type="http://schemas.openxmlformats.org/officeDocument/2006/relationships/hyperlink" Target="https://drive.google.com/file/d/10lBgLzlj-wfq2a8O92kXROOUDIWBU7fE/view?usp=drivesdk" TargetMode="External"/><Relationship Id="rId260" Type="http://schemas.openxmlformats.org/officeDocument/2006/relationships/hyperlink" Target="https://drive.google.com/file/d/1dFlx8JF_CCUESY5Pc9o2UFqEx9xUnYxM/view?usp=drivesdk" TargetMode="External"/><Relationship Id="rId381" Type="http://schemas.openxmlformats.org/officeDocument/2006/relationships/hyperlink" Target="https://drive.google.com/file/d/10_DDJUgCTgeafnXxA1fKxhI_1k-a7CoL/view?usp=drivesdk" TargetMode="External"/><Relationship Id="rId380" Type="http://schemas.openxmlformats.org/officeDocument/2006/relationships/hyperlink" Target="https://drive.google.com/file/d/1fmw65l4jx0zUkULU2gU8vWfD5AE6cnQL/view?usp=drivesdk" TargetMode="External"/><Relationship Id="rId139" Type="http://schemas.openxmlformats.org/officeDocument/2006/relationships/hyperlink" Target="https://drive.google.com/file/d/1VqSz_RaD2DfuPbG--uMX0de4lO-MdwIK/view?usp=drivesdk" TargetMode="External"/><Relationship Id="rId138" Type="http://schemas.openxmlformats.org/officeDocument/2006/relationships/hyperlink" Target="https://drive.google.com/file/d/1zkgLxCLJAUK_iPkLEgmoSzWuk6vMvwWD/view?usp=drivesdk" TargetMode="External"/><Relationship Id="rId259" Type="http://schemas.openxmlformats.org/officeDocument/2006/relationships/hyperlink" Target="https://drive.google.com/file/d/1W8aldtCs0S-Tg0BulJUWMJU6JIm0-MGC/view?usp=drivesdk" TargetMode="External"/><Relationship Id="rId137" Type="http://schemas.openxmlformats.org/officeDocument/2006/relationships/hyperlink" Target="https://drive.google.com/file/d/17Qnc8bffOHwzEfd32elRBjQLBEQmNm4Q/view?usp=drivesdk" TargetMode="External"/><Relationship Id="rId258" Type="http://schemas.openxmlformats.org/officeDocument/2006/relationships/hyperlink" Target="https://drive.google.com/file/d/1Esr1bHpv3RJ__UdjCfcvJ7OUwxbERB-z/view?usp=drivesdk" TargetMode="External"/><Relationship Id="rId379" Type="http://schemas.openxmlformats.org/officeDocument/2006/relationships/hyperlink" Target="https://drive.google.com/file/d/1_ef-41KuldurNtMIIZhslM7r_NEywskj/view?usp=drivesdk" TargetMode="External"/><Relationship Id="rId132" Type="http://schemas.openxmlformats.org/officeDocument/2006/relationships/hyperlink" Target="https://drive.google.com/file/d/1lteraJrfWWRptRIZvRJy3IuGIT8VmUkh/view?usp=drivesdk" TargetMode="External"/><Relationship Id="rId253" Type="http://schemas.openxmlformats.org/officeDocument/2006/relationships/hyperlink" Target="https://drive.google.com/open?id=1t6Yv8MkC9fqq9a2eY_Zga5PEWA4Q-dd1" TargetMode="External"/><Relationship Id="rId374" Type="http://schemas.openxmlformats.org/officeDocument/2006/relationships/hyperlink" Target="https://drive.google.com/open?id=1b8s87iU1Iji7kFNVp2NBa8F-YacLKxGj" TargetMode="External"/><Relationship Id="rId495" Type="http://schemas.openxmlformats.org/officeDocument/2006/relationships/hyperlink" Target="https://drive.google.com/file/d/1KUjCmky570ZNYagVPW_M63I6oVfd9WTw/view?usp=drivesdk" TargetMode="External"/><Relationship Id="rId131" Type="http://schemas.openxmlformats.org/officeDocument/2006/relationships/hyperlink" Target="https://drive.google.com/file/d/12jCwEE-TpdKDXhKseDmqJdIeKjwApBID/view?usp=drivesdk" TargetMode="External"/><Relationship Id="rId252" Type="http://schemas.openxmlformats.org/officeDocument/2006/relationships/hyperlink" Target="https://drive.google.com/file/d/1MQ6tGZb4Cu_hl49GJzq9hv5Ne18xHvB7/view?usp=drivesdk" TargetMode="External"/><Relationship Id="rId373" Type="http://schemas.openxmlformats.org/officeDocument/2006/relationships/hyperlink" Target="https://drive.google.com/open?id=181eYb4pJli3uLNOIZJxtfJCtTk-Btk1b" TargetMode="External"/><Relationship Id="rId494" Type="http://schemas.openxmlformats.org/officeDocument/2006/relationships/hyperlink" Target="https://drive.google.com/file/d/1IrrXivE0-dblzcUAkh7Sn_t9iJNSjSdN/view?usp=drivesdk" TargetMode="External"/><Relationship Id="rId130" Type="http://schemas.openxmlformats.org/officeDocument/2006/relationships/hyperlink" Target="https://drive.google.com/file/d/1O6Uts_U7Got2snuEKsLKRJciaXO894oK/view?usp=drivesdk" TargetMode="External"/><Relationship Id="rId251" Type="http://schemas.openxmlformats.org/officeDocument/2006/relationships/hyperlink" Target="https://drive.google.com/file/d/1pDNCUWEVDffxa1Nug3rZkQQMXWME5TvQ/view?usp=drivesdk" TargetMode="External"/><Relationship Id="rId372" Type="http://schemas.openxmlformats.org/officeDocument/2006/relationships/hyperlink" Target="https://drive.google.com/open?id=1m5vzT_TXyG0JdXB8KxqYVCa107tj93_O" TargetMode="External"/><Relationship Id="rId493" Type="http://schemas.openxmlformats.org/officeDocument/2006/relationships/hyperlink" Target="https://drive.google.com/file/d/1X4LIyxcyIuGN4fc9nFdKaW4Lr-53uoC5/view?usp=drivesdk" TargetMode="External"/><Relationship Id="rId250" Type="http://schemas.openxmlformats.org/officeDocument/2006/relationships/hyperlink" Target="https://drive.google.com/file/d/1zyWWDK-Vhb4b2A84RdLSzR2WU96OSScT/view?usp=drivesdk" TargetMode="External"/><Relationship Id="rId371" Type="http://schemas.openxmlformats.org/officeDocument/2006/relationships/hyperlink" Target="https://drive.google.com/open?id=1LaWf0JcoGaFSpcwRzmixouBNC9paIZjy" TargetMode="External"/><Relationship Id="rId492" Type="http://schemas.openxmlformats.org/officeDocument/2006/relationships/hyperlink" Target="https://drive.google.com/file/d/1dHu7Jnmfj_KlQBJkhPTLB-v1_AFLFgP_/view?usp=drivesdk" TargetMode="External"/><Relationship Id="rId136" Type="http://schemas.openxmlformats.org/officeDocument/2006/relationships/hyperlink" Target="https://drive.google.com/file/d/1bNQrYiDpsVkX4uWzQ4bsq8zz0LQjghqp/view?usp=drivesdk" TargetMode="External"/><Relationship Id="rId257" Type="http://schemas.openxmlformats.org/officeDocument/2006/relationships/hyperlink" Target="https://drive.google.com/file/d/1G6FjAvb_BghMqRMfrTyWWckpq351pXWE/view?usp=drivesdk" TargetMode="External"/><Relationship Id="rId378" Type="http://schemas.openxmlformats.org/officeDocument/2006/relationships/hyperlink" Target="https://drive.google.com/file/d/113EvPZ1vOj8pt4P3RxP1bmg4JRnI6cHV/view?usp=drivesdk" TargetMode="External"/><Relationship Id="rId499" Type="http://schemas.openxmlformats.org/officeDocument/2006/relationships/hyperlink" Target="https://drive.google.com/file/d/1zLLPa-pWWYweMPQpjwaJ0FUlFHe3NAeE/view?usp=drivesdk" TargetMode="External"/><Relationship Id="rId135" Type="http://schemas.openxmlformats.org/officeDocument/2006/relationships/hyperlink" Target="https://drive.google.com/file/d/1eAeb1RkqQ3E55rROmlNs7dVy8x45bSSB/view?usp=drivesdk" TargetMode="External"/><Relationship Id="rId256" Type="http://schemas.openxmlformats.org/officeDocument/2006/relationships/hyperlink" Target="https://drive.google.com/open?id=1mdA49lRkvV2Q4HWWLkm1v6FkgX8rj5l-" TargetMode="External"/><Relationship Id="rId377" Type="http://schemas.openxmlformats.org/officeDocument/2006/relationships/hyperlink" Target="https://drive.google.com/file/d/11hutvoDyPuHS-AI3FBUYskM9cxLS9vA7/view?usp=drivesdk" TargetMode="External"/><Relationship Id="rId498" Type="http://schemas.openxmlformats.org/officeDocument/2006/relationships/hyperlink" Target="https://drive.google.com/file/d/1SSgJUQFdva9DYe-dtJbXg1MIQdEUQNCE/view?usp=drivesdk" TargetMode="External"/><Relationship Id="rId134" Type="http://schemas.openxmlformats.org/officeDocument/2006/relationships/hyperlink" Target="https://drive.google.com/open?id=1GaU4GrFABBw8ezwGeXXG5exV-m44_ukz" TargetMode="External"/><Relationship Id="rId255" Type="http://schemas.openxmlformats.org/officeDocument/2006/relationships/hyperlink" Target="https://drive.google.com/file/d/1-4l_4tncaOB3iLZ-6Bs-83ofPPnBSStx/view?usp=drivesdk" TargetMode="External"/><Relationship Id="rId376" Type="http://schemas.openxmlformats.org/officeDocument/2006/relationships/hyperlink" Target="https://drive.google.com/file/d/1ZWFUqnBUIpcD_o9WrvuhmpoLnZoLVqaN/view?usp=drivesdk" TargetMode="External"/><Relationship Id="rId497" Type="http://schemas.openxmlformats.org/officeDocument/2006/relationships/hyperlink" Target="https://drive.google.com/file/d/1DtOcZNb8QmJYcQQbIB-iz38XVFvBy813/view?usp=drivesdk" TargetMode="External"/><Relationship Id="rId133" Type="http://schemas.openxmlformats.org/officeDocument/2006/relationships/hyperlink" Target="https://drive.google.com/open?id=1GaU4GrFABBw8ezwGeXXG5exV-m44_ukz" TargetMode="External"/><Relationship Id="rId254" Type="http://schemas.openxmlformats.org/officeDocument/2006/relationships/hyperlink" Target="https://drive.google.com/file/d/1Ka7MtVBZdHr_jGAEFEbWKWLy_gIDXb4R/view?usp=drivesdk" TargetMode="External"/><Relationship Id="rId375" Type="http://schemas.openxmlformats.org/officeDocument/2006/relationships/hyperlink" Target="https://drive.google.com/file/d/1gZErrDeM9rU9XVaHAcucnS4Dsg1iHT26/view?usp=drivesdk" TargetMode="External"/><Relationship Id="rId496" Type="http://schemas.openxmlformats.org/officeDocument/2006/relationships/hyperlink" Target="https://drive.google.com/file/d/1nN5arMFA8DnBouDISlkxoxUUD8YuP4_N/view?usp=drivesdk" TargetMode="External"/><Relationship Id="rId172" Type="http://schemas.openxmlformats.org/officeDocument/2006/relationships/hyperlink" Target="https://drive.google.com/open?id=1EIQNeLqZSVyN4qtCUc1qq0aug-dSP2fZ" TargetMode="External"/><Relationship Id="rId293" Type="http://schemas.openxmlformats.org/officeDocument/2006/relationships/hyperlink" Target="https://drive.google.com/file/d/1JMgzxFHsfRV4u_jGiD-abM7p8RGZQCsG/view?usp=drivesdk" TargetMode="External"/><Relationship Id="rId171" Type="http://schemas.openxmlformats.org/officeDocument/2006/relationships/hyperlink" Target="https://drive.google.com/open?id=1EIQNeLqZSVyN4qtCUc1qq0aug-dSP2fZ" TargetMode="External"/><Relationship Id="rId292" Type="http://schemas.openxmlformats.org/officeDocument/2006/relationships/hyperlink" Target="https://drive.google.com/file/d/1P8IqNZOAWbxAuPNsvivjWWVYtoEhDLam/view?usp=drivesdk" TargetMode="External"/><Relationship Id="rId170" Type="http://schemas.openxmlformats.org/officeDocument/2006/relationships/hyperlink" Target="https://drive.google.com/file/d/1f-Py22I3cWExVKMjjMf-trPa-a2J77XO/view?usp=drivesdk" TargetMode="External"/><Relationship Id="rId291" Type="http://schemas.openxmlformats.org/officeDocument/2006/relationships/hyperlink" Target="https://drive.google.com/file/d/1mPXjduw_fz-6XkbfKKfpH3_Ns1Ykuouh/view?usp=drivesdk" TargetMode="External"/><Relationship Id="rId290" Type="http://schemas.openxmlformats.org/officeDocument/2006/relationships/hyperlink" Target="https://drive.google.com/file/d/1l67E12Nen4BExJ0eSqRAJL3SqYowGVlP/view?usp=drivesdk" TargetMode="External"/><Relationship Id="rId165" Type="http://schemas.openxmlformats.org/officeDocument/2006/relationships/hyperlink" Target="https://drive.google.com/file/d/1xbtzhS1zYZl4owYJEiUSGIo_8Y-cuNtI/view?usp=drivesdk" TargetMode="External"/><Relationship Id="rId286" Type="http://schemas.openxmlformats.org/officeDocument/2006/relationships/hyperlink" Target="https://drive.google.com/open?id=1bgw-KfuCG4D7bhA-Y1dhDIOCfcLenqf_" TargetMode="External"/><Relationship Id="rId164" Type="http://schemas.openxmlformats.org/officeDocument/2006/relationships/hyperlink" Target="https://drive.google.com/file/d/1i0bvMdedfJX6401DDKEkVwDbH63D6bTt/view?usp=drivesdk" TargetMode="External"/><Relationship Id="rId285" Type="http://schemas.openxmlformats.org/officeDocument/2006/relationships/hyperlink" Target="https://drive.google.com/file/d/1Fz8-rqAEGjDFEfS3uVR-BrrhssRbRjgE/view?usp=drivesdk" TargetMode="External"/><Relationship Id="rId163" Type="http://schemas.openxmlformats.org/officeDocument/2006/relationships/hyperlink" Target="https://drive.google.com/file/d/1m2q92xK96sW3TvCZXRlxyKGZSTdyRyd3/view?usp=drivesdk" TargetMode="External"/><Relationship Id="rId284" Type="http://schemas.openxmlformats.org/officeDocument/2006/relationships/hyperlink" Target="https://drive.google.com/file/d/1Pd8J6nfd7pNgOROk5kdmEafCf0Fbv6_i/view?usp=drivesdk" TargetMode="External"/><Relationship Id="rId162" Type="http://schemas.openxmlformats.org/officeDocument/2006/relationships/hyperlink" Target="https://drive.google.com/file/d/1fMEIrCqOxuk1CTped0BGHgP5iOo2SaS0/view?usp=drivesdk" TargetMode="External"/><Relationship Id="rId283" Type="http://schemas.openxmlformats.org/officeDocument/2006/relationships/hyperlink" Target="https://drive.google.com/file/d/19GNtcmnaKuZROJm40yHFXjTirveYK9hD/view?usp=drivesdk" TargetMode="External"/><Relationship Id="rId169" Type="http://schemas.openxmlformats.org/officeDocument/2006/relationships/hyperlink" Target="https://drive.google.com/file/d/1y2AKJLlhRUJAPx1O8te0l4EpD0GIM2mg/view?usp=drivesdk" TargetMode="External"/><Relationship Id="rId168" Type="http://schemas.openxmlformats.org/officeDocument/2006/relationships/hyperlink" Target="https://drive.google.com/file/d/1Bz7d1e1iIlKGkqFnBe6oSzlPj2r2yGZk/view?usp=drivesdk" TargetMode="External"/><Relationship Id="rId289" Type="http://schemas.openxmlformats.org/officeDocument/2006/relationships/hyperlink" Target="https://drive.google.com/file/d/1i1ZrFkaG2Ck5RiNufo_fXTeFt7asHwI9/view?usp=drivesdk" TargetMode="External"/><Relationship Id="rId167" Type="http://schemas.openxmlformats.org/officeDocument/2006/relationships/hyperlink" Target="https://drive.google.com/file/d/1kheSLCXcyygd9QkA3CF2RFREXKTwgx88/view?usp=drivesdk" TargetMode="External"/><Relationship Id="rId288" Type="http://schemas.openxmlformats.org/officeDocument/2006/relationships/hyperlink" Target="https://drive.google.com/file/d/1_PK5kkrHs2WQfUz1ZHH04_1fDL9D1a5O/view?usp=drivesdk" TargetMode="External"/><Relationship Id="rId166" Type="http://schemas.openxmlformats.org/officeDocument/2006/relationships/hyperlink" Target="https://drive.google.com/file/d/11Sk8Ozk-Lu7CGZ80aXVBBWjwaAsPU_zY/view?usp=drivesdk" TargetMode="External"/><Relationship Id="rId287" Type="http://schemas.openxmlformats.org/officeDocument/2006/relationships/hyperlink" Target="https://drive.google.com/file/d/1gqgQI6iC3ZlAQfya-lnu5ggDeBaGbZsw/view?usp=drivesdk" TargetMode="External"/><Relationship Id="rId161" Type="http://schemas.openxmlformats.org/officeDocument/2006/relationships/hyperlink" Target="https://drive.google.com/file/d/1jRU0M5ezjLhZ60QSD9T9bjx3U1LdbLbb/view?usp=drivesdk" TargetMode="External"/><Relationship Id="rId282" Type="http://schemas.openxmlformats.org/officeDocument/2006/relationships/hyperlink" Target="https://drive.google.com/file/d/1sI-QnA62SboV1ZZdCxPuEGhUgJFWyOv-/view?usp=drivesdk" TargetMode="External"/><Relationship Id="rId160" Type="http://schemas.openxmlformats.org/officeDocument/2006/relationships/hyperlink" Target="https://drive.google.com/file/d/1Q1qkp6A9QDoK1QM6xJNgOaLrh_HTXhyG/view?usp=drivesdk" TargetMode="External"/><Relationship Id="rId281" Type="http://schemas.openxmlformats.org/officeDocument/2006/relationships/hyperlink" Target="https://drive.google.com/file/d/1-LiFoCFHe9YD0OiCrFkUM-Gzrdw-JbRV/view?usp=drivesdk" TargetMode="External"/><Relationship Id="rId280" Type="http://schemas.openxmlformats.org/officeDocument/2006/relationships/hyperlink" Target="https://drive.google.com/file/d/1EE_l3ZFMAtRce61PeWRVlaBZIM-5SGjN/view?usp=drivesdk" TargetMode="External"/><Relationship Id="rId159" Type="http://schemas.openxmlformats.org/officeDocument/2006/relationships/hyperlink" Target="https://drive.google.com/file/d/1ddcfrDB1x74xMx7DBMHy00e-nym79hEK/view?usp=drivesdk" TargetMode="External"/><Relationship Id="rId154" Type="http://schemas.openxmlformats.org/officeDocument/2006/relationships/hyperlink" Target="https://drive.google.com/file/d/1Hu184nifRNjYiztFHupOLuC82Tms4P9p/view?usp=drivesdk" TargetMode="External"/><Relationship Id="rId275" Type="http://schemas.openxmlformats.org/officeDocument/2006/relationships/hyperlink" Target="https://drive.google.com/file/d/1OeOJ6roSRF6a6NFu9gc1P6ZgbfwmUcSP/view?usp=drivesdk" TargetMode="External"/><Relationship Id="rId396" Type="http://schemas.openxmlformats.org/officeDocument/2006/relationships/hyperlink" Target="https://drive.google.com/file/d/1_E62oqHVTsEbxAVuAx95Kp28x6mKMeTB/view?usp=drivesdk" TargetMode="External"/><Relationship Id="rId153" Type="http://schemas.openxmlformats.org/officeDocument/2006/relationships/hyperlink" Target="https://drive.google.com/file/d/1ZcEjnC0HimruEZdSo46So1apiDVQimgJ/view?usp=drivesdk" TargetMode="External"/><Relationship Id="rId274" Type="http://schemas.openxmlformats.org/officeDocument/2006/relationships/hyperlink" Target="https://drive.google.com/file/d/1bkB4pPLNnRpHGBNsVi2SElVit35Jeq6e/view?usp=drive_link" TargetMode="External"/><Relationship Id="rId395" Type="http://schemas.openxmlformats.org/officeDocument/2006/relationships/hyperlink" Target="https://drive.google.com/file/d/1xAmrd9PPsFOY6bDPemGzGffScRdaXAWz/view?usp=drivesdk" TargetMode="External"/><Relationship Id="rId152" Type="http://schemas.openxmlformats.org/officeDocument/2006/relationships/hyperlink" Target="https://drive.google.com/file/d/1xvZfRpoyEt4mq55iM3EDY3fVWyko54nq/view?usp=drivesdk" TargetMode="External"/><Relationship Id="rId273" Type="http://schemas.openxmlformats.org/officeDocument/2006/relationships/hyperlink" Target="https://drive.google.com/open?id=130wpfK2XgDPoU8AhxR2bYg4kNlp-Q-8W" TargetMode="External"/><Relationship Id="rId394" Type="http://schemas.openxmlformats.org/officeDocument/2006/relationships/hyperlink" Target="https://drive.google.com/file/d/1_r2FhQ38Benp4Rdee9U1Sbc96g0z7xP6/view?usp=drivesdk" TargetMode="External"/><Relationship Id="rId151" Type="http://schemas.openxmlformats.org/officeDocument/2006/relationships/hyperlink" Target="https://drive.google.com/file/d/1LhcnbZEgJ4htlGvmV4poAMXoCki2NAG3/view?usp=drivesdk" TargetMode="External"/><Relationship Id="rId272" Type="http://schemas.openxmlformats.org/officeDocument/2006/relationships/hyperlink" Target="https://drive.google.com/open?id=1er4qM2ON_EQ9e3NElXR9CtXh5cSjD4dh" TargetMode="External"/><Relationship Id="rId393" Type="http://schemas.openxmlformats.org/officeDocument/2006/relationships/hyperlink" Target="https://drive.google.com/file/d/1qDWJLUh-sKWf7EINTKVZM6PpVZuah2XP/view?usp=drivesdk" TargetMode="External"/><Relationship Id="rId158" Type="http://schemas.openxmlformats.org/officeDocument/2006/relationships/hyperlink" Target="https://drive.google.com/file/d/1N9oqclSLBKF4RXtCzpDE5oDG6_IaIxOP/view?usp=drivesdk" TargetMode="External"/><Relationship Id="rId279" Type="http://schemas.openxmlformats.org/officeDocument/2006/relationships/hyperlink" Target="https://drive.google.com/file/d/1mmb-CQhoqTOUN08PjOcx-3nKt4TRcu1G/view?usp=drivesdk" TargetMode="External"/><Relationship Id="rId157" Type="http://schemas.openxmlformats.org/officeDocument/2006/relationships/hyperlink" Target="https://drive.google.com/file/d/1L3RVbRGk6xFjWeq0ljSb7z0wKKr19fNF/view?usp=drivesdk" TargetMode="External"/><Relationship Id="rId278" Type="http://schemas.openxmlformats.org/officeDocument/2006/relationships/hyperlink" Target="https://drive.google.com/file/d/1adnFPLPzxxytUnAPjnuFoYJWezdRcoJi/view?usp=drivesdk" TargetMode="External"/><Relationship Id="rId399" Type="http://schemas.openxmlformats.org/officeDocument/2006/relationships/hyperlink" Target="https://drive.google.com/open?id=1khXQ0ekZv9b59BXmQ0UxXY66uv08ad8L" TargetMode="External"/><Relationship Id="rId156" Type="http://schemas.openxmlformats.org/officeDocument/2006/relationships/hyperlink" Target="https://drive.google.com/file/d/17IpRlSkjzTG5wD3tnb4K2EvOhzqwUao7/view?usp=drivesdk" TargetMode="External"/><Relationship Id="rId277" Type="http://schemas.openxmlformats.org/officeDocument/2006/relationships/hyperlink" Target="https://drive.google.com/file/d/1FifIgeEb8JVzb25Z1Pg9MGHq7As1fxxT/view?usp=drivesdk" TargetMode="External"/><Relationship Id="rId398" Type="http://schemas.openxmlformats.org/officeDocument/2006/relationships/hyperlink" Target="https://drive.google.com/open?id=1khXQ0ekZv9b59BXmQ0UxXY66uv08ad8L" TargetMode="External"/><Relationship Id="rId155" Type="http://schemas.openxmlformats.org/officeDocument/2006/relationships/hyperlink" Target="https://drive.google.com/file/d/1XvVjxZTYkV7pBjv5cJdIX4SCwES10b0a/view?usp=drivesdk" TargetMode="External"/><Relationship Id="rId276" Type="http://schemas.openxmlformats.org/officeDocument/2006/relationships/hyperlink" Target="https://drive.google.com/file/d/1hpcWGzFju2OwotT5gkvhRrnp1jZ3oxKk/view?usp=drivesdk" TargetMode="External"/><Relationship Id="rId397" Type="http://schemas.openxmlformats.org/officeDocument/2006/relationships/hyperlink" Target="https://drive.google.com/file/d/1gXKgtTDgASSVWLj1JYq9OLW2H-dEQcto/view?usp=drivesdk" TargetMode="External"/><Relationship Id="rId40" Type="http://schemas.openxmlformats.org/officeDocument/2006/relationships/hyperlink" Target="https://drive.google.com/file/d/192A5uwryN1ntvbDulmFcvEG3wbTGdw4x/view?usp=drivesdk" TargetMode="External"/><Relationship Id="rId42" Type="http://schemas.openxmlformats.org/officeDocument/2006/relationships/hyperlink" Target="https://drive.google.com/open?id=1itrUcqDsGfRv9RC1ztUJEltoIvP0DJ3w" TargetMode="External"/><Relationship Id="rId41" Type="http://schemas.openxmlformats.org/officeDocument/2006/relationships/hyperlink" Target="https://drive.google.com/file/d/1qjv4YntVYbrEI1EALIyYzr7LMQsLgPNP/view?usp=drivesdk" TargetMode="External"/><Relationship Id="rId44" Type="http://schemas.openxmlformats.org/officeDocument/2006/relationships/hyperlink" Target="https://drive.google.com/open?id=1vQ2Rf7Zsp6asbUhVmQTUBQKgwGkdDx0W" TargetMode="External"/><Relationship Id="rId43" Type="http://schemas.openxmlformats.org/officeDocument/2006/relationships/hyperlink" Target="https://drive.google.com/file/d/1nfw2B5zWjJm-Arrf6Yj2lC3jU2jsPD__/view?usp=drivesdk" TargetMode="External"/><Relationship Id="rId46" Type="http://schemas.openxmlformats.org/officeDocument/2006/relationships/hyperlink" Target="https://drive.google.com/open?id=1ndrykIieNLQM07DUiV6oPw4FTmrHNWD8" TargetMode="External"/><Relationship Id="rId45" Type="http://schemas.openxmlformats.org/officeDocument/2006/relationships/hyperlink" Target="https://drive.google.com/open?id=1wY6Ert6klnAow4IsgZMZCuq5SCrDU72d" TargetMode="External"/><Relationship Id="rId509" Type="http://schemas.openxmlformats.org/officeDocument/2006/relationships/hyperlink" Target="https://drive.google.com/open?id=1x28yIxCiAc-Ef9ZfriCkrCf3tS2q1h9k" TargetMode="External"/><Relationship Id="rId508" Type="http://schemas.openxmlformats.org/officeDocument/2006/relationships/hyperlink" Target="https://drive.google.com/file/d/1RBrD06hu1b2uQhi7z26l7o1jC6YJBj1_/view?usp=drive_link" TargetMode="External"/><Relationship Id="rId629" Type="http://schemas.openxmlformats.org/officeDocument/2006/relationships/hyperlink" Target="https://drive.google.com/file/d/1I8t2D5FnB523f8LmJGR8Ea8gl8ffcNdI/view?usp=drivesdk" TargetMode="External"/><Relationship Id="rId503" Type="http://schemas.openxmlformats.org/officeDocument/2006/relationships/hyperlink" Target="https://drive.google.com/file/d/1uxCDQcVDA57HaZQ0fbAvjA_z9HCPlv8n/view?usp=drivesdk" TargetMode="External"/><Relationship Id="rId624" Type="http://schemas.openxmlformats.org/officeDocument/2006/relationships/hyperlink" Target="https://drive.google.com/file/d/1y9jZryA2Ieke6jnTcRCWh6WzwZ2TntZA/view?usp=drivesdk" TargetMode="External"/><Relationship Id="rId502" Type="http://schemas.openxmlformats.org/officeDocument/2006/relationships/hyperlink" Target="https://drive.google.com/file/d/1oMZSYHW_UB06aP5XAe6_jNN66n_G92Ng/view?usp=drivesdk" TargetMode="External"/><Relationship Id="rId623" Type="http://schemas.openxmlformats.org/officeDocument/2006/relationships/hyperlink" Target="https://drive.google.com/file/d/1o392RYhl6qovbCbRx_li-cs5PyR1vkUP/view?usp=drivesdk" TargetMode="External"/><Relationship Id="rId501" Type="http://schemas.openxmlformats.org/officeDocument/2006/relationships/hyperlink" Target="https://drive.google.com/file/d/14FWFteCLhs1GSi-qwf12sCOZ8HZMNgMc/view?usp=drivesdk" TargetMode="External"/><Relationship Id="rId622" Type="http://schemas.openxmlformats.org/officeDocument/2006/relationships/hyperlink" Target="https://drive.google.com/file/d/11Asrui31mfgRseb2bn3cFd2KwDAklKOc/view?usp=drivesdk" TargetMode="External"/><Relationship Id="rId500" Type="http://schemas.openxmlformats.org/officeDocument/2006/relationships/hyperlink" Target="https://drive.google.com/file/d/1CDs_qjgrXNk9HpV3gCKGhDTXtvaubqd5/view?usp=drivesdk" TargetMode="External"/><Relationship Id="rId621" Type="http://schemas.openxmlformats.org/officeDocument/2006/relationships/hyperlink" Target="https://drive.google.com/file/d/1z-zPyhoPjjkn573rRzcymz3xtXjITHow/view?usp=drivesdk" TargetMode="External"/><Relationship Id="rId507" Type="http://schemas.openxmlformats.org/officeDocument/2006/relationships/hyperlink" Target="https://drive.google.com/open?id=1z9a9r9TqFck0Zf54tGv9kQzGnPY7amvj" TargetMode="External"/><Relationship Id="rId628" Type="http://schemas.openxmlformats.org/officeDocument/2006/relationships/hyperlink" Target="https://drive.google.com/file/d/1iiS4BM1vUkInnJDSQvbFCYtMEwYMSnAu/view?usp=drivesdk" TargetMode="External"/><Relationship Id="rId506" Type="http://schemas.openxmlformats.org/officeDocument/2006/relationships/hyperlink" Target="https://drive.google.com/file/d/1DamWny8IICj6-TgWkgUKWLJ1uI_Vt8fj/view?usp=drivesdk" TargetMode="External"/><Relationship Id="rId627" Type="http://schemas.openxmlformats.org/officeDocument/2006/relationships/hyperlink" Target="https://drive.google.com/file/d/177rvobv6AMm0EGFroWz-IzeBtK3kpe-V/view?usp=drivesdk" TargetMode="External"/><Relationship Id="rId505" Type="http://schemas.openxmlformats.org/officeDocument/2006/relationships/hyperlink" Target="https://drive.google.com/open?id=16la71SNcqymFiOkzg4GUTigCAvEQD4qo" TargetMode="External"/><Relationship Id="rId626" Type="http://schemas.openxmlformats.org/officeDocument/2006/relationships/hyperlink" Target="https://drive.google.com/file/d/1zZlwZ9aemmnu14euL86tA9La4nV4NWZn/view?usp=drivesdk" TargetMode="External"/><Relationship Id="rId504" Type="http://schemas.openxmlformats.org/officeDocument/2006/relationships/hyperlink" Target="https://drive.google.com/file/d/1tAZUX5wRijv77jQ-I5mfvbTk3lFG7eBr/view?usp=drivesdk" TargetMode="External"/><Relationship Id="rId625" Type="http://schemas.openxmlformats.org/officeDocument/2006/relationships/hyperlink" Target="https://drive.google.com/file/d/1VmXMWtejyLHZ-u43dqZGBgDmB4ZzTs52/view?usp=drivesdk" TargetMode="External"/><Relationship Id="rId48" Type="http://schemas.openxmlformats.org/officeDocument/2006/relationships/hyperlink" Target="https://drive.google.com/file/d/1u99i6DTuXxkdptr8eXs0ylb7dJwvuOaL/view?usp=drivesdk" TargetMode="External"/><Relationship Id="rId47" Type="http://schemas.openxmlformats.org/officeDocument/2006/relationships/hyperlink" Target="https://drive.google.com/file/d/1gD_aT8BiKYY3r-VWKf3z1M68Feq6in7f/view?usp=drivesdk" TargetMode="External"/><Relationship Id="rId49" Type="http://schemas.openxmlformats.org/officeDocument/2006/relationships/hyperlink" Target="https://drive.google.com/file/d/1q8ifFrPhtxZ1dvxtWxD74YLVEV6iUu4-/view?usp=drivesdk" TargetMode="External"/><Relationship Id="rId620" Type="http://schemas.openxmlformats.org/officeDocument/2006/relationships/hyperlink" Target="https://drive.google.com/file/d/18ikEIYt8jcY5U_l2ZruF3pgPB1RJ_oHm/view?usp=drivesdk" TargetMode="External"/><Relationship Id="rId31" Type="http://schemas.openxmlformats.org/officeDocument/2006/relationships/hyperlink" Target="https://drive.google.com/file/d/1upO-ob_9Av1fxWFuQeTEevCacs9feILQ/view?usp=drivesdk" TargetMode="External"/><Relationship Id="rId30" Type="http://schemas.openxmlformats.org/officeDocument/2006/relationships/hyperlink" Target="https://drive.google.com/file/d/1Oz1NljkWBFDxyLqozZPuBKWWw4AmE0aE/view?usp=drivesdk" TargetMode="External"/><Relationship Id="rId33" Type="http://schemas.openxmlformats.org/officeDocument/2006/relationships/hyperlink" Target="https://drive.google.com/file/d/1Y2qncU1BPUNLsm2EQX6hOEs5db-yYElU/view?usp=drivesdk" TargetMode="External"/><Relationship Id="rId32" Type="http://schemas.openxmlformats.org/officeDocument/2006/relationships/hyperlink" Target="https://drive.google.com/file/d/1RWsU6apKZNIdD5xpxkCvGaJQTTjAlxPX/view?usp=drivesdk" TargetMode="External"/><Relationship Id="rId35" Type="http://schemas.openxmlformats.org/officeDocument/2006/relationships/hyperlink" Target="https://drive.google.com/open?id=1aFl4dAQMNwxSltJsxtKdSJfwEPegWxRB" TargetMode="External"/><Relationship Id="rId34" Type="http://schemas.openxmlformats.org/officeDocument/2006/relationships/hyperlink" Target="https://drive.google.com/file/d/1dRQA2NHiYNrNdrLr0L6NJNgtpFisDy-A/view?usp=drivesdk" TargetMode="External"/><Relationship Id="rId619" Type="http://schemas.openxmlformats.org/officeDocument/2006/relationships/hyperlink" Target="https://drive.google.com/file/d/16qKZlSBqwVImSDheRZjIFBDpod_E8VkW/view?usp=drivesdk" TargetMode="External"/><Relationship Id="rId618" Type="http://schemas.openxmlformats.org/officeDocument/2006/relationships/hyperlink" Target="https://drive.google.com/open?id=1ORWsbbvNBIkaaLBZj76-3uQzV_uCPUCl" TargetMode="External"/><Relationship Id="rId613" Type="http://schemas.openxmlformats.org/officeDocument/2006/relationships/hyperlink" Target="https://drive.google.com/file/d/1X6YlaJJaGBkbeOMx6cnmK2aF9AAE4nuT/view?usp=drivesdk" TargetMode="External"/><Relationship Id="rId612" Type="http://schemas.openxmlformats.org/officeDocument/2006/relationships/hyperlink" Target="https://drive.google.com/file/d/1vtEuuXbt5c9FGIZcqrAi3DgJBAPnxI_w/view?usp=drivesdk" TargetMode="External"/><Relationship Id="rId611" Type="http://schemas.openxmlformats.org/officeDocument/2006/relationships/hyperlink" Target="https://drive.google.com/file/d/1j_SPJUn3JjMxxgiE8vFX9KKWDwFa1scJ/view?usp=drivesdk" TargetMode="External"/><Relationship Id="rId610" Type="http://schemas.openxmlformats.org/officeDocument/2006/relationships/hyperlink" Target="https://drive.google.com/file/d/19JIeX0OrZrXZLQ2Q6K1E-zgP88rioRIa/view?usp=drivesdk" TargetMode="External"/><Relationship Id="rId617" Type="http://schemas.openxmlformats.org/officeDocument/2006/relationships/hyperlink" Target="https://drive.google.com/file/d/1cmSOiYR6x86kzuebhe1-Q46D1tPwc_NE/view?usp=drivesdk" TargetMode="External"/><Relationship Id="rId616" Type="http://schemas.openxmlformats.org/officeDocument/2006/relationships/hyperlink" Target="https://drive.google.com/file/d/10XzpYpn2T2xSlLwNOCJbFeijOLKA3hQp/view?usp=drivesdk" TargetMode="External"/><Relationship Id="rId615" Type="http://schemas.openxmlformats.org/officeDocument/2006/relationships/hyperlink" Target="https://drive.google.com/file/d/1-mNFsxXG5iY-ooI_B8XliF93nOYdrvu4/view?usp=drivesdk" TargetMode="External"/><Relationship Id="rId614" Type="http://schemas.openxmlformats.org/officeDocument/2006/relationships/hyperlink" Target="https://drive.google.com/file/d/1XscHeJ9sVwcjnbX4g-wkzWYHNgyRmp4m/view?usp=drivesdk" TargetMode="External"/><Relationship Id="rId37" Type="http://schemas.openxmlformats.org/officeDocument/2006/relationships/hyperlink" Target="https://drive.google.com/file/d/1n75-nHeB4gAQLjYhycy_6_iq5T6m5AnM/view?usp=drivesdk" TargetMode="External"/><Relationship Id="rId36" Type="http://schemas.openxmlformats.org/officeDocument/2006/relationships/hyperlink" Target="https://drive.google.com/open?id=1aFl4dAQMNwxSltJsxtKdSJfwEPegWxRB" TargetMode="External"/><Relationship Id="rId39" Type="http://schemas.openxmlformats.org/officeDocument/2006/relationships/hyperlink" Target="https://drive.google.com/file/d/1j2YAr9oKApHBmqUDAzoIW_5wAKzwiw_f/view?usp=drivesdk" TargetMode="External"/><Relationship Id="rId38" Type="http://schemas.openxmlformats.org/officeDocument/2006/relationships/hyperlink" Target="https://drive.google.com/file/d/1aFPpOHBxbcLpR_XCQqEFMouw20PmAFti/view?usp=drivesdk" TargetMode="External"/><Relationship Id="rId20" Type="http://schemas.openxmlformats.org/officeDocument/2006/relationships/hyperlink" Target="https://drive.google.com/file/d/12HpyT7ur5-Sh7IwGn-T55WyNLXmEMijx/view?usp=drivesdk" TargetMode="External"/><Relationship Id="rId22" Type="http://schemas.openxmlformats.org/officeDocument/2006/relationships/hyperlink" Target="https://drive.google.com/open?id=1NyP67uerEQzvBD4gtd1DzsnhQVSnu3ru" TargetMode="External"/><Relationship Id="rId21" Type="http://schemas.openxmlformats.org/officeDocument/2006/relationships/hyperlink" Target="https://drive.google.com/file/d/1BN0drqJbESmtqvQxMncTGmfoq1wql74E/view?usp=drivesdk" TargetMode="External"/><Relationship Id="rId24" Type="http://schemas.openxmlformats.org/officeDocument/2006/relationships/hyperlink" Target="https://drive.google.com/open?id=1XDUzkt5wgFIOZmdOVH23ArVPop4gGjAk" TargetMode="External"/><Relationship Id="rId23" Type="http://schemas.openxmlformats.org/officeDocument/2006/relationships/hyperlink" Target="https://drive.google.com/open?id=18xpS3uTDaxcQRk3DuWEmwg7xgS4Kyoit" TargetMode="External"/><Relationship Id="rId409" Type="http://schemas.openxmlformats.org/officeDocument/2006/relationships/hyperlink" Target="https://drive.google.com/file/d/1LBOKk8U7YWforegZELeMfDK0lJ55dy2B/view?usp=drivesdk" TargetMode="External"/><Relationship Id="rId404" Type="http://schemas.openxmlformats.org/officeDocument/2006/relationships/hyperlink" Target="https://drive.google.com/file/d/1UEuJnKlWv9AASUdpo8aodK9z0r_yTzlk/view?usp=drivesdk" TargetMode="External"/><Relationship Id="rId525" Type="http://schemas.openxmlformats.org/officeDocument/2006/relationships/hyperlink" Target="https://drive.google.com/open?id=1RZ26gdAEMkprh7NxOn4CI6UB3yaoqdkU" TargetMode="External"/><Relationship Id="rId403" Type="http://schemas.openxmlformats.org/officeDocument/2006/relationships/hyperlink" Target="https://drive.google.com/file/d/1WhlTe_cJ9RRXL7E4W0lx_2wpS2otyEuN/view?usp=drivesdk" TargetMode="External"/><Relationship Id="rId524" Type="http://schemas.openxmlformats.org/officeDocument/2006/relationships/hyperlink" Target="https://drive.google.com/file/d/1o7seICDWrxWXbMN6H0SutWGnmJJ51fpy/view?usp=drivesdk" TargetMode="External"/><Relationship Id="rId402" Type="http://schemas.openxmlformats.org/officeDocument/2006/relationships/hyperlink" Target="https://drive.google.com/open?id=1nuumKnrrPygDfWYIqj907_3TRECXFdTe" TargetMode="External"/><Relationship Id="rId523" Type="http://schemas.openxmlformats.org/officeDocument/2006/relationships/hyperlink" Target="https://drive.google.com/file/d/161Ess7WUU3qJk9j78E3QNxwRPDug-nxe/view?usp=drivesdk" TargetMode="External"/><Relationship Id="rId401" Type="http://schemas.openxmlformats.org/officeDocument/2006/relationships/hyperlink" Target="https://drive.google.com/open?id=1Jry_7n88IpA1jMTGoUnAavqvxDri_Hdp" TargetMode="External"/><Relationship Id="rId522" Type="http://schemas.openxmlformats.org/officeDocument/2006/relationships/hyperlink" Target="https://drive.google.com/file/d/1NjwECiraYQtz3WKFqnwKvwnzDesnpz2c/view?usp=drivesdk" TargetMode="External"/><Relationship Id="rId408" Type="http://schemas.openxmlformats.org/officeDocument/2006/relationships/hyperlink" Target="https://drive.google.com/file/d/1Q36HJnwWQqFKRyS44hG6dZpEvhbcaGFT/view?usp=drivesdk" TargetMode="External"/><Relationship Id="rId529" Type="http://schemas.openxmlformats.org/officeDocument/2006/relationships/hyperlink" Target="https://drive.google.com/file/d/1dY7zRN0-4XcueYPZiwd7z30rHszE4CAE/view?usp=drivesdk" TargetMode="External"/><Relationship Id="rId407" Type="http://schemas.openxmlformats.org/officeDocument/2006/relationships/hyperlink" Target="https://drive.google.com/file/d/17DEol7q3qqgY-FW2O8QwhEfel2Nlup67/view?usp=drivesdk" TargetMode="External"/><Relationship Id="rId528" Type="http://schemas.openxmlformats.org/officeDocument/2006/relationships/hyperlink" Target="https://drive.google.com/file/d/1w3DMdPiDytSqXco1oRY4K6XEJD7FuCBt/view?usp=drivesdk" TargetMode="External"/><Relationship Id="rId406" Type="http://schemas.openxmlformats.org/officeDocument/2006/relationships/hyperlink" Target="https://drive.google.com/file/d/1rOavZKhMTGPZEzo19y0srdnPGg-6LOaw/view?usp=drivesdk" TargetMode="External"/><Relationship Id="rId527" Type="http://schemas.openxmlformats.org/officeDocument/2006/relationships/hyperlink" Target="https://drive.google.com/file/d/11flr6Ne2wCDYF6tNwmRO6TNIePA0yLVN/view?usp=drivesdk" TargetMode="External"/><Relationship Id="rId405" Type="http://schemas.openxmlformats.org/officeDocument/2006/relationships/hyperlink" Target="https://drive.google.com/open?id=1yH8PJl4M3YGv6Rsb44-mv1hMYf1u9nif" TargetMode="External"/><Relationship Id="rId526" Type="http://schemas.openxmlformats.org/officeDocument/2006/relationships/hyperlink" Target="https://drive.google.com/file/d/1BCa1aSY_ZRIUfXE6llSS5CoqjGngxqj2/view?usp=drivesdk" TargetMode="External"/><Relationship Id="rId26" Type="http://schemas.openxmlformats.org/officeDocument/2006/relationships/hyperlink" Target="https://drive.google.com/file/d/18Jhr_gLC--yNoSWE2rOBiIXlgu-uxEmy/view?usp=drivesdk" TargetMode="External"/><Relationship Id="rId25" Type="http://schemas.openxmlformats.org/officeDocument/2006/relationships/hyperlink" Target="https://drive.google.com/file/d/1glAYbKc_gszx_fHEyWN6TjkGvwYIQfto/view?usp=drivesdk" TargetMode="External"/><Relationship Id="rId28" Type="http://schemas.openxmlformats.org/officeDocument/2006/relationships/hyperlink" Target="https://drive.google.com/file/d/1vVohGyHLHOQz5uK28JqCiPpl6bse6geE/view?usp=drivesdk" TargetMode="External"/><Relationship Id="rId27" Type="http://schemas.openxmlformats.org/officeDocument/2006/relationships/hyperlink" Target="https://drive.google.com/file/d/1GgLdPQYEIhKZN7OVA-96_VX5v5qI_YA7/view?usp=drivesdk" TargetMode="External"/><Relationship Id="rId400" Type="http://schemas.openxmlformats.org/officeDocument/2006/relationships/hyperlink" Target="https://drive.google.com/open?id=1L6i_O8NUhRlaqRs5LKDeuTvDVXQPWtoo" TargetMode="External"/><Relationship Id="rId521" Type="http://schemas.openxmlformats.org/officeDocument/2006/relationships/hyperlink" Target="https://drive.google.com/file/d/1zGpgbB97y74_AorypzZ2MRAtQsWMFafR/view?usp=drivesdk" TargetMode="External"/><Relationship Id="rId642" Type="http://schemas.openxmlformats.org/officeDocument/2006/relationships/drawing" Target="../drawings/drawing4.xml"/><Relationship Id="rId29" Type="http://schemas.openxmlformats.org/officeDocument/2006/relationships/hyperlink" Target="https://drive.google.com/file/d/10tpiGl55zpUSm0cXcMzRBuPZRRQNUYUV/view?usp=drivesdk" TargetMode="External"/><Relationship Id="rId520" Type="http://schemas.openxmlformats.org/officeDocument/2006/relationships/hyperlink" Target="https://drive.google.com/file/d/1uYaj1uZZRxU4JBGRIU3UVlnwrGZi2V1N/view?usp=drivesdk" TargetMode="External"/><Relationship Id="rId641" Type="http://schemas.openxmlformats.org/officeDocument/2006/relationships/hyperlink" Target="https://drive.google.com/file/d/1qTeIJBbkBzAW3-TsTTnMq5O8xa2dyrkh/view?usp=drivesdk" TargetMode="External"/><Relationship Id="rId640" Type="http://schemas.openxmlformats.org/officeDocument/2006/relationships/hyperlink" Target="https://drive.google.com/file/d/1MCRl1nshm8AJE7IILRGWx_k-bQxvFAhO/view?usp=drivesdk" TargetMode="External"/><Relationship Id="rId11" Type="http://schemas.openxmlformats.org/officeDocument/2006/relationships/hyperlink" Target="https://drive.google.com/open?id=1n4XKz_QxDKtbc2lcuKz6cQi_gfYKZ1gu" TargetMode="External"/><Relationship Id="rId10" Type="http://schemas.openxmlformats.org/officeDocument/2006/relationships/hyperlink" Target="https://drive.google.com/file/d/1qC_KmsAw7xEoN9VPUV11V7Ha8v8u_trg/view?usp=drivesdk" TargetMode="External"/><Relationship Id="rId13" Type="http://schemas.openxmlformats.org/officeDocument/2006/relationships/hyperlink" Target="https://drive.google.com/file/d/1vSsRxNFPc0eLFIXrHYodST_0qQiggZRA/view?usp=drivesdk" TargetMode="External"/><Relationship Id="rId12" Type="http://schemas.openxmlformats.org/officeDocument/2006/relationships/hyperlink" Target="https://drive.google.com/file/d/1qE5ineHKs7jV4LyQLzm9MuyMNrHXahDZ/view?usp=drivesdk" TargetMode="External"/><Relationship Id="rId519" Type="http://schemas.openxmlformats.org/officeDocument/2006/relationships/hyperlink" Target="https://drive.google.com/open?id=17PIaM4QiUm_2LR2Jbb1rZq6n2R5w-7lM" TargetMode="External"/><Relationship Id="rId514" Type="http://schemas.openxmlformats.org/officeDocument/2006/relationships/hyperlink" Target="https://drive.google.com/file/d/1Jb21EPJFC_YmpkEYuLMwN_Vy0daq9dJJ/view?usp=drivesdk" TargetMode="External"/><Relationship Id="rId635" Type="http://schemas.openxmlformats.org/officeDocument/2006/relationships/hyperlink" Target="https://drive.google.com/file/d/1TZM4jn-SPQFxVTP80lAxIAr6m0T3j0n_/view?usp=drivesdk" TargetMode="External"/><Relationship Id="rId513" Type="http://schemas.openxmlformats.org/officeDocument/2006/relationships/hyperlink" Target="https://drive.google.com/file/d/18oDcCot23APO6VRbsG9zVWzqIp5OiUlm/view?usp=drivesdk" TargetMode="External"/><Relationship Id="rId634" Type="http://schemas.openxmlformats.org/officeDocument/2006/relationships/hyperlink" Target="https://drive.google.com/file/d/1IifeeM-U7Cb3w6pE4NizuL9aQtunsNAM/view?usp=drivesdk" TargetMode="External"/><Relationship Id="rId512" Type="http://schemas.openxmlformats.org/officeDocument/2006/relationships/hyperlink" Target="https://drive.google.com/file/d/14MTQbjH90fcl7247uNx-A-ahvstsapZL/view?usp=drivesdk" TargetMode="External"/><Relationship Id="rId633" Type="http://schemas.openxmlformats.org/officeDocument/2006/relationships/hyperlink" Target="https://drive.google.com/file/d/1BanaQK8I44ftCn1_X4WnuXLFUa5psMyC/view?usp=drivesdk" TargetMode="External"/><Relationship Id="rId511" Type="http://schemas.openxmlformats.org/officeDocument/2006/relationships/hyperlink" Target="https://drive.google.com/file/d/12U6wEqcsxj8ZVeSz3Y6PX9cpHgVt5AYU/view?usp=drivesdk" TargetMode="External"/><Relationship Id="rId632" Type="http://schemas.openxmlformats.org/officeDocument/2006/relationships/hyperlink" Target="https://drive.google.com/file/d/1H1WGJMSBjjX4UBrknXt_D774KCXu84zx/view?usp=drivesdk" TargetMode="External"/><Relationship Id="rId518" Type="http://schemas.openxmlformats.org/officeDocument/2006/relationships/hyperlink" Target="https://drive.google.com/open?id=1CgGbRA9y3mfaUJUYxHllLbq46SCrEroL" TargetMode="External"/><Relationship Id="rId639" Type="http://schemas.openxmlformats.org/officeDocument/2006/relationships/hyperlink" Target="https://drive.google.com/file/d/1L0Q2PZxkUBNFj75lBBDUiN07DR3caSIi/view?usp=drivesdk" TargetMode="External"/><Relationship Id="rId517" Type="http://schemas.openxmlformats.org/officeDocument/2006/relationships/hyperlink" Target="https://drive.google.com/open?id=1qPHzc79_6lDZsPvVrolN7sbTsIkyxQVg" TargetMode="External"/><Relationship Id="rId638" Type="http://schemas.openxmlformats.org/officeDocument/2006/relationships/hyperlink" Target="https://drive.google.com/file/d/1JLOHoxJprkoQsov8IVxF19vOB8cmRqut/view?usp=drivesdk" TargetMode="External"/><Relationship Id="rId516" Type="http://schemas.openxmlformats.org/officeDocument/2006/relationships/hyperlink" Target="https://drive.google.com/file/d/1YnKQXXddZKM9EgE0wjRdEM1NoXjWJ0Il/view?usp=drivesdk" TargetMode="External"/><Relationship Id="rId637" Type="http://schemas.openxmlformats.org/officeDocument/2006/relationships/hyperlink" Target="https://drive.google.com/file/d/15ZAYOAffT6AFdFMbfxwt2S9dZjoRp3fS/view?usp=drivesdk" TargetMode="External"/><Relationship Id="rId515" Type="http://schemas.openxmlformats.org/officeDocument/2006/relationships/hyperlink" Target="https://drive.google.com/open?id=1-z-qrOz2TSsXG3rjeuLJvn4UvPPGia8q" TargetMode="External"/><Relationship Id="rId636" Type="http://schemas.openxmlformats.org/officeDocument/2006/relationships/hyperlink" Target="https://drive.google.com/file/d/1CRu2N0LHW6ufBJr_6qxXJSf1oKC4PvA2/view?usp=drivesdk" TargetMode="External"/><Relationship Id="rId15" Type="http://schemas.openxmlformats.org/officeDocument/2006/relationships/hyperlink" Target="https://drive.google.com/file/d/1dEmB4IUx-cUpaiKJlC9yGRpwyqyy2dL1/view?usp=drivesdk" TargetMode="External"/><Relationship Id="rId14" Type="http://schemas.openxmlformats.org/officeDocument/2006/relationships/hyperlink" Target="https://drive.google.com/file/d/1i0iKr9D8u5RnuVq9zDcuRFdqRRzu3a4b/view?usp=drivesdk" TargetMode="External"/><Relationship Id="rId17" Type="http://schemas.openxmlformats.org/officeDocument/2006/relationships/hyperlink" Target="https://drive.google.com/file/d/1DM4peZHhHCfjPRvQTNEDLF4wnPtZkd4S/view?usp=drivesdk" TargetMode="External"/><Relationship Id="rId16" Type="http://schemas.openxmlformats.org/officeDocument/2006/relationships/hyperlink" Target="https://drive.google.com/file/d/1f8dUGXRIvssSUJ65PbHDRrTP7yOmTWT-/view?usp=drivesdk" TargetMode="External"/><Relationship Id="rId19" Type="http://schemas.openxmlformats.org/officeDocument/2006/relationships/hyperlink" Target="https://drive.google.com/file/d/1ol9JJAeR4lU0IlSOc8LEjRugMJneO6-p/view?usp=drivesdk" TargetMode="External"/><Relationship Id="rId510" Type="http://schemas.openxmlformats.org/officeDocument/2006/relationships/hyperlink" Target="https://drive.google.com/file/d/1nufBsl50EraxruNlR447-Xm1f8BFWYev/view?usp=drivesdk" TargetMode="External"/><Relationship Id="rId631" Type="http://schemas.openxmlformats.org/officeDocument/2006/relationships/hyperlink" Target="https://drive.google.com/file/d/16tdTKxpnryIzbQ1KOeu9DOAK1k0_uWHO/view?usp=drivesdk" TargetMode="External"/><Relationship Id="rId18" Type="http://schemas.openxmlformats.org/officeDocument/2006/relationships/hyperlink" Target="https://drive.google.com/file/d/1riRWGsNrqUcikcJDDypIZxBcKmLRbpZ6/view?usp=drivesdk" TargetMode="External"/><Relationship Id="rId630" Type="http://schemas.openxmlformats.org/officeDocument/2006/relationships/hyperlink" Target="https://drive.google.com/file/d/1_IY2Yve6wAgm-ngXwqK1XGCQd36qviaY/view?usp=drivesdk" TargetMode="External"/><Relationship Id="rId84" Type="http://schemas.openxmlformats.org/officeDocument/2006/relationships/hyperlink" Target="https://drive.google.com/open?id=1D5KsISBMrsWugifOd0cYI_bpSgBK9_43" TargetMode="External"/><Relationship Id="rId83" Type="http://schemas.openxmlformats.org/officeDocument/2006/relationships/hyperlink" Target="https://drive.google.com/open?id=1MvkU6ZXaK2HDzgui8DrHFY2ry0SgdDb8" TargetMode="External"/><Relationship Id="rId86" Type="http://schemas.openxmlformats.org/officeDocument/2006/relationships/hyperlink" Target="https://drive.google.com/open?id=17k9Kt0doX1tnJDsq9CxfqOVOclly1Whu" TargetMode="External"/><Relationship Id="rId85" Type="http://schemas.openxmlformats.org/officeDocument/2006/relationships/hyperlink" Target="https://drive.google.com/open?id=1yxXrdFMH686QcF4zdly-JTUMTdmeR3l8" TargetMode="External"/><Relationship Id="rId88" Type="http://schemas.openxmlformats.org/officeDocument/2006/relationships/hyperlink" Target="https://drive.google.com/file/d/1OuoaML7a0JWwE9hPfGmzB5aOzDZ8_ii1/view?usp=drivesdk" TargetMode="External"/><Relationship Id="rId87" Type="http://schemas.openxmlformats.org/officeDocument/2006/relationships/hyperlink" Target="https://drive.google.com/file/d/1W2IysUDBgYiAlKnGGIGgLXWb9eulVwoy/view?usp=drivesdk" TargetMode="External"/><Relationship Id="rId89" Type="http://schemas.openxmlformats.org/officeDocument/2006/relationships/hyperlink" Target="https://drive.google.com/file/d/1bYgrhIV1x3zEyj2ZQTN3ma40sTwY2MPA/view?usp=drivesdk" TargetMode="External"/><Relationship Id="rId80" Type="http://schemas.openxmlformats.org/officeDocument/2006/relationships/hyperlink" Target="https://drive.google.com/file/d/1XPqrSz3WydsIoU6wbBMPIVE0FtsxjCOz/view?usp=drivesdk" TargetMode="External"/><Relationship Id="rId82" Type="http://schemas.openxmlformats.org/officeDocument/2006/relationships/hyperlink" Target="https://drive.google.com/open?id=1MvkU6ZXaK2HDzgui8DrHFY2ry0SgdDb8" TargetMode="External"/><Relationship Id="rId81" Type="http://schemas.openxmlformats.org/officeDocument/2006/relationships/hyperlink" Target="https://drive.google.com/file/d/1RgxNvsGwqUZ_m5Tn6Ox8_XrmHAyP1Vpn/view?usp=drivesdk" TargetMode="External"/><Relationship Id="rId73" Type="http://schemas.openxmlformats.org/officeDocument/2006/relationships/hyperlink" Target="https://drive.google.com/file/d/1lnthKqpJtw9qZGYx9_D3wVn4B7oftpsd/view?usp=drivesdk" TargetMode="External"/><Relationship Id="rId72" Type="http://schemas.openxmlformats.org/officeDocument/2006/relationships/hyperlink" Target="https://drive.google.com/file/d/1AyMMotb-PLDTbX1v6jqYBL7kOXbE25iP/view?usp=drivesdk" TargetMode="External"/><Relationship Id="rId75" Type="http://schemas.openxmlformats.org/officeDocument/2006/relationships/hyperlink" Target="https://drive.google.com/file/d/1jlABZbsWm2_ykftU8ToK8ZfTIWVXFsge/view?usp=drivesdk" TargetMode="External"/><Relationship Id="rId74" Type="http://schemas.openxmlformats.org/officeDocument/2006/relationships/hyperlink" Target="https://drive.google.com/file/d/1VMylKtqpQYXLzk8qN4_Iuj_7KASvmsC8/view?usp=drivesdk" TargetMode="External"/><Relationship Id="rId77" Type="http://schemas.openxmlformats.org/officeDocument/2006/relationships/hyperlink" Target="https://drive.google.com/file/d/1bldOeS1vC50bLImcW9sfVzTtB85KnV8z/view?usp=drivesdk" TargetMode="External"/><Relationship Id="rId76" Type="http://schemas.openxmlformats.org/officeDocument/2006/relationships/hyperlink" Target="https://drive.google.com/file/d/13hBtntokWjjKvHDOQSnA7uKHnybKbWyi/view?usp=drivesdk" TargetMode="External"/><Relationship Id="rId79" Type="http://schemas.openxmlformats.org/officeDocument/2006/relationships/hyperlink" Target="https://drive.google.com/file/d/11rqf1uX44cnR1gt21Jm4IYJ-mr3rLCoy/view?usp=drivesdk" TargetMode="External"/><Relationship Id="rId78" Type="http://schemas.openxmlformats.org/officeDocument/2006/relationships/hyperlink" Target="https://drive.google.com/file/d/12jGGxm9htEfJzU0A7UtLM20iyfiIJW3k/view?usp=drivesdk" TargetMode="External"/><Relationship Id="rId71" Type="http://schemas.openxmlformats.org/officeDocument/2006/relationships/hyperlink" Target="https://drive.google.com/file/d/1LX0wu-I_rr6kjfaHj92dmyuSPewsZP8e/view?usp=drivesdk" TargetMode="External"/><Relationship Id="rId70" Type="http://schemas.openxmlformats.org/officeDocument/2006/relationships/hyperlink" Target="https://drive.google.com/file/d/1UQm8c4yDjfR6sG9bmYi-2IuhJOEachE1/view?usp=drivesdk" TargetMode="External"/><Relationship Id="rId62" Type="http://schemas.openxmlformats.org/officeDocument/2006/relationships/hyperlink" Target="https://drive.google.com/file/d/1kF7tAATxMKAOpnxM6CmVNxTPgDYl20Ko/view?usp=drivesdk" TargetMode="External"/><Relationship Id="rId61" Type="http://schemas.openxmlformats.org/officeDocument/2006/relationships/hyperlink" Target="https://drive.google.com/file/d/1dA6ozRyBc7ppfRR99bMeu3U0VXjU8ycV/view?usp=drivesdk" TargetMode="External"/><Relationship Id="rId64" Type="http://schemas.openxmlformats.org/officeDocument/2006/relationships/hyperlink" Target="https://drive.google.com/file/d/1y_nXXDG42zgUvjLbFUXQtOgF5SYmZkUH/view?usp=drivesdk" TargetMode="External"/><Relationship Id="rId63" Type="http://schemas.openxmlformats.org/officeDocument/2006/relationships/hyperlink" Target="https://drive.google.com/file/d/1oNBOfB6wInTqLD2TkmYjHceldbN2CsOd/view?usp=drivesdk" TargetMode="External"/><Relationship Id="rId66" Type="http://schemas.openxmlformats.org/officeDocument/2006/relationships/hyperlink" Target="https://drive.google.com/file/d/1djHz2o2QWIHe6gsjLsUoXx8F6TmUZ1KI/view?usp=drive_link" TargetMode="External"/><Relationship Id="rId65" Type="http://schemas.openxmlformats.org/officeDocument/2006/relationships/hyperlink" Target="https://drive.google.com/file/d/1-4l1hTYGHjEwGSWbE60yU530cMfDqF_B/view?usp=drivesdk" TargetMode="External"/><Relationship Id="rId68" Type="http://schemas.openxmlformats.org/officeDocument/2006/relationships/hyperlink" Target="https://drive.google.com/file/d/1ZqDPWGuv6O9tsH4xnfZdg8lHN9DdkvPz/view?usp=drivesdk" TargetMode="External"/><Relationship Id="rId67" Type="http://schemas.openxmlformats.org/officeDocument/2006/relationships/hyperlink" Target="https://drive.google.com/file/d/1djHz2o2QWIHe6gsjLsUoXx8F6TmUZ1KI/view?usp=drive_link" TargetMode="External"/><Relationship Id="rId609" Type="http://schemas.openxmlformats.org/officeDocument/2006/relationships/hyperlink" Target="https://drive.google.com/file/d/1ydRVUOV8FN50OfzyKEOWHH78b_qencfn/view?usp=drivesdk" TargetMode="External"/><Relationship Id="rId608" Type="http://schemas.openxmlformats.org/officeDocument/2006/relationships/hyperlink" Target="https://drive.google.com/file/d/18w5sNz1s7w2jZ8TyooLdhOEqzT3UL1Nm/view?usp=drivesdk" TargetMode="External"/><Relationship Id="rId607" Type="http://schemas.openxmlformats.org/officeDocument/2006/relationships/hyperlink" Target="https://drive.google.com/file/d/1QTktZ5fVb6a1rm8J5yGYLE2RMu0Hycye/view?usp=drivesdk" TargetMode="External"/><Relationship Id="rId60" Type="http://schemas.openxmlformats.org/officeDocument/2006/relationships/hyperlink" Target="https://drive.google.com/open?id=13eVNsEqEVEatCW3fd3IHay6P47Nk7u4B" TargetMode="External"/><Relationship Id="rId602" Type="http://schemas.openxmlformats.org/officeDocument/2006/relationships/hyperlink" Target="https://drive.google.com/file/d/1ku80DXxctVzvgKg22Fd3SnMLSoEcwtqE/view?usp=drivesdk" TargetMode="External"/><Relationship Id="rId601" Type="http://schemas.openxmlformats.org/officeDocument/2006/relationships/hyperlink" Target="https://drive.google.com/file/d/1s-DjUwReqsCZhhvBlbMSa5JXJPi8VURw/view?usp=drivesdk" TargetMode="External"/><Relationship Id="rId600" Type="http://schemas.openxmlformats.org/officeDocument/2006/relationships/hyperlink" Target="https://drive.google.com/file/d/1nZJtLJg5JxSUkaCy3eyKoXp58A0LFz6i/view?usp=drivesdk" TargetMode="External"/><Relationship Id="rId606" Type="http://schemas.openxmlformats.org/officeDocument/2006/relationships/hyperlink" Target="https://drive.google.com/file/d/1cu1Uw023juWle3x9zn9w3uI8uKXBV1oR/view?usp=drivesdk" TargetMode="External"/><Relationship Id="rId605" Type="http://schemas.openxmlformats.org/officeDocument/2006/relationships/hyperlink" Target="https://drive.google.com/file/d/11s1g6J-kzm0e3a9d6mHNRaXZaAvhjzth/view?usp=drivesdk" TargetMode="External"/><Relationship Id="rId604" Type="http://schemas.openxmlformats.org/officeDocument/2006/relationships/hyperlink" Target="https://drive.google.com/file/d/1EoJqUvwbr-OGuqI-gNShn2xt_TUE_4qs/view?usp=drivesdk" TargetMode="External"/><Relationship Id="rId603" Type="http://schemas.openxmlformats.org/officeDocument/2006/relationships/hyperlink" Target="https://drive.google.com/file/d/1atKojnQrHPuVbXFx3bBzw84u-F_dzjf6/view?usp=drivesdk" TargetMode="External"/><Relationship Id="rId69" Type="http://schemas.openxmlformats.org/officeDocument/2006/relationships/hyperlink" Target="https://drive.google.com/file/d/1n_MEEMzZ87SfGWgUcl4Vcx0axjPaF19u/view?usp=drivesdk" TargetMode="External"/><Relationship Id="rId51" Type="http://schemas.openxmlformats.org/officeDocument/2006/relationships/hyperlink" Target="https://drive.google.com/file/d/1fHQupbBX1SXahGag_RYgR3eygxZWch1J/view?usp=drivesdk" TargetMode="External"/><Relationship Id="rId50" Type="http://schemas.openxmlformats.org/officeDocument/2006/relationships/hyperlink" Target="https://drive.google.com/file/d/1MyplEHyumMIGPtzshtytNpprmeEpMtTv/view?usp=drivesdk" TargetMode="External"/><Relationship Id="rId53" Type="http://schemas.openxmlformats.org/officeDocument/2006/relationships/hyperlink" Target="https://drive.google.com/file/d/1TXFzmkFs-TK6KtyUvBInZDrJiX6MP6I7/view?usp=drivesdk" TargetMode="External"/><Relationship Id="rId52" Type="http://schemas.openxmlformats.org/officeDocument/2006/relationships/hyperlink" Target="https://drive.google.com/file/d/1uDr3P4UnkNyGVH6P7TlZgDLwb0ffO0_n/view?usp=drivesdk" TargetMode="External"/><Relationship Id="rId55" Type="http://schemas.openxmlformats.org/officeDocument/2006/relationships/hyperlink" Target="https://drive.google.com/file/d/1UMoJIchv4gKJxvwEswnrb6ehceZMEqpy/view?usp=drivesdk" TargetMode="External"/><Relationship Id="rId54" Type="http://schemas.openxmlformats.org/officeDocument/2006/relationships/hyperlink" Target="https://drive.google.com/file/d/1-D7ulaWN2hPOpeimmgJnTaal0L6rQe2L/view?usp=drivesdk" TargetMode="External"/><Relationship Id="rId57" Type="http://schemas.openxmlformats.org/officeDocument/2006/relationships/hyperlink" Target="https://drive.google.com/file/d/1tsdYsjUCJombb8PdfUk5GuJG0donN-DP/view?usp=drivesdk" TargetMode="External"/><Relationship Id="rId56" Type="http://schemas.openxmlformats.org/officeDocument/2006/relationships/hyperlink" Target="https://drive.google.com/file/d/1OsjGLz3bS8eULDGhG1Tda-xHF6FGJ3of/view?usp=drivesdk" TargetMode="External"/><Relationship Id="rId59" Type="http://schemas.openxmlformats.org/officeDocument/2006/relationships/hyperlink" Target="https://drive.google.com/file/d/1C191wRJfnbJXsCRj5879CHjhR_IGvqMG/view?usp=drivesdk" TargetMode="External"/><Relationship Id="rId58" Type="http://schemas.openxmlformats.org/officeDocument/2006/relationships/hyperlink" Target="https://drive.google.com/file/d/1R6bQNPauJztjaRZNzenzMqmOETYlA4lz/view?usp=drivesdk" TargetMode="External"/><Relationship Id="rId590" Type="http://schemas.openxmlformats.org/officeDocument/2006/relationships/hyperlink" Target="https://drive.google.com/file/d/1liX0z2X7sBUHBdUhY7UWqUjQ_wvrsbbs/view?usp=drivesdk" TargetMode="External"/><Relationship Id="rId107" Type="http://schemas.openxmlformats.org/officeDocument/2006/relationships/hyperlink" Target="https://drive.google.com/file/d/1EJnDF19gX9JCyWJlM0b2gtcO-Nnu8UzK/view?usp=drivesdk" TargetMode="External"/><Relationship Id="rId228" Type="http://schemas.openxmlformats.org/officeDocument/2006/relationships/hyperlink" Target="https://drive.google.com/file/d/1zEw9pE0n_V0A9_Zw2Wpx3jweVYoFtulx/view?usp=drivesdk" TargetMode="External"/><Relationship Id="rId349" Type="http://schemas.openxmlformats.org/officeDocument/2006/relationships/hyperlink" Target="https://drive.google.com/file/d/1Lvz2oMxheIkboHrNzv5EUqhAMMbgNunP/view?usp=drivesdk" TargetMode="External"/><Relationship Id="rId106" Type="http://schemas.openxmlformats.org/officeDocument/2006/relationships/hyperlink" Target="https://drive.google.com/open?id=1eyLMji7Q0hb3HOsATXV8GjPZfn51KmKa" TargetMode="External"/><Relationship Id="rId227" Type="http://schemas.openxmlformats.org/officeDocument/2006/relationships/hyperlink" Target="https://drive.google.com/file/d/1J8CtBr4EDWksWtqHpPTnwmBGcvZl_oTD/view?usp=drivesdk" TargetMode="External"/><Relationship Id="rId348" Type="http://schemas.openxmlformats.org/officeDocument/2006/relationships/hyperlink" Target="https://drive.google.com/file/d/16qaqR2Ji27hZ583j3PeclnSZdcDRWgIu/view?usp=drivesdk" TargetMode="External"/><Relationship Id="rId469" Type="http://schemas.openxmlformats.org/officeDocument/2006/relationships/hyperlink" Target="https://drive.google.com/file/d/1iPS7GbGZkWFZxW7o5bd-cYx4g1ouREbP/view?usp=drivesdk" TargetMode="External"/><Relationship Id="rId105" Type="http://schemas.openxmlformats.org/officeDocument/2006/relationships/hyperlink" Target="https://drive.google.com/open?id=1mxxpr9otFS2YaCWVpTag4F1FKshdLUg2" TargetMode="External"/><Relationship Id="rId226" Type="http://schemas.openxmlformats.org/officeDocument/2006/relationships/hyperlink" Target="https://drive.google.com/file/d/1qFeElnv9E9YCenbpQe2u0meh6sDXMkT2/view?usp=drivesdk" TargetMode="External"/><Relationship Id="rId347" Type="http://schemas.openxmlformats.org/officeDocument/2006/relationships/hyperlink" Target="https://drive.google.com/open?id=1MhHmRNZGOKD5BMsB5NLqc_t_4NI_3rR3" TargetMode="External"/><Relationship Id="rId468" Type="http://schemas.openxmlformats.org/officeDocument/2006/relationships/hyperlink" Target="https://drive.google.com/file/d/1BCqo9quYt_JhkmkEqJbYs_mpEwapMs6o/view?usp=drivesdk" TargetMode="External"/><Relationship Id="rId589" Type="http://schemas.openxmlformats.org/officeDocument/2006/relationships/hyperlink" Target="https://drive.google.com/file/d/1nMTUAGvK1Z_IiT3x29V4z5ISRfJx2fVM/view?usp=drivesdk" TargetMode="External"/><Relationship Id="rId104" Type="http://schemas.openxmlformats.org/officeDocument/2006/relationships/hyperlink" Target="https://drive.google.com/open?id=1ykyEqUKp4ew8ZY--GCiOERcpShBEU7TH" TargetMode="External"/><Relationship Id="rId225" Type="http://schemas.openxmlformats.org/officeDocument/2006/relationships/hyperlink" Target="https://drive.google.com/file/d/1BDH1x0xzi589FcZy4WOMGqsYdvkUdn8K/view?usp=drivesdk" TargetMode="External"/><Relationship Id="rId346" Type="http://schemas.openxmlformats.org/officeDocument/2006/relationships/hyperlink" Target="https://drive.google.com/open?id=1KsSvkzfTpMlbIU_FsyD2SOFndJKTLlCG" TargetMode="External"/><Relationship Id="rId467" Type="http://schemas.openxmlformats.org/officeDocument/2006/relationships/hyperlink" Target="https://drive.google.com/file/d/13NN-gdEcvCBZCxYvyoOSXEvN3cVzB-jh/view?usp=drivesdk" TargetMode="External"/><Relationship Id="rId588" Type="http://schemas.openxmlformats.org/officeDocument/2006/relationships/hyperlink" Target="https://drive.google.com/file/d/1jrSUR3J4yUB8KnBNK6RC1ftUS_s2CLYY/view?usp=drivesdk" TargetMode="External"/><Relationship Id="rId109" Type="http://schemas.openxmlformats.org/officeDocument/2006/relationships/hyperlink" Target="https://drive.google.com/file/d/1JBrWHT4qgGannCSax4taa1QqOB_eQuVp/view?usp=drivesdk" TargetMode="External"/><Relationship Id="rId108" Type="http://schemas.openxmlformats.org/officeDocument/2006/relationships/hyperlink" Target="https://drive.google.com/file/d/1oGOlqrUZxG4VE6ZTl3quJLMQE3LGekkV/view?usp=drivesdk" TargetMode="External"/><Relationship Id="rId229" Type="http://schemas.openxmlformats.org/officeDocument/2006/relationships/hyperlink" Target="https://drive.google.com/file/d/14jNGAC8YQ5QwptSnVEIuc0W39RHo-58l/view?usp=drivesdk" TargetMode="External"/><Relationship Id="rId220" Type="http://schemas.openxmlformats.org/officeDocument/2006/relationships/hyperlink" Target="https://drive.google.com/open?id=1UkPV6XqDkzplhSEEasOiR5GLI6Zs_l-C" TargetMode="External"/><Relationship Id="rId341" Type="http://schemas.openxmlformats.org/officeDocument/2006/relationships/hyperlink" Target="https://drive.google.com/file/d/193MA9a5LpXP4VFkCujzApNMTdKMt4_T1/view?usp=drivesdk" TargetMode="External"/><Relationship Id="rId462" Type="http://schemas.openxmlformats.org/officeDocument/2006/relationships/hyperlink" Target="https://drive.google.com/open?id=1tVrAyt8CQQdo8gtm1lkKR6WxQuIUsVV3" TargetMode="External"/><Relationship Id="rId583" Type="http://schemas.openxmlformats.org/officeDocument/2006/relationships/hyperlink" Target="https://drive.google.com/file/d/1iCOdO3obyOWY9yO2UtXfVq6Pzs8PyGrL/view?usp=drivesdk" TargetMode="External"/><Relationship Id="rId340" Type="http://schemas.openxmlformats.org/officeDocument/2006/relationships/hyperlink" Target="https://drive.google.com/file/d/1-uA_WwX41ogsciLkw6JIOAkqk5klf_hn/view?usp=drivesdk" TargetMode="External"/><Relationship Id="rId461" Type="http://schemas.openxmlformats.org/officeDocument/2006/relationships/hyperlink" Target="https://drive.google.com/open?id=1OnrMiHgbIY3oEAbsfBqhm_IpgH6D_-r4" TargetMode="External"/><Relationship Id="rId582" Type="http://schemas.openxmlformats.org/officeDocument/2006/relationships/hyperlink" Target="https://drive.google.com/file/d/1VCHuiweS4URUSTLuINyHJrMmfYS3f_DS/view?usp=drivesdk" TargetMode="External"/><Relationship Id="rId460" Type="http://schemas.openxmlformats.org/officeDocument/2006/relationships/hyperlink" Target="https://drive.google.com/open?id=1OnrMiHgbIY3oEAbsfBqhm_IpgH6D_-r4" TargetMode="External"/><Relationship Id="rId581" Type="http://schemas.openxmlformats.org/officeDocument/2006/relationships/hyperlink" Target="https://drive.google.com/file/d/17MduSKcoFZjcwqeM_ZziQoMyCdsznSjt/view?usp=drivesdk" TargetMode="External"/><Relationship Id="rId580" Type="http://schemas.openxmlformats.org/officeDocument/2006/relationships/hyperlink" Target="https://drive.google.com/file/d/1EWYwh_qws_ApJTa-FM0suaeJrlxv2Q0f/view?usp=drivesdk" TargetMode="External"/><Relationship Id="rId103" Type="http://schemas.openxmlformats.org/officeDocument/2006/relationships/hyperlink" Target="https://drive.google.com/open?id=1ykyEqUKp4ew8ZY--GCiOERcpShBEU7TH" TargetMode="External"/><Relationship Id="rId224" Type="http://schemas.openxmlformats.org/officeDocument/2006/relationships/hyperlink" Target="https://drive.google.com/file/d/1AAcvDR_-lE3EH8qIgFSn9136dkU2_vAn/view?usp=drivesdk" TargetMode="External"/><Relationship Id="rId345" Type="http://schemas.openxmlformats.org/officeDocument/2006/relationships/hyperlink" Target="https://drive.google.com/open?id=1MjP6rIrZhzU3NQUsgY_MQRngJOHR0Unl" TargetMode="External"/><Relationship Id="rId466" Type="http://schemas.openxmlformats.org/officeDocument/2006/relationships/hyperlink" Target="https://drive.google.com/file/d/1JRXR5ugxpJEe5tiPqpnAcudWuaiMIrGE/view?usp=drivesdk" TargetMode="External"/><Relationship Id="rId587" Type="http://schemas.openxmlformats.org/officeDocument/2006/relationships/hyperlink" Target="https://drive.google.com/file/d/10rbKdRU3PZCKhgYK8QBIMxaBrEE82wnD/view?usp=drivesdk" TargetMode="External"/><Relationship Id="rId102" Type="http://schemas.openxmlformats.org/officeDocument/2006/relationships/hyperlink" Target="https://drive.google.com/file/d/1vYieVYFfLuyFLSyNWyNAePyCVIECYsxq/view?usp=drivesdk" TargetMode="External"/><Relationship Id="rId223" Type="http://schemas.openxmlformats.org/officeDocument/2006/relationships/hyperlink" Target="https://drive.google.com/open?id=1ibaB4eXUCRZY2Pp62ApABb2lkRb-cvq-" TargetMode="External"/><Relationship Id="rId344" Type="http://schemas.openxmlformats.org/officeDocument/2006/relationships/hyperlink" Target="https://drive.google.com/open?id=1Ov_mG_CEYT1cX1Zmit3nK0vMPYfZZCNn" TargetMode="External"/><Relationship Id="rId465" Type="http://schemas.openxmlformats.org/officeDocument/2006/relationships/hyperlink" Target="https://drive.google.com/file/d/14DyCxbPM_rCRgUU79t12rVg0VZnsIsyk/view?usp=drivesdk" TargetMode="External"/><Relationship Id="rId586" Type="http://schemas.openxmlformats.org/officeDocument/2006/relationships/hyperlink" Target="https://drive.google.com/file/d/1-5jI8TpCYvrCfRIkb7Nnr11epFgSp4i9/view?usp=drivesdk" TargetMode="External"/><Relationship Id="rId101" Type="http://schemas.openxmlformats.org/officeDocument/2006/relationships/hyperlink" Target="https://drive.google.com/file/d/1PxoZpHfXCKI42TbGsNpnddm_gFv5UO7A/view?usp=drivesdk" TargetMode="External"/><Relationship Id="rId222" Type="http://schemas.openxmlformats.org/officeDocument/2006/relationships/hyperlink" Target="https://drive.google.com/open?id=1pWX4i9V4r5aq8iInO4ODgOkLvbaDBWdd" TargetMode="External"/><Relationship Id="rId343" Type="http://schemas.openxmlformats.org/officeDocument/2006/relationships/hyperlink" Target="https://drive.google.com/open?id=1Ov_mG_CEYT1cX1Zmit3nK0vMPYfZZCNn" TargetMode="External"/><Relationship Id="rId464" Type="http://schemas.openxmlformats.org/officeDocument/2006/relationships/hyperlink" Target="https://drive.google.com/file/d/1IDYA9UDk_dO0CSSwUJz1-OkFpWq8zlq4/view?usp=drivesdk" TargetMode="External"/><Relationship Id="rId585" Type="http://schemas.openxmlformats.org/officeDocument/2006/relationships/hyperlink" Target="https://drive.google.com/file/d/1vwba4p_zoidO6WtbuJrr7e26O7IEpXQN/view?usp=drivesdk" TargetMode="External"/><Relationship Id="rId100" Type="http://schemas.openxmlformats.org/officeDocument/2006/relationships/hyperlink" Target="https://drive.google.com/file/d/19wXvuVnBrVnj8D9b2jc8nVsRFZDJs-PA/view?usp=drivesdk" TargetMode="External"/><Relationship Id="rId221" Type="http://schemas.openxmlformats.org/officeDocument/2006/relationships/hyperlink" Target="https://drive.google.com/open?id=1f3gi9I3jIGEVE5wN1RotTfxATFEDtKFo" TargetMode="External"/><Relationship Id="rId342" Type="http://schemas.openxmlformats.org/officeDocument/2006/relationships/hyperlink" Target="https://drive.google.com/file/d/1HJNbj8CWZ0PHgrpuo-vzOIBj66LBG6R4/view?usp=drivesdk" TargetMode="External"/><Relationship Id="rId463" Type="http://schemas.openxmlformats.org/officeDocument/2006/relationships/hyperlink" Target="https://drive.google.com/open?id=1sAbfI-aExegwMmu0WPM2-dY9UBLLl72q" TargetMode="External"/><Relationship Id="rId584" Type="http://schemas.openxmlformats.org/officeDocument/2006/relationships/hyperlink" Target="https://drive.google.com/file/d/1X6XzoGo3ohXP6Fhs7xRq7j6hLYhTixz3/view?usp=drivesdk" TargetMode="External"/><Relationship Id="rId217" Type="http://schemas.openxmlformats.org/officeDocument/2006/relationships/hyperlink" Target="https://drive.google.com/file/d/1rx05Jo72UORpNLO7gd5NBy5OnFxSb3Nh/view?usp=drivesdk" TargetMode="External"/><Relationship Id="rId338" Type="http://schemas.openxmlformats.org/officeDocument/2006/relationships/hyperlink" Target="https://drive.google.com/open?id=1Qy13SGIYwfmmq6qoxgO3L3sLopCKGolJ" TargetMode="External"/><Relationship Id="rId459" Type="http://schemas.openxmlformats.org/officeDocument/2006/relationships/hyperlink" Target="https://drive.google.com/file/d/1DCACLNLA7h2b9WdPlFYddKrRNX9DvkkC/view?usp=drivesdk" TargetMode="External"/><Relationship Id="rId216" Type="http://schemas.openxmlformats.org/officeDocument/2006/relationships/hyperlink" Target="https://drive.google.com/open?id=1AdP-WOC4hEtmyrds7SAtlShLFdzG8cBf" TargetMode="External"/><Relationship Id="rId337" Type="http://schemas.openxmlformats.org/officeDocument/2006/relationships/hyperlink" Target="https://drive.google.com/open?id=1Qy13SGIYwfmmq6qoxgO3L3sLopCKGolJ" TargetMode="External"/><Relationship Id="rId458" Type="http://schemas.openxmlformats.org/officeDocument/2006/relationships/hyperlink" Target="https://drive.google.com/file/d/1emwgV4k2K8VyustFOqWGw2j8cuBQFN2M/view?usp=drivesdk" TargetMode="External"/><Relationship Id="rId579" Type="http://schemas.openxmlformats.org/officeDocument/2006/relationships/hyperlink" Target="https://drive.google.com/file/d/13CTzXvNABstkOaEB5jm7O_B1VvpjDiCy/view?usp=drivesdk" TargetMode="External"/><Relationship Id="rId215" Type="http://schemas.openxmlformats.org/officeDocument/2006/relationships/hyperlink" Target="https://drive.google.com/open?id=1jSCLFzQyHwV2WnoqvkvP2ZPrrMZGl9Pl" TargetMode="External"/><Relationship Id="rId336" Type="http://schemas.openxmlformats.org/officeDocument/2006/relationships/hyperlink" Target="https://drive.google.com/file/d/14ooYYP2LDBOgt5Myg57eiOOnTzeLOmNE/view?usp=drivesdk" TargetMode="External"/><Relationship Id="rId457" Type="http://schemas.openxmlformats.org/officeDocument/2006/relationships/hyperlink" Target="https://drive.google.com/file/d/1VmYrusy9N2ebAPAoYmKsVDzNI_53OrYY/view?usp=drivesdk" TargetMode="External"/><Relationship Id="rId578" Type="http://schemas.openxmlformats.org/officeDocument/2006/relationships/hyperlink" Target="https://drive.google.com/file/d/1t12WTz-dAVezWUtbbJfXdXFxUUNdm09b/view?usp=drivesdk" TargetMode="External"/><Relationship Id="rId214" Type="http://schemas.openxmlformats.org/officeDocument/2006/relationships/hyperlink" Target="https://drive.google.com/open?id=1WaJPzGhSpAaMtgW9lsyN0O18F8q1Oh_l" TargetMode="External"/><Relationship Id="rId335" Type="http://schemas.openxmlformats.org/officeDocument/2006/relationships/hyperlink" Target="https://drive.google.com/file/d/1nmKqJYNTTVsl_cU4vsDBfhna2E_vD14G/view?usp=drivesdk" TargetMode="External"/><Relationship Id="rId456" Type="http://schemas.openxmlformats.org/officeDocument/2006/relationships/hyperlink" Target="https://drive.google.com/file/d/19bZTJ_tqUEIhtpqyoKVkqoQlkaLRPkYT/view?usp=drivesdk" TargetMode="External"/><Relationship Id="rId577" Type="http://schemas.openxmlformats.org/officeDocument/2006/relationships/hyperlink" Target="https://drive.google.com/file/d/1UW-o8zgreAfE3vtT3cnvFYIepPLwx6q3/view?usp=drivesdk" TargetMode="External"/><Relationship Id="rId219" Type="http://schemas.openxmlformats.org/officeDocument/2006/relationships/hyperlink" Target="https://drive.google.com/open?id=1UkPV6XqDkzplhSEEasOiR5GLI6Zs_l-C" TargetMode="External"/><Relationship Id="rId218" Type="http://schemas.openxmlformats.org/officeDocument/2006/relationships/hyperlink" Target="https://drive.google.com/file/d/1_iiRsgw66bhmPD_Qep5c3qyswUNrWKhG/view?usp=drivesdk" TargetMode="External"/><Relationship Id="rId339" Type="http://schemas.openxmlformats.org/officeDocument/2006/relationships/hyperlink" Target="https://drive.google.com/file/d/1xk8Y4LYe9KdDusN87qJgqHYmGeHWXwsP/view?usp=drivesdk" TargetMode="External"/><Relationship Id="rId330" Type="http://schemas.openxmlformats.org/officeDocument/2006/relationships/hyperlink" Target="https://drive.google.com/file/d/1vqi_nJexwi6jU58LWzyt0Ic4iVsztKbu/view?usp=drivesdk" TargetMode="External"/><Relationship Id="rId451" Type="http://schemas.openxmlformats.org/officeDocument/2006/relationships/hyperlink" Target="https://drive.google.com/open?id=1CRN2FPUk6790_plHemLewxtn955icKbv" TargetMode="External"/><Relationship Id="rId572" Type="http://schemas.openxmlformats.org/officeDocument/2006/relationships/hyperlink" Target="https://drive.google.com/file/d/17aDya09m3ps14t4ln_Mxj2opyWcDwsWg/view?usp=drivesdk" TargetMode="External"/><Relationship Id="rId450" Type="http://schemas.openxmlformats.org/officeDocument/2006/relationships/hyperlink" Target="https://drive.google.com/open?id=1NigQ8yM13mERE3MetXxjl4DUtWN_KrVM" TargetMode="External"/><Relationship Id="rId571" Type="http://schemas.openxmlformats.org/officeDocument/2006/relationships/hyperlink" Target="https://drive.google.com/file/d/16GNKYO83tN5EB01TPJoYAm8p33qpMRa4/view?usp=drivesdk" TargetMode="External"/><Relationship Id="rId570" Type="http://schemas.openxmlformats.org/officeDocument/2006/relationships/hyperlink" Target="https://drive.google.com/file/d/196vjFr1ytIq1E_IR7rfif93bDOmM-2vH/view?usp=drivesdk" TargetMode="External"/><Relationship Id="rId213" Type="http://schemas.openxmlformats.org/officeDocument/2006/relationships/hyperlink" Target="https://drive.google.com/open?id=1WaJPzGhSpAaMtgW9lsyN0O18F8q1Oh_l" TargetMode="External"/><Relationship Id="rId334" Type="http://schemas.openxmlformats.org/officeDocument/2006/relationships/hyperlink" Target="https://drive.google.com/file/d/1AYJDPC8p9s-rKLlDky1bPQVEecrgKSCb/view?usp=drivesdk" TargetMode="External"/><Relationship Id="rId455" Type="http://schemas.openxmlformats.org/officeDocument/2006/relationships/hyperlink" Target="https://drive.google.com/file/d/1bhIGadbcf5VviaiP3Io6DshYlWFm437N/view?usp=drivesdk" TargetMode="External"/><Relationship Id="rId576" Type="http://schemas.openxmlformats.org/officeDocument/2006/relationships/hyperlink" Target="https://drive.google.com/file/d/1rBJTYoIICnWPfzqmdBL0Fa5MRUR4983_/view?usp=drivesdk" TargetMode="External"/><Relationship Id="rId212" Type="http://schemas.openxmlformats.org/officeDocument/2006/relationships/hyperlink" Target="https://drive.google.com/file/d/15wvEhSa_UQFJ_VqviIVjeDumuyc9A50R/view?usp=drivesdk" TargetMode="External"/><Relationship Id="rId333" Type="http://schemas.openxmlformats.org/officeDocument/2006/relationships/hyperlink" Target="https://drive.google.com/file/d/1Kewc-pxrPxNhRWA1zdTzb2ckGhbDZ991/view?usp=drivesdk" TargetMode="External"/><Relationship Id="rId454" Type="http://schemas.openxmlformats.org/officeDocument/2006/relationships/hyperlink" Target="https://drive.google.com/file/d/1dwTwZQk6HokO7OrTmYqA-D38rZ9bRINV/view?usp=drivesdk" TargetMode="External"/><Relationship Id="rId575" Type="http://schemas.openxmlformats.org/officeDocument/2006/relationships/hyperlink" Target="https://drive.google.com/file/d/1ufpsDKBv-mH5AR-qhDgRtOsUaCnuD9z_/view?usp=drivesdk" TargetMode="External"/><Relationship Id="rId211" Type="http://schemas.openxmlformats.org/officeDocument/2006/relationships/hyperlink" Target="https://drive.google.com/open?id=1rHiMFCMoHKWWQ7Yb5mRZjFOgOk4Yv98S" TargetMode="External"/><Relationship Id="rId332" Type="http://schemas.openxmlformats.org/officeDocument/2006/relationships/hyperlink" Target="https://drive.google.com/file/d/1oO9qFSTuAUB8wq1YlyXLqncVGDe6VJlg/view?usp=drivesdk" TargetMode="External"/><Relationship Id="rId453" Type="http://schemas.openxmlformats.org/officeDocument/2006/relationships/hyperlink" Target="https://drive.google.com/file/d/1VgMc9g2SYSAcMtYtDeK4RLvdmEc6VoPB/view?usp=drivesdk" TargetMode="External"/><Relationship Id="rId574" Type="http://schemas.openxmlformats.org/officeDocument/2006/relationships/hyperlink" Target="https://drive.google.com/file/d/1pkbNJaymIEMxjG1jCjZnZqE_ZkHccoD8/view?usp=drivesdk" TargetMode="External"/><Relationship Id="rId210" Type="http://schemas.openxmlformats.org/officeDocument/2006/relationships/hyperlink" Target="https://drive.google.com/file/d/1M9JS8KrPkry3ViIBac-idxk94RuTPMpZ/view?usp=drivesdk" TargetMode="External"/><Relationship Id="rId331" Type="http://schemas.openxmlformats.org/officeDocument/2006/relationships/hyperlink" Target="https://drive.google.com/open?id=1MJZsrgXi23Xnum4vqB2GfUpW_jxolieV" TargetMode="External"/><Relationship Id="rId452" Type="http://schemas.openxmlformats.org/officeDocument/2006/relationships/hyperlink" Target="https://drive.google.com/file/d/1EKMhFVTcPnDIRGKX5hfr6Fd4_WwDLfiS/view?usp=drivesdk" TargetMode="External"/><Relationship Id="rId573" Type="http://schemas.openxmlformats.org/officeDocument/2006/relationships/hyperlink" Target="https://drive.google.com/file/d/1OkS1AuZr5zQob5nXzJJa8pYvXm3yawRe/view?usp=drivesdk" TargetMode="External"/><Relationship Id="rId370" Type="http://schemas.openxmlformats.org/officeDocument/2006/relationships/hyperlink" Target="https://drive.google.com/open?id=1LaWf0JcoGaFSpcwRzmixouBNC9paIZjy" TargetMode="External"/><Relationship Id="rId491" Type="http://schemas.openxmlformats.org/officeDocument/2006/relationships/hyperlink" Target="https://drive.google.com/file/d/1flHgU0AYxB31RCsojql2TyeemC7rRUX1/view?usp=drivesdk" TargetMode="External"/><Relationship Id="rId490" Type="http://schemas.openxmlformats.org/officeDocument/2006/relationships/hyperlink" Target="https://drive.google.com/file/d/1-CR-Kl9-LA_hBnt_li_pxlDkbmBtC2Nh/view?usp=drivesdk" TargetMode="External"/><Relationship Id="rId129" Type="http://schemas.openxmlformats.org/officeDocument/2006/relationships/hyperlink" Target="https://drive.google.com/file/d/1T2ZzFd7u6V65a74F-WlDmilYcVUnGAoR/view?usp=drivesdk" TargetMode="External"/><Relationship Id="rId128" Type="http://schemas.openxmlformats.org/officeDocument/2006/relationships/hyperlink" Target="https://drive.google.com/file/d/1aOj0PmIg9C6zxgMC6Xdp8Q2ZV_CsFwuK/view?usp=drivesdk" TargetMode="External"/><Relationship Id="rId249" Type="http://schemas.openxmlformats.org/officeDocument/2006/relationships/hyperlink" Target="https://drive.google.com/file/d/1YguaDbDUTSFtF5q_Au_YmBhVP-5zeU2z/view?usp=drivesdk" TargetMode="External"/><Relationship Id="rId127" Type="http://schemas.openxmlformats.org/officeDocument/2006/relationships/hyperlink" Target="https://drive.google.com/file/d/1kkGAcURFePKdOz7GsUM8MOPj4BQFY5Nf/view?usp=drivesdk" TargetMode="External"/><Relationship Id="rId248" Type="http://schemas.openxmlformats.org/officeDocument/2006/relationships/hyperlink" Target="https://drive.google.com/file/d/1_FlLyELD2q9yGxbm1hodNutK5PD7mYhO/view?usp=drivesdk" TargetMode="External"/><Relationship Id="rId369" Type="http://schemas.openxmlformats.org/officeDocument/2006/relationships/hyperlink" Target="https://drive.google.com/file/d/12a8mAfllnYDwv7gciQFXZESxG6UGNau-/view?usp=drivesdk" TargetMode="External"/><Relationship Id="rId126" Type="http://schemas.openxmlformats.org/officeDocument/2006/relationships/hyperlink" Target="https://drive.google.com/file/d/1KCL-CYE4o5_Rz0xEi7fpnohnuCTvVuu7/view?usp=drivesdk" TargetMode="External"/><Relationship Id="rId247" Type="http://schemas.openxmlformats.org/officeDocument/2006/relationships/hyperlink" Target="https://drive.google.com/file/d/1IFPKl95VePMLEVLrgAijSpAC2IaG9GP6/view?usp=drivesdk" TargetMode="External"/><Relationship Id="rId368" Type="http://schemas.openxmlformats.org/officeDocument/2006/relationships/hyperlink" Target="https://drive.google.com/file/d/1b7IAQRYPETa53VrREGJ4CaDDfYQCmrmP/view?usp=drivesdk" TargetMode="External"/><Relationship Id="rId489" Type="http://schemas.openxmlformats.org/officeDocument/2006/relationships/hyperlink" Target="https://drive.google.com/file/d/1A2AozEii1mKfcMEk06exnjV6l9IQlcII/view?usp=drivesdk" TargetMode="External"/><Relationship Id="rId121" Type="http://schemas.openxmlformats.org/officeDocument/2006/relationships/hyperlink" Target="https://drive.google.com/file/d/1uh0pQ1lOZVJM9Xli8tUzNC2aae6AoDH4/view?usp=drivesdk" TargetMode="External"/><Relationship Id="rId242" Type="http://schemas.openxmlformats.org/officeDocument/2006/relationships/hyperlink" Target="https://drive.google.com/file/d/1qSHnWReylWbXVD0HrA8-VDBix3vMN5bU/view?usp=drivesdk" TargetMode="External"/><Relationship Id="rId363" Type="http://schemas.openxmlformats.org/officeDocument/2006/relationships/hyperlink" Target="https://drive.google.com/open?id=1tYfv8vyD1fwBHyvTUegSR6Oq0fzwxtjB" TargetMode="External"/><Relationship Id="rId484" Type="http://schemas.openxmlformats.org/officeDocument/2006/relationships/hyperlink" Target="https://drive.google.com/open?id=12pxAFlGyyqR7fMVSGriGmMIBhsndvL9u" TargetMode="External"/><Relationship Id="rId120" Type="http://schemas.openxmlformats.org/officeDocument/2006/relationships/hyperlink" Target="https://drive.google.com/file/d/1XP943NUU_abDmbANNKbpwKZGcL2m77F6/view?usp=drivesdk" TargetMode="External"/><Relationship Id="rId241" Type="http://schemas.openxmlformats.org/officeDocument/2006/relationships/hyperlink" Target="https://drive.google.com/file/d/1Is5wOIidQpRYCU9DuOiJY-fnOSbqCsWl/view?usp=drivesdk" TargetMode="External"/><Relationship Id="rId362" Type="http://schemas.openxmlformats.org/officeDocument/2006/relationships/hyperlink" Target="https://drive.google.com/file/d/1BdMdaMVa2gj9z2dc-Mv7BqY50vDDGsJF/view?usp=drivesdk" TargetMode="External"/><Relationship Id="rId483" Type="http://schemas.openxmlformats.org/officeDocument/2006/relationships/hyperlink" Target="https://drive.google.com/open?id=1TMrFVDSqAOzQikKH9IHysOqnUP401Jgu" TargetMode="External"/><Relationship Id="rId240" Type="http://schemas.openxmlformats.org/officeDocument/2006/relationships/hyperlink" Target="https://drive.google.com/file/d/1sM5dmSuPSvzv0aA8Yf8S_LB7HVNEbDlo/view?usp=drivesdk" TargetMode="External"/><Relationship Id="rId361" Type="http://schemas.openxmlformats.org/officeDocument/2006/relationships/hyperlink" Target="https://drive.google.com/file/d/1nvNxITkoG2Ap1HyRZkNwNtvHEyz-SGoC/view?usp=drivesdk" TargetMode="External"/><Relationship Id="rId482" Type="http://schemas.openxmlformats.org/officeDocument/2006/relationships/hyperlink" Target="https://drive.google.com/open?id=13_5jCitUDLJt5lpo_FD-xINpW3_-BZEq" TargetMode="External"/><Relationship Id="rId360" Type="http://schemas.openxmlformats.org/officeDocument/2006/relationships/hyperlink" Target="https://drive.google.com/file/d/1HWtuD-plIzHF3uXsMrNhs6sE44vB5UrA/view?usp=drivesdk" TargetMode="External"/><Relationship Id="rId481" Type="http://schemas.openxmlformats.org/officeDocument/2006/relationships/hyperlink" Target="https://drive.google.com/open?id=1RW3s5M-9s1nILd-N4JbRzyS-6B2GKZmu" TargetMode="External"/><Relationship Id="rId125" Type="http://schemas.openxmlformats.org/officeDocument/2006/relationships/hyperlink" Target="https://drive.google.com/file/d/1795jV54F25ULmAMItSnOCpBpFY8bknvO/view?usp=drivesdk" TargetMode="External"/><Relationship Id="rId246" Type="http://schemas.openxmlformats.org/officeDocument/2006/relationships/hyperlink" Target="https://drive.google.com/file/d/1JMJO8R7ImrJ1lpQXTIxUSrjWsGOCy_r6/view?usp=drivesdk" TargetMode="External"/><Relationship Id="rId367" Type="http://schemas.openxmlformats.org/officeDocument/2006/relationships/hyperlink" Target="https://drive.google.com/file/d/1KogR2Eucj-AheHx9qlR4vWfFz_bYdZ9A/view?usp=drivesdk" TargetMode="External"/><Relationship Id="rId488" Type="http://schemas.openxmlformats.org/officeDocument/2006/relationships/hyperlink" Target="https://drive.google.com/file/d/1hm-WPyaCV3N14prn_Ze_ljUI2nt-0mIz/view?usp=drivesdk" TargetMode="External"/><Relationship Id="rId124" Type="http://schemas.openxmlformats.org/officeDocument/2006/relationships/hyperlink" Target="https://drive.google.com/file/d/11nQuKPJKbJpAZ_BObZ8tfSBJS-guZsOd/view?usp=drivesdk" TargetMode="External"/><Relationship Id="rId245" Type="http://schemas.openxmlformats.org/officeDocument/2006/relationships/hyperlink" Target="https://drive.google.com/file/d/1B3Mer2kKArHtTHYypsBdmYxMsS0whKgs/view?usp=drivesdk" TargetMode="External"/><Relationship Id="rId366" Type="http://schemas.openxmlformats.org/officeDocument/2006/relationships/hyperlink" Target="https://drive.google.com/file/d/1tQqxsI1hxuyKALZKVmdCV2zkaSSjcBhO/view?usp=drivesdk" TargetMode="External"/><Relationship Id="rId487" Type="http://schemas.openxmlformats.org/officeDocument/2006/relationships/hyperlink" Target="https://drive.google.com/file/d/1U_egVI5pk8SetsL7PfLK-35TZIm0rGYV/view?usp=drivesdk" TargetMode="External"/><Relationship Id="rId123" Type="http://schemas.openxmlformats.org/officeDocument/2006/relationships/hyperlink" Target="https://drive.google.com/file/d/1CLwumaDrG50iX48Y-R96xzzlFe4QV2N_/view?usp=drivesdk" TargetMode="External"/><Relationship Id="rId244" Type="http://schemas.openxmlformats.org/officeDocument/2006/relationships/hyperlink" Target="https://drive.google.com/open?id=1C9WDbAmSgW_tL01RjSwdOhNw-rR1lkIM" TargetMode="External"/><Relationship Id="rId365" Type="http://schemas.openxmlformats.org/officeDocument/2006/relationships/hyperlink" Target="https://drive.google.com/file/d/1nzpTfR42t6B63vMTaC5fQmFD-WlLfU2F/view?usp=drivesdk" TargetMode="External"/><Relationship Id="rId486" Type="http://schemas.openxmlformats.org/officeDocument/2006/relationships/hyperlink" Target="https://drive.google.com/file/d/1atQjc6AQGWRFLjTWGjY_AuFvqRBV1iZo/view?usp=drivesdk" TargetMode="External"/><Relationship Id="rId122" Type="http://schemas.openxmlformats.org/officeDocument/2006/relationships/hyperlink" Target="https://drive.google.com/file/d/1bkAulutX1YffW2TM2NvW1WOc2mdYTq0E/view?usp=drivesdk" TargetMode="External"/><Relationship Id="rId243" Type="http://schemas.openxmlformats.org/officeDocument/2006/relationships/hyperlink" Target="https://drive.google.com/open?id=1C9WDbAmSgW_tL01RjSwdOhNw-rR1lkIM" TargetMode="External"/><Relationship Id="rId364" Type="http://schemas.openxmlformats.org/officeDocument/2006/relationships/hyperlink" Target="https://drive.google.com/open?id=1tYfv8vyD1fwBHyvTUegSR6Oq0fzwxtjB" TargetMode="External"/><Relationship Id="rId485" Type="http://schemas.openxmlformats.org/officeDocument/2006/relationships/hyperlink" Target="https://drive.google.com/file/d/1d4Y8KtZvDUThaX3UVmnVX1IpIE_pJCvV/view?usp=drivesdk" TargetMode="External"/><Relationship Id="rId95" Type="http://schemas.openxmlformats.org/officeDocument/2006/relationships/hyperlink" Target="https://drive.google.com/file/d/1HDIB7AdaF50gQEPp0EibQi16ff5lZWs-/view?usp=drivesdk" TargetMode="External"/><Relationship Id="rId94" Type="http://schemas.openxmlformats.org/officeDocument/2006/relationships/hyperlink" Target="https://drive.google.com/file/d/1vFbKIx6AZfHkBUoCOVCSTzBRkQvjwwuM/view?usp=drivesdk" TargetMode="External"/><Relationship Id="rId97" Type="http://schemas.openxmlformats.org/officeDocument/2006/relationships/hyperlink" Target="https://drive.google.com/file/d/1G78MxIvNdYdSPZO40okKSjVS9dADF43L/view?usp=drivesdk" TargetMode="External"/><Relationship Id="rId96" Type="http://schemas.openxmlformats.org/officeDocument/2006/relationships/hyperlink" Target="https://drive.google.com/file/d/1TFGQS8rVkJLi8Jc5HIQBjWLfBNEIRySs/view?usp=drivesdk" TargetMode="External"/><Relationship Id="rId99" Type="http://schemas.openxmlformats.org/officeDocument/2006/relationships/hyperlink" Target="https://drive.google.com/file/d/1uXmdxwohi8M7VgG2AV8RIWaklBL6HJhK/view?usp=drivesdk" TargetMode="External"/><Relationship Id="rId480" Type="http://schemas.openxmlformats.org/officeDocument/2006/relationships/hyperlink" Target="https://drive.google.com/open?id=1RW3s5M-9s1nILd-N4JbRzyS-6B2GKZmu" TargetMode="External"/><Relationship Id="rId98" Type="http://schemas.openxmlformats.org/officeDocument/2006/relationships/hyperlink" Target="https://drive.google.com/file/d/1ltFIQPczDedEA_8MsrMBf_OMWpNele_6/view?usp=drivesdk" TargetMode="External"/><Relationship Id="rId91" Type="http://schemas.openxmlformats.org/officeDocument/2006/relationships/hyperlink" Target="https://drive.google.com/file/d/1gFYe_MMVqLPsiU_5uhiH4YVHCBUCwdfN/view?usp=drivesdk" TargetMode="External"/><Relationship Id="rId90" Type="http://schemas.openxmlformats.org/officeDocument/2006/relationships/hyperlink" Target="https://drive.google.com/file/d/1FhMSycKJX5TafoW076Ldc6jMWj6C_7kZ/view?usp=drivesdk" TargetMode="External"/><Relationship Id="rId93" Type="http://schemas.openxmlformats.org/officeDocument/2006/relationships/hyperlink" Target="https://drive.google.com/file/d/1MeT4VzSTqyT9wn70Ejy7GiDhnkE4duNc/view?usp=drivesdk" TargetMode="External"/><Relationship Id="rId92" Type="http://schemas.openxmlformats.org/officeDocument/2006/relationships/hyperlink" Target="https://drive.google.com/file/d/1QLvzje84Cc-GighI0rpyx-8b6o5i5zxN/view?usp=drivesdk" TargetMode="External"/><Relationship Id="rId118" Type="http://schemas.openxmlformats.org/officeDocument/2006/relationships/hyperlink" Target="https://drive.google.com/open?id=1kT_C9kzQf39aBEjR84ei1Ky1B_G40qCq" TargetMode="External"/><Relationship Id="rId239" Type="http://schemas.openxmlformats.org/officeDocument/2006/relationships/hyperlink" Target="https://drive.google.com/file/d/1fHVSe6ox3zWeZ1d68cOcacK2dST9kqU0/view?usp=drivesdk" TargetMode="External"/><Relationship Id="rId117" Type="http://schemas.openxmlformats.org/officeDocument/2006/relationships/hyperlink" Target="https://drive.google.com/open?id=1hnFqszTel0HHECz4Xh59yEMo604LukLb" TargetMode="External"/><Relationship Id="rId238" Type="http://schemas.openxmlformats.org/officeDocument/2006/relationships/hyperlink" Target="https://drive.google.com/file/d/17eGgjweNNJU5_4mkU3_JQOf2LC73-Oxk/view?usp=drivesdk" TargetMode="External"/><Relationship Id="rId359" Type="http://schemas.openxmlformats.org/officeDocument/2006/relationships/hyperlink" Target="https://drive.google.com/file/d/1A4gnW6dTPYwlnvSff91CYj-CaplXEw_q/view?usp=drivesdk" TargetMode="External"/><Relationship Id="rId116" Type="http://schemas.openxmlformats.org/officeDocument/2006/relationships/hyperlink" Target="https://drive.google.com/open?id=1hnFqszTel0HHECz4Xh59yEMo604LukLb" TargetMode="External"/><Relationship Id="rId237" Type="http://schemas.openxmlformats.org/officeDocument/2006/relationships/hyperlink" Target="https://drive.google.com/file/d/1bNcX-Z0vB9tbNnI48vEVqV-y53DOyWDR/view?usp=drivesdk" TargetMode="External"/><Relationship Id="rId358" Type="http://schemas.openxmlformats.org/officeDocument/2006/relationships/hyperlink" Target="https://drive.google.com/file/d/1TD145hec2Bm6RT5pezpz-daj92GGDDlZ/view?usp=drivesdk" TargetMode="External"/><Relationship Id="rId479" Type="http://schemas.openxmlformats.org/officeDocument/2006/relationships/hyperlink" Target="https://drive.google.com/file/d/1wzI7WRGCU-P342R8_lnocwyDxpYaBiHP/view?usp=drivesdk" TargetMode="External"/><Relationship Id="rId115" Type="http://schemas.openxmlformats.org/officeDocument/2006/relationships/hyperlink" Target="https://drive.google.com/file/d/1DPdnnmKtXA7U9YFYO-5saeCd1SKPrMgH/view?usp=drivesdk" TargetMode="External"/><Relationship Id="rId236" Type="http://schemas.openxmlformats.org/officeDocument/2006/relationships/hyperlink" Target="https://drive.google.com/file/d/1_fpfgQe9lhcY-i0P5pL0lpMl2SiOH4aS/view?usp=drivesdk" TargetMode="External"/><Relationship Id="rId357" Type="http://schemas.openxmlformats.org/officeDocument/2006/relationships/hyperlink" Target="https://drive.google.com/file/d/1HcgNW2V7xiNNMjIPHNbVXwIlaGHUL6nN/view?usp=drivesdk" TargetMode="External"/><Relationship Id="rId478" Type="http://schemas.openxmlformats.org/officeDocument/2006/relationships/hyperlink" Target="https://drive.google.com/file/d/1klznPAG7AYt71N2tB4KsiHiYYpsxak-d/view?usp=drivesdk" TargetMode="External"/><Relationship Id="rId599" Type="http://schemas.openxmlformats.org/officeDocument/2006/relationships/hyperlink" Target="https://drive.google.com/file/d/13Uccq0UN7K-GtpK0GlFnbbpYbDaT9qJP/view?usp=drivesdk" TargetMode="External"/><Relationship Id="rId119" Type="http://schemas.openxmlformats.org/officeDocument/2006/relationships/hyperlink" Target="https://drive.google.com/open?id=1oR5LmhwIKEv96STs6dp5CiBEnF8WAO_J" TargetMode="External"/><Relationship Id="rId110" Type="http://schemas.openxmlformats.org/officeDocument/2006/relationships/hyperlink" Target="https://drive.google.com/file/d/1ZLDNIC42vevV685TkJDa0ssGQ8UeJRBq/view?usp=drivesdk" TargetMode="External"/><Relationship Id="rId231" Type="http://schemas.openxmlformats.org/officeDocument/2006/relationships/hyperlink" Target="https://drive.google.com/file/d/1gyZzLD029ZgRD-hI5w753WPoXqEIPUMI/view?usp=drivesdk" TargetMode="External"/><Relationship Id="rId352" Type="http://schemas.openxmlformats.org/officeDocument/2006/relationships/hyperlink" Target="https://drive.google.com/file/d/1qJOgFfz8izVfh7UR6Z5uVN2_DbkBFunB/view?usp=drivesdk" TargetMode="External"/><Relationship Id="rId473" Type="http://schemas.openxmlformats.org/officeDocument/2006/relationships/hyperlink" Target="https://drive.google.com/open?id=1lf94KvMmkRlh_Y_CoUpWpfA0Y3pdfozA" TargetMode="External"/><Relationship Id="rId594" Type="http://schemas.openxmlformats.org/officeDocument/2006/relationships/hyperlink" Target="https://drive.google.com/file/d/1qnC4iKATngFynyVGTDWjezj_qv3dgdou/view?usp=drivesdk" TargetMode="External"/><Relationship Id="rId230" Type="http://schemas.openxmlformats.org/officeDocument/2006/relationships/hyperlink" Target="https://drive.google.com/file/d/19unzp4zKFRlSSz88BdpKTXohwdOX2r9u/view?usp=drivesdk" TargetMode="External"/><Relationship Id="rId351" Type="http://schemas.openxmlformats.org/officeDocument/2006/relationships/hyperlink" Target="https://drive.google.com/open?id=1MwP962Vb-OeflzkikRMBcpRrA14vsSgn" TargetMode="External"/><Relationship Id="rId472" Type="http://schemas.openxmlformats.org/officeDocument/2006/relationships/hyperlink" Target="https://drive.google.com/file/d/1QiWCYYEoHrjb5f-ulwrIruFBjc3ffXtY/view?usp=drivesdk" TargetMode="External"/><Relationship Id="rId593" Type="http://schemas.openxmlformats.org/officeDocument/2006/relationships/hyperlink" Target="https://drive.google.com/file/d/1BmCFSzvAmUVIZ7qR1CusadiegWEmZblm/view?usp=drivesdk" TargetMode="External"/><Relationship Id="rId350" Type="http://schemas.openxmlformats.org/officeDocument/2006/relationships/hyperlink" Target="https://drive.google.com/open?id=1MwP962Vb-OeflzkikRMBcpRrA14vsSgn" TargetMode="External"/><Relationship Id="rId471" Type="http://schemas.openxmlformats.org/officeDocument/2006/relationships/hyperlink" Target="https://drive.google.com/file/d/1WzoV41oD9xG-SZlUFSQsxjuEC1ixK9mb/view?usp=drivesdk" TargetMode="External"/><Relationship Id="rId592" Type="http://schemas.openxmlformats.org/officeDocument/2006/relationships/hyperlink" Target="https://drive.google.com/file/d/13FPns8SpKB69nb4gx8QgLaM1rn8cYpas/view?usp=drivesdk" TargetMode="External"/><Relationship Id="rId470" Type="http://schemas.openxmlformats.org/officeDocument/2006/relationships/hyperlink" Target="https://drive.google.com/file/d/1v6kPbzBnxanRmo8GvCIWvMH-wdE-pOZd/view?usp=drivesdk" TargetMode="External"/><Relationship Id="rId591" Type="http://schemas.openxmlformats.org/officeDocument/2006/relationships/hyperlink" Target="https://drive.google.com/file/d/1kdcSFih13zCgUlZ7QtHbetpZAC7VXRTK/view?usp=drivesdk" TargetMode="External"/><Relationship Id="rId114" Type="http://schemas.openxmlformats.org/officeDocument/2006/relationships/hyperlink" Target="https://drive.google.com/file/d/1C9MH8SoZFTW5ptmCvV_yaYr8kfzAjMB7/view?usp=drivesdk" TargetMode="External"/><Relationship Id="rId235" Type="http://schemas.openxmlformats.org/officeDocument/2006/relationships/hyperlink" Target="https://drive.google.com/file/d/1hVkq0zXPBBobbvAtP9ujJt79h52lQuOZ/view?usp=drivesdk" TargetMode="External"/><Relationship Id="rId356" Type="http://schemas.openxmlformats.org/officeDocument/2006/relationships/hyperlink" Target="https://drive.google.com/file/d/1f3kZ7HQgU2LwDtPejEX2FgBqFP7HwAYR/view?usp=drivesdk" TargetMode="External"/><Relationship Id="rId477" Type="http://schemas.openxmlformats.org/officeDocument/2006/relationships/hyperlink" Target="https://drive.google.com/file/d/1BKSA-hCHKe6CLMIGDhnL_SMo7-whmj7W/view?usp=drivesdk" TargetMode="External"/><Relationship Id="rId598" Type="http://schemas.openxmlformats.org/officeDocument/2006/relationships/hyperlink" Target="https://drive.google.com/file/d/1YpNqg69QH_Y6KG4d5hFT8wa3Ho31M8RU/view?usp=drivesdk" TargetMode="External"/><Relationship Id="rId113" Type="http://schemas.openxmlformats.org/officeDocument/2006/relationships/hyperlink" Target="https://drive.google.com/file/d/1BhLvmFQBNMLoWTTDaRyEdx76-19pxhng/view?usp=drivesdk" TargetMode="External"/><Relationship Id="rId234" Type="http://schemas.openxmlformats.org/officeDocument/2006/relationships/hyperlink" Target="https://drive.google.com/file/d/175Ux0SwTqO-lQXY9nQ04G-YUukujCzEK/view?usp=drivesdk" TargetMode="External"/><Relationship Id="rId355" Type="http://schemas.openxmlformats.org/officeDocument/2006/relationships/hyperlink" Target="https://drive.google.com/file/d/1C_cml8uL6sGGJSDk1txNP8ZoRsfLQrir/view?usp=drivesdk" TargetMode="External"/><Relationship Id="rId476" Type="http://schemas.openxmlformats.org/officeDocument/2006/relationships/hyperlink" Target="https://drive.google.com/file/d/1j9WbIFUCEzQWN19CLSiU9TvfFmgWDpJj/view?usp=drivesdk" TargetMode="External"/><Relationship Id="rId597" Type="http://schemas.openxmlformats.org/officeDocument/2006/relationships/hyperlink" Target="https://drive.google.com/file/d/1B2ZfURLT2Q9HWFbdHbAZeEiFinLUXBIv/view?usp=drivesdk" TargetMode="External"/><Relationship Id="rId112" Type="http://schemas.openxmlformats.org/officeDocument/2006/relationships/hyperlink" Target="https://drive.google.com/file/d/1oypA5cU9swiN2QdZ5emH6gc7byvnrdxL/view?usp=drivesdk" TargetMode="External"/><Relationship Id="rId233" Type="http://schemas.openxmlformats.org/officeDocument/2006/relationships/hyperlink" Target="https://drive.google.com/file/d/1eLhF-yNh9zOSTMVLiR6bbkIqmcCsmbUU/view?usp=drivesdk" TargetMode="External"/><Relationship Id="rId354" Type="http://schemas.openxmlformats.org/officeDocument/2006/relationships/hyperlink" Target="https://drive.google.com/file/d/1ZwHUarPtzZSFwFze5GstQwlPxhHI_TeT/view?usp=drivesdk" TargetMode="External"/><Relationship Id="rId475" Type="http://schemas.openxmlformats.org/officeDocument/2006/relationships/hyperlink" Target="https://drive.google.com/file/d/17O549kmpojZxRFHPQIiH0yWA6gD3QgXk/view?usp=drivesdk" TargetMode="External"/><Relationship Id="rId596" Type="http://schemas.openxmlformats.org/officeDocument/2006/relationships/hyperlink" Target="https://drive.google.com/file/d/1hiLWHShHto3Yci0unsK6fUe-jmdqSEb6/view?usp=drivesdk" TargetMode="External"/><Relationship Id="rId111" Type="http://schemas.openxmlformats.org/officeDocument/2006/relationships/hyperlink" Target="https://drive.google.com/file/d/1v1UGHDmxY_nhzoEqVyx40VkdOI0XNs3k/view?usp=drivesdk" TargetMode="External"/><Relationship Id="rId232" Type="http://schemas.openxmlformats.org/officeDocument/2006/relationships/hyperlink" Target="https://drive.google.com/file/d/1d_B5NauOOdkPfsAaFmeHjmcdal0wqo6q/view?usp=drivesdk" TargetMode="External"/><Relationship Id="rId353" Type="http://schemas.openxmlformats.org/officeDocument/2006/relationships/hyperlink" Target="https://drive.google.com/file/d/1MeByxIaRcLYdqeR8St3s21UC_ri9Epw1/view?usp=drivesdk" TargetMode="External"/><Relationship Id="rId474" Type="http://schemas.openxmlformats.org/officeDocument/2006/relationships/hyperlink" Target="https://drive.google.com/open?id=1lf94KvMmkRlh_Y_CoUpWpfA0Y3pdfozA" TargetMode="External"/><Relationship Id="rId595" Type="http://schemas.openxmlformats.org/officeDocument/2006/relationships/hyperlink" Target="https://drive.google.com/file/d/1T4ZpnGdaEn7OmBwFN9TwhNOfcI2tZhN5/view?usp=drivesdk" TargetMode="External"/><Relationship Id="rId305" Type="http://schemas.openxmlformats.org/officeDocument/2006/relationships/hyperlink" Target="https://drive.google.com/file/d/1TzehmaWcMkIITYAS8L6o1y_XWPtsR8kT/view?usp=drivesdk" TargetMode="External"/><Relationship Id="rId426" Type="http://schemas.openxmlformats.org/officeDocument/2006/relationships/hyperlink" Target="https://drive.google.com/open?id=1eswS1_4_hcixMhssb2fXrnjk7ieIdDk6" TargetMode="External"/><Relationship Id="rId547" Type="http://schemas.openxmlformats.org/officeDocument/2006/relationships/hyperlink" Target="https://drive.google.com/open?id=18JNkRTHvQo3tSWanCGhMq8xsP9L08J-I" TargetMode="External"/><Relationship Id="rId304" Type="http://schemas.openxmlformats.org/officeDocument/2006/relationships/hyperlink" Target="https://drive.google.com/open?id=1xdQEYlGT-BeQObAzp54le4LxYk4xp5no" TargetMode="External"/><Relationship Id="rId425" Type="http://schemas.openxmlformats.org/officeDocument/2006/relationships/hyperlink" Target="https://drive.google.com/file/d/142kVDFR6wS6oR-xC-6ipagXg2sorAg59/view?usp=drivesdk" TargetMode="External"/><Relationship Id="rId546" Type="http://schemas.openxmlformats.org/officeDocument/2006/relationships/hyperlink" Target="https://drive.google.com/open?id=1Ea3G2XhN8Imq5WX040eIFLCCPzEg7BdC" TargetMode="External"/><Relationship Id="rId303" Type="http://schemas.openxmlformats.org/officeDocument/2006/relationships/hyperlink" Target="https://drive.google.com/open?id=1xdQEYlGT-BeQObAzp54le4LxYk4xp5no" TargetMode="External"/><Relationship Id="rId424" Type="http://schemas.openxmlformats.org/officeDocument/2006/relationships/hyperlink" Target="https://drive.google.com/open?id=1hc-kv5TPusfMnuLD8hsSWw7daEFa3KCz" TargetMode="External"/><Relationship Id="rId545" Type="http://schemas.openxmlformats.org/officeDocument/2006/relationships/hyperlink" Target="https://drive.google.com/file/d/1rEHkJuZ4C6MGFVlrf9k0BM7sPdM4csig/view?usp=drivesdk" TargetMode="External"/><Relationship Id="rId302" Type="http://schemas.openxmlformats.org/officeDocument/2006/relationships/hyperlink" Target="https://drive.google.com/file/d/1OG_Iy01N_-mVWbKrSVLrE39p6VckXOXj/view?usp=drivesdk" TargetMode="External"/><Relationship Id="rId423" Type="http://schemas.openxmlformats.org/officeDocument/2006/relationships/hyperlink" Target="https://drive.google.com/file/d/1vRBoIyXlTR9iB3I4AgjO9j-O4S3tyiqi/view?usp=drivesdk" TargetMode="External"/><Relationship Id="rId544" Type="http://schemas.openxmlformats.org/officeDocument/2006/relationships/hyperlink" Target="https://drive.google.com/file/d/1Rb9BtoAwoALKQEdCwQjMKb2OliVn-m5b/view?usp=drivesdk" TargetMode="External"/><Relationship Id="rId309" Type="http://schemas.openxmlformats.org/officeDocument/2006/relationships/hyperlink" Target="https://drive.google.com/file/d/1i29LrGJOaO6DPyObP4eyxX1mOW4iMemI/view?usp=drivesdk" TargetMode="External"/><Relationship Id="rId308" Type="http://schemas.openxmlformats.org/officeDocument/2006/relationships/hyperlink" Target="https://drive.google.com/file/d/1dHkwOXqn5NPIvKAquHatUzHPu53aJfUl/view?usp=drivesdk" TargetMode="External"/><Relationship Id="rId429" Type="http://schemas.openxmlformats.org/officeDocument/2006/relationships/hyperlink" Target="https://drive.google.com/file/d/1YYeVg404m9NPE2tDT87EwLBXMzyGBT3A/view?usp=drivesdk" TargetMode="External"/><Relationship Id="rId307" Type="http://schemas.openxmlformats.org/officeDocument/2006/relationships/hyperlink" Target="https://drive.google.com/file/d/1D41c3tnebCG0UWlzHI6uEFyf3jHBhKQ7/view?usp=drivesdk" TargetMode="External"/><Relationship Id="rId428" Type="http://schemas.openxmlformats.org/officeDocument/2006/relationships/hyperlink" Target="https://drive.google.com/open?id=13mEwSGWpu8iuRPVmL2r9YcJjdYLRAo_F" TargetMode="External"/><Relationship Id="rId549" Type="http://schemas.openxmlformats.org/officeDocument/2006/relationships/hyperlink" Target="https://drive.google.com/file/d/1_gUEvx7yrARrzMm7D9XW59ZfRVu0lDe1/view?usp=drivesdk" TargetMode="External"/><Relationship Id="rId306" Type="http://schemas.openxmlformats.org/officeDocument/2006/relationships/hyperlink" Target="https://drive.google.com/file/d/1yACxKf72pRKpjrkWjtSmOa_yQ7d312Zx/view?usp=drivesdk" TargetMode="External"/><Relationship Id="rId427" Type="http://schemas.openxmlformats.org/officeDocument/2006/relationships/hyperlink" Target="https://drive.google.com/open?id=1wMtASCh7gFA9zTiaIOYamQI4TbZITZb-" TargetMode="External"/><Relationship Id="rId548" Type="http://schemas.openxmlformats.org/officeDocument/2006/relationships/hyperlink" Target="https://drive.google.com/open?id=1aOcfCU9owBi58OxqBwXHPNQjPR6TevfD" TargetMode="External"/><Relationship Id="rId301" Type="http://schemas.openxmlformats.org/officeDocument/2006/relationships/hyperlink" Target="https://drive.google.com/file/d/1JofcpqIISAZ1PV5bNrn27qQRfFzGc0cJ/view?usp=drivesdk" TargetMode="External"/><Relationship Id="rId422" Type="http://schemas.openxmlformats.org/officeDocument/2006/relationships/hyperlink" Target="https://drive.google.com/file/d/1nQ7MBUndSrYfxjB-O8Eiwaa9e4p4_ov0/view?usp=drivesdk" TargetMode="External"/><Relationship Id="rId543" Type="http://schemas.openxmlformats.org/officeDocument/2006/relationships/hyperlink" Target="https://drive.google.com/file/d/1My5UXhtc0FzP_HEUFwjBXL8K2hYd4a5y/view?usp=drivesdk" TargetMode="External"/><Relationship Id="rId300" Type="http://schemas.openxmlformats.org/officeDocument/2006/relationships/hyperlink" Target="https://drive.google.com/file/d/1bgsu8r6MX3j9ifzo1e4XD7cB1KJBj-VC/view?usp=drivesdk" TargetMode="External"/><Relationship Id="rId421" Type="http://schemas.openxmlformats.org/officeDocument/2006/relationships/hyperlink" Target="https://drive.google.com/open?id=1Gx-5OjGB3m4E0ny6Lj7ief-NCGSTjJ7x" TargetMode="External"/><Relationship Id="rId542" Type="http://schemas.openxmlformats.org/officeDocument/2006/relationships/hyperlink" Target="https://drive.google.com/file/d/1OLfmHDn-vne-kHEEXovCW9Dhe02Uu0ER/view?usp=drivesdk" TargetMode="External"/><Relationship Id="rId420" Type="http://schemas.openxmlformats.org/officeDocument/2006/relationships/hyperlink" Target="https://drive.google.com/open?id=170Q5FyygOLworlJrrKGax7oy6oEdOc2D" TargetMode="External"/><Relationship Id="rId541" Type="http://schemas.openxmlformats.org/officeDocument/2006/relationships/hyperlink" Target="https://drive.google.com/file/d/1eU7QlG3DK9JwcWU_eC96oQ90ffkwJ5Gf/view?usp=drivesdk" TargetMode="External"/><Relationship Id="rId540" Type="http://schemas.openxmlformats.org/officeDocument/2006/relationships/hyperlink" Target="https://drive.google.com/file/d/1k-qYhuMCX5mbVUKjRJtL5Ds7LpV6rUUp/view?usp=drivesdk" TargetMode="External"/><Relationship Id="rId415" Type="http://schemas.openxmlformats.org/officeDocument/2006/relationships/hyperlink" Target="https://drive.google.com/file/d/1io9Ne2iAGIqzRWUuPgJZ-3V5nmo5llos/view?usp=drivesdk" TargetMode="External"/><Relationship Id="rId536" Type="http://schemas.openxmlformats.org/officeDocument/2006/relationships/hyperlink" Target="https://drive.google.com/file/d/1UDfvrfgEi5MoyeCvTEV8iMn_Lz_eX_89/view?usp=drivesdk" TargetMode="External"/><Relationship Id="rId414" Type="http://schemas.openxmlformats.org/officeDocument/2006/relationships/hyperlink" Target="https://drive.google.com/file/d/1o2lnsLJ5f_AGEUetO7lxk3tZiVpYDaAm/view?usp=drivesdk" TargetMode="External"/><Relationship Id="rId535" Type="http://schemas.openxmlformats.org/officeDocument/2006/relationships/hyperlink" Target="https://drive.google.com/open?id=1OYAQqJRC_C0SQvi0YWs1gNT0vzivjAC5" TargetMode="External"/><Relationship Id="rId413" Type="http://schemas.openxmlformats.org/officeDocument/2006/relationships/hyperlink" Target="https://drive.google.com/file/d/1GcR4zpueH_TztFb-Pj3tcC5uefiOOuY_/view?usp=drivesdk" TargetMode="External"/><Relationship Id="rId534" Type="http://schemas.openxmlformats.org/officeDocument/2006/relationships/hyperlink" Target="https://drive.google.com/file/d/1dq2kS64ZTZKRu33VMKzOyLSWiMxKzhVp/view?usp=drivesdk" TargetMode="External"/><Relationship Id="rId412" Type="http://schemas.openxmlformats.org/officeDocument/2006/relationships/hyperlink" Target="https://drive.google.com/file/d/1uEf9PQFJebBQfRY2pfFEWFfGOLTG8KBW/view?usp=drivesdk" TargetMode="External"/><Relationship Id="rId533" Type="http://schemas.openxmlformats.org/officeDocument/2006/relationships/hyperlink" Target="https://drive.google.com/file/d/1_b-4Kwp5XtT_m-uY0mwp2oJUFUv88kB6/view?usp=drivesdk" TargetMode="External"/><Relationship Id="rId419" Type="http://schemas.openxmlformats.org/officeDocument/2006/relationships/hyperlink" Target="https://drive.google.com/open?id=1IUg-R94Qb8dEJo1PTn_W9Y-7RiPumFwu" TargetMode="External"/><Relationship Id="rId418" Type="http://schemas.openxmlformats.org/officeDocument/2006/relationships/hyperlink" Target="https://drive.google.com/open?id=1IUg-R94Qb8dEJo1PTn_W9Y-7RiPumFwu" TargetMode="External"/><Relationship Id="rId539" Type="http://schemas.openxmlformats.org/officeDocument/2006/relationships/hyperlink" Target="https://drive.google.com/file/d/1_-9My9y2-oSfMk4yI34cRWPEzRPmYIHd/view?usp=drivesdk" TargetMode="External"/><Relationship Id="rId417" Type="http://schemas.openxmlformats.org/officeDocument/2006/relationships/hyperlink" Target="https://drive.google.com/file/d/1ZXiLWSSCkPHyigxIDxoPqhg-DF1m-XNT/view?usp=drivesdk" TargetMode="External"/><Relationship Id="rId538" Type="http://schemas.openxmlformats.org/officeDocument/2006/relationships/hyperlink" Target="https://drive.google.com/open?id=1oOWZgOgWgmyAfj6gh4JsBqC--js0EtVr" TargetMode="External"/><Relationship Id="rId416" Type="http://schemas.openxmlformats.org/officeDocument/2006/relationships/hyperlink" Target="https://drive.google.com/file/d/1XjtqXT-IoD0p9S1OuQ5XCKtHrkeZFZVX/view?usp=drivesdk" TargetMode="External"/><Relationship Id="rId537" Type="http://schemas.openxmlformats.org/officeDocument/2006/relationships/hyperlink" Target="https://drive.google.com/open?id=1FOJDKJF-HHZICTYZ10DlGT40c3sYSwt0" TargetMode="External"/><Relationship Id="rId411" Type="http://schemas.openxmlformats.org/officeDocument/2006/relationships/hyperlink" Target="https://drive.google.com/file/d/1LSdfPJ8i3Tfyd_BeC1O42IvwfyoAOtM_/view?usp=drivesdk" TargetMode="External"/><Relationship Id="rId532" Type="http://schemas.openxmlformats.org/officeDocument/2006/relationships/hyperlink" Target="https://drive.google.com/file/d/1YJpRy93nM-EQzR870Yro48JVpPo5YksB/view?usp=drivesdk" TargetMode="External"/><Relationship Id="rId410" Type="http://schemas.openxmlformats.org/officeDocument/2006/relationships/hyperlink" Target="https://drive.google.com/file/d/10ymyZ8qeukg7GwxUR_TrJf-oCVYVcJLE/view?usp=drivesdk" TargetMode="External"/><Relationship Id="rId531" Type="http://schemas.openxmlformats.org/officeDocument/2006/relationships/hyperlink" Target="https://drive.google.com/file/d/1jqSvyQZYLdLEcqh8QhQGKXk9KduRsRm2/view?usp=drivesdk" TargetMode="External"/><Relationship Id="rId530" Type="http://schemas.openxmlformats.org/officeDocument/2006/relationships/hyperlink" Target="https://drive.google.com/file/d/1FEwZrDBA6vx64n86igpu-z4XY7JDXycb/view?usp=drivesdk" TargetMode="External"/><Relationship Id="rId206" Type="http://schemas.openxmlformats.org/officeDocument/2006/relationships/hyperlink" Target="https://drive.google.com/file/d/1L2d67kuFhCIcEq8Jf4RHsrU0yMepJ3c3/view?usp=drivesdk" TargetMode="External"/><Relationship Id="rId327" Type="http://schemas.openxmlformats.org/officeDocument/2006/relationships/hyperlink" Target="https://drive.google.com/file/d/1pJLjA89lM3ehWZXGr4J1VuIM69XmE0TP/view?usp=drivesdk" TargetMode="External"/><Relationship Id="rId448" Type="http://schemas.openxmlformats.org/officeDocument/2006/relationships/hyperlink" Target="https://drive.google.com/file/d/1yA0zMBjspWdlB7smLYMHMi9WV-GcbBXt/view?usp=drivesdk" TargetMode="External"/><Relationship Id="rId569" Type="http://schemas.openxmlformats.org/officeDocument/2006/relationships/hyperlink" Target="https://drive.google.com/open?id=1QxIIBi-gsvc5p3FMKidp52h_mcv8mmLF" TargetMode="External"/><Relationship Id="rId205" Type="http://schemas.openxmlformats.org/officeDocument/2006/relationships/hyperlink" Target="https://drive.google.com/open?id=1FayBq6HInc1k_goid3QovO6NB1fIvuHW" TargetMode="External"/><Relationship Id="rId326" Type="http://schemas.openxmlformats.org/officeDocument/2006/relationships/hyperlink" Target="https://drive.google.com/file/d/1V1nembpQz6Fc3NggmNVuM-ZNUOn_fFN5/view?usp=drivesdk" TargetMode="External"/><Relationship Id="rId447" Type="http://schemas.openxmlformats.org/officeDocument/2006/relationships/hyperlink" Target="https://drive.google.com/file/d/1G3gXrJQTikLi1f2F3vmW_TqADsE4GwPR/view?usp=drivesdk" TargetMode="External"/><Relationship Id="rId568" Type="http://schemas.openxmlformats.org/officeDocument/2006/relationships/hyperlink" Target="https://drive.google.com/open?id=1nOwakFr7aPP9OYvhLk2ZT4YDsW9EXuav" TargetMode="External"/><Relationship Id="rId204" Type="http://schemas.openxmlformats.org/officeDocument/2006/relationships/hyperlink" Target="https://drive.google.com/open?id=1VgtGK0TI3n7prd1kNTH5e9AkkpFyKoN1" TargetMode="External"/><Relationship Id="rId325" Type="http://schemas.openxmlformats.org/officeDocument/2006/relationships/hyperlink" Target="https://drive.google.com/file/d/1kdS8mkWUgNa9QTEtc5tnAu7mBLLraBFH/view?usp=drivesdk" TargetMode="External"/><Relationship Id="rId446" Type="http://schemas.openxmlformats.org/officeDocument/2006/relationships/hyperlink" Target="https://drive.google.com/file/d/1gP-vEFRno62ONepz-2dLVYnMxkZyQVzC/view?usp=drivesdk" TargetMode="External"/><Relationship Id="rId567" Type="http://schemas.openxmlformats.org/officeDocument/2006/relationships/hyperlink" Target="https://drive.google.com/open?id=19UJ5rU-zntMffJY80L-kaCiPTJRs8iR2" TargetMode="External"/><Relationship Id="rId203" Type="http://schemas.openxmlformats.org/officeDocument/2006/relationships/hyperlink" Target="https://drive.google.com/open?id=1aojx3cVSh4nYaoAtsf75twoShs2b5YCK" TargetMode="External"/><Relationship Id="rId324" Type="http://schemas.openxmlformats.org/officeDocument/2006/relationships/hyperlink" Target="https://drive.google.com/file/d/109vGtiBT_TLZsdFzun8mM8WesmB4l_I8/view?usp=drivesdk" TargetMode="External"/><Relationship Id="rId445" Type="http://schemas.openxmlformats.org/officeDocument/2006/relationships/hyperlink" Target="https://drive.google.com/file/d/1FNOEPLWTJ_uhgD12KhP9etcO6cLz3xTq/view?usp=drivesdk" TargetMode="External"/><Relationship Id="rId566" Type="http://schemas.openxmlformats.org/officeDocument/2006/relationships/hyperlink" Target="https://drive.google.com/file/d/1i6ctwtkpO8PWx5aARscu7G5K_d-M2rYK/view?usp=drivesdk" TargetMode="External"/><Relationship Id="rId209" Type="http://schemas.openxmlformats.org/officeDocument/2006/relationships/hyperlink" Target="https://drive.google.com/open?id=1dJ6AJD1mXKbqGaOldlkvVKuv5IHCdiKR" TargetMode="External"/><Relationship Id="rId208" Type="http://schemas.openxmlformats.org/officeDocument/2006/relationships/hyperlink" Target="https://drive.google.com/open?id=1dJ6AJD1mXKbqGaOldlkvVKuv5IHCdiKR" TargetMode="External"/><Relationship Id="rId329" Type="http://schemas.openxmlformats.org/officeDocument/2006/relationships/hyperlink" Target="https://drive.google.com/file/d/1BPAPZB8ZbzFFuewL1ZDW0Ac_d64JyNpX/view?usp=drivesdk" TargetMode="External"/><Relationship Id="rId207" Type="http://schemas.openxmlformats.org/officeDocument/2006/relationships/hyperlink" Target="https://drive.google.com/file/d/1CgerIFrGVd_kxSpV6-JCYl17ZJxAAf4d/view?usp=drivesdk" TargetMode="External"/><Relationship Id="rId328" Type="http://schemas.openxmlformats.org/officeDocument/2006/relationships/hyperlink" Target="https://drive.google.com/file/d/1JIqvyhIPr2zNp7qEnwEbJZFmOafAs6uM/view?usp=drivesdk" TargetMode="External"/><Relationship Id="rId449" Type="http://schemas.openxmlformats.org/officeDocument/2006/relationships/hyperlink" Target="https://drive.google.com/open?id=1NigQ8yM13mERE3MetXxjl4DUtWN_KrVM" TargetMode="External"/><Relationship Id="rId440" Type="http://schemas.openxmlformats.org/officeDocument/2006/relationships/hyperlink" Target="https://drive.google.com/open?id=1gihAW_XrlmkiE2e__loUHR6Th8f5cANa" TargetMode="External"/><Relationship Id="rId561" Type="http://schemas.openxmlformats.org/officeDocument/2006/relationships/hyperlink" Target="https://drive.google.com/file/d/1XKfofz9kUD5UyLlFo4HgZy_WWks2QrmA/view?usp=drivesdk" TargetMode="External"/><Relationship Id="rId560" Type="http://schemas.openxmlformats.org/officeDocument/2006/relationships/hyperlink" Target="https://drive.google.com/file/d/1pAaQxYVjR9lQafyhuBw8n2L3-SLcH9-r/view?usp=drivesdk" TargetMode="External"/><Relationship Id="rId202" Type="http://schemas.openxmlformats.org/officeDocument/2006/relationships/hyperlink" Target="https://drive.google.com/open?id=1aojx3cVSh4nYaoAtsf75twoShs2b5YCK" TargetMode="External"/><Relationship Id="rId323" Type="http://schemas.openxmlformats.org/officeDocument/2006/relationships/hyperlink" Target="https://drive.google.com/file/d/1e8BfPcyeLRvJDMWqUHitMQN_usN1CyPc/view?usp=drivesdk" TargetMode="External"/><Relationship Id="rId444" Type="http://schemas.openxmlformats.org/officeDocument/2006/relationships/hyperlink" Target="https://drive.google.com/file/d/1XsHHjOi-f48nnjVTa5BMqHGHsWeVmPcm/view?usp=drivesdk" TargetMode="External"/><Relationship Id="rId565" Type="http://schemas.openxmlformats.org/officeDocument/2006/relationships/hyperlink" Target="https://drive.google.com/open?id=1avq75P8QtPmSLrjLLvuM6ptlCuiObBuj" TargetMode="External"/><Relationship Id="rId201" Type="http://schemas.openxmlformats.org/officeDocument/2006/relationships/hyperlink" Target="https://drive.google.com/file/d/1G6uJTV5plEkF19tSOuydUPKw9rQ13NLw/view?usp=drivesdk" TargetMode="External"/><Relationship Id="rId322" Type="http://schemas.openxmlformats.org/officeDocument/2006/relationships/hyperlink" Target="https://drive.google.com/file/d/1EDbF36sL_AMHBsw4VByfQXFhT1W0iOuU/view?usp=drivesdk" TargetMode="External"/><Relationship Id="rId443" Type="http://schemas.openxmlformats.org/officeDocument/2006/relationships/hyperlink" Target="https://drive.google.com/file/d/1IkYKMwSYm7LyruPfqyxSciZysVIeM0HS/view?usp=drivesdk" TargetMode="External"/><Relationship Id="rId564" Type="http://schemas.openxmlformats.org/officeDocument/2006/relationships/hyperlink" Target="https://drive.google.com/file/d/1XXJqnRuxu6kubCtRoXLnvt7pMCI0OKFW/view?usp=drivesdk" TargetMode="External"/><Relationship Id="rId200" Type="http://schemas.openxmlformats.org/officeDocument/2006/relationships/hyperlink" Target="https://drive.google.com/file/d/1RflwiVEYzAp4QvEM9I4Q15XM0CmSgJfs/view?usp=drivesdk" TargetMode="External"/><Relationship Id="rId321" Type="http://schemas.openxmlformats.org/officeDocument/2006/relationships/hyperlink" Target="https://drive.google.com/file/d/1S4inA6m5t_4IIB7Xjidd-i_8BEHp7PCA/view?usp=drivesdk" TargetMode="External"/><Relationship Id="rId442" Type="http://schemas.openxmlformats.org/officeDocument/2006/relationships/hyperlink" Target="https://drive.google.com/open?id=1_sVSOx3Ce93i6LzFqEByFTDSgg68Xi81" TargetMode="External"/><Relationship Id="rId563" Type="http://schemas.openxmlformats.org/officeDocument/2006/relationships/hyperlink" Target="https://drive.google.com/file/d/1HyqeI0c_Xe4vBETZjLEyDW4frYCLCCJW/view?usp=drivesdk" TargetMode="External"/><Relationship Id="rId320" Type="http://schemas.openxmlformats.org/officeDocument/2006/relationships/hyperlink" Target="https://drive.google.com/file/d/1Zh22g3-NcExWEN8ZIGauXM3nM7HeurZb/view?usp=drivesdk" TargetMode="External"/><Relationship Id="rId441" Type="http://schemas.openxmlformats.org/officeDocument/2006/relationships/hyperlink" Target="https://drive.google.com/open?id=12WvI_RoMynDTkr5D6sF3pAHQ6XMNSjrn" TargetMode="External"/><Relationship Id="rId562" Type="http://schemas.openxmlformats.org/officeDocument/2006/relationships/hyperlink" Target="https://drive.google.com/file/d/1CD1Z8agnKsvCgT22dyqZwx0jK-Lz1UKO/view?usp=drivesdk" TargetMode="External"/><Relationship Id="rId316" Type="http://schemas.openxmlformats.org/officeDocument/2006/relationships/hyperlink" Target="https://drive.google.com/file/d/1Q8R1ErP6wJ7_STslHdojZoN0N7We09Il/view?usp=drivesdk" TargetMode="External"/><Relationship Id="rId437" Type="http://schemas.openxmlformats.org/officeDocument/2006/relationships/hyperlink" Target="https://drive.google.com/file/d/1HFiJBKJOfCow1GFZMpwfaxv0vp0zlJAm/view?usp=drivesdk" TargetMode="External"/><Relationship Id="rId558" Type="http://schemas.openxmlformats.org/officeDocument/2006/relationships/hyperlink" Target="https://drive.google.com/file/d/1CIbbRhKJzRf7Z0iEWYypn9qK4N8aKJjW/view?usp=drivesdk" TargetMode="External"/><Relationship Id="rId315" Type="http://schemas.openxmlformats.org/officeDocument/2006/relationships/hyperlink" Target="https://drive.google.com/file/d/1Uax0kzD9SEmKxEcSONSEyIOB65EJi-kz/view?usp=drivesdk" TargetMode="External"/><Relationship Id="rId436" Type="http://schemas.openxmlformats.org/officeDocument/2006/relationships/hyperlink" Target="https://drive.google.com/file/d/1TbHsjt0aW_S-NHLU04tnBVyGqSoKmYx5/view?usp=drivesdk" TargetMode="External"/><Relationship Id="rId557" Type="http://schemas.openxmlformats.org/officeDocument/2006/relationships/hyperlink" Target="https://drive.google.com/open?id=1dTXddgIzVH4gpylKiJVHHpZjdKOuAtzB" TargetMode="External"/><Relationship Id="rId314" Type="http://schemas.openxmlformats.org/officeDocument/2006/relationships/hyperlink" Target="https://drive.google.com/file/d/1RIYmENmESBON1kQPsDOM0w3cfOwIlUkR/view?usp=drivesdk" TargetMode="External"/><Relationship Id="rId435" Type="http://schemas.openxmlformats.org/officeDocument/2006/relationships/hyperlink" Target="https://drive.google.com/open?id=1DibU20GjXoY2Lr0ECs9s9AAVP9A5RjJ3" TargetMode="External"/><Relationship Id="rId556" Type="http://schemas.openxmlformats.org/officeDocument/2006/relationships/hyperlink" Target="https://drive.google.com/open?id=1cwe04KA_CAYOywydoxQVCqO10P6DDSFV" TargetMode="External"/><Relationship Id="rId313" Type="http://schemas.openxmlformats.org/officeDocument/2006/relationships/hyperlink" Target="https://drive.google.com/file/d/1XrDS6JJVAsO4Cf9LEsU58Be3N6JT1JKr/view?usp=drivesdk" TargetMode="External"/><Relationship Id="rId434" Type="http://schemas.openxmlformats.org/officeDocument/2006/relationships/hyperlink" Target="https://drive.google.com/open?id=1pyA4HMWt-Kr9D-0tgF5Z-BXVPr0ORbtY" TargetMode="External"/><Relationship Id="rId555" Type="http://schemas.openxmlformats.org/officeDocument/2006/relationships/hyperlink" Target="https://drive.google.com/open?id=11gSOTFT9XsbZW1vW4X8BlXFJymqUCnpI" TargetMode="External"/><Relationship Id="rId319" Type="http://schemas.openxmlformats.org/officeDocument/2006/relationships/hyperlink" Target="https://drive.google.com/file/d/1fkdCgb-fjl41aCqQ2BhViWB--CdfWMPt/view?usp=drivesdk" TargetMode="External"/><Relationship Id="rId318" Type="http://schemas.openxmlformats.org/officeDocument/2006/relationships/hyperlink" Target="https://drive.google.com/file/d/1OuzwLiXM0lOraTCPLzvRsTLz2QWDeYfD/view?usp=drivesdk" TargetMode="External"/><Relationship Id="rId439" Type="http://schemas.openxmlformats.org/officeDocument/2006/relationships/hyperlink" Target="https://drive.google.com/open?id=1jZhmFDbDjZhiRMrnaavYjlgEh_4gd97w" TargetMode="External"/><Relationship Id="rId317" Type="http://schemas.openxmlformats.org/officeDocument/2006/relationships/hyperlink" Target="https://drive.google.com/file/d/1qj7ZRo_Bn-QudfVdHSRdSKUiQtnC6Uie/view?usp=drivesdk" TargetMode="External"/><Relationship Id="rId438" Type="http://schemas.openxmlformats.org/officeDocument/2006/relationships/hyperlink" Target="https://drive.google.com/open?id=1jZhmFDbDjZhiRMrnaavYjlgEh_4gd97w" TargetMode="External"/><Relationship Id="rId559" Type="http://schemas.openxmlformats.org/officeDocument/2006/relationships/hyperlink" Target="https://drive.google.com/file/d/1oQku-OqXkG_zGhtejG45zR3REoo8EJ49/view?usp=drivesdk" TargetMode="External"/><Relationship Id="rId550" Type="http://schemas.openxmlformats.org/officeDocument/2006/relationships/hyperlink" Target="https://drive.google.com/file/d/1ss6d4e0tUFGwQSvuMaj1Ike1xMYREipM/view?usp=drivesdk" TargetMode="External"/><Relationship Id="rId312" Type="http://schemas.openxmlformats.org/officeDocument/2006/relationships/hyperlink" Target="https://drive.google.com/file/d/16w6eHi1d9Yd5_QoLt97NNRf8KQgGevzC/view?usp=drivesdk" TargetMode="External"/><Relationship Id="rId433" Type="http://schemas.openxmlformats.org/officeDocument/2006/relationships/hyperlink" Target="https://drive.google.com/open?id=1s1mPCBzUJQtNt8LEcm3XPRxk5QW-CKqp" TargetMode="External"/><Relationship Id="rId554" Type="http://schemas.openxmlformats.org/officeDocument/2006/relationships/hyperlink" Target="https://drive.google.com/open?id=11gSOTFT9XsbZW1vW4X8BlXFJymqUCnpI" TargetMode="External"/><Relationship Id="rId311" Type="http://schemas.openxmlformats.org/officeDocument/2006/relationships/hyperlink" Target="https://drive.google.com/open?id=1mEd3-9kXmco-S5h9ru60RoMkEbijATyz" TargetMode="External"/><Relationship Id="rId432" Type="http://schemas.openxmlformats.org/officeDocument/2006/relationships/hyperlink" Target="https://drive.google.com/open?id=1orWH6DV7P_60t1N0hy4Zo88Qo0QQOVHm" TargetMode="External"/><Relationship Id="rId553" Type="http://schemas.openxmlformats.org/officeDocument/2006/relationships/hyperlink" Target="https://drive.google.com/file/d/1Rc_yWqYe6oG4iEcqWEwDiepRnIcfi8f0/view?usp=drivesdk" TargetMode="External"/><Relationship Id="rId310" Type="http://schemas.openxmlformats.org/officeDocument/2006/relationships/hyperlink" Target="https://drive.google.com/open?id=1mEd3-9kXmco-S5h9ru60RoMkEbijATyz" TargetMode="External"/><Relationship Id="rId431" Type="http://schemas.openxmlformats.org/officeDocument/2006/relationships/hyperlink" Target="https://drive.google.com/open?id=1orWH6DV7P_60t1N0hy4Zo88Qo0QQOVHm" TargetMode="External"/><Relationship Id="rId552" Type="http://schemas.openxmlformats.org/officeDocument/2006/relationships/hyperlink" Target="https://drive.google.com/file/d/1cA4R_ghYEPl_evjizMticLHTHrlRy_PQ/view?usp=drivesdk" TargetMode="External"/><Relationship Id="rId430" Type="http://schemas.openxmlformats.org/officeDocument/2006/relationships/hyperlink" Target="https://drive.google.com/file/d/1tTa_bLqyCNdWb6YOVdBWwkEz6CxOKHMR/view?usp=drivesdk" TargetMode="External"/><Relationship Id="rId551" Type="http://schemas.openxmlformats.org/officeDocument/2006/relationships/hyperlink" Target="https://drive.google.com/file/d/1Gcgd3Rk68JTSF1RIWcKsESrSU2S9sz8f/view?usp=drivesd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5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hidden="1" min="3" max="4" width="12.63"/>
    <col customWidth="1" min="5" max="5" width="39.5"/>
    <col hidden="1" min="6" max="19" width="12.63"/>
    <col customWidth="1" min="20" max="20" width="17.5"/>
    <col customWidth="1" min="22" max="22" width="18.0"/>
    <col customWidth="1" min="23" max="23" width="16.63"/>
    <col customWidth="1" min="24" max="24" width="19.0"/>
    <col customWidth="1" min="25" max="25" width="16.63"/>
    <col customWidth="1" min="26" max="26" width="16.38"/>
    <col customWidth="1" min="27" max="27" width="16.63"/>
    <col customWidth="1" min="28" max="28" width="17.63"/>
    <col customWidth="1" min="29" max="29" width="16.63"/>
    <col customWidth="1" min="30" max="30" width="20.63"/>
    <col customWidth="1" min="31" max="31" width="13.38"/>
    <col hidden="1" min="32" max="45" width="12.63"/>
  </cols>
  <sheetData>
    <row r="1" ht="28.5" customHeight="1">
      <c r="A1" s="1"/>
      <c r="B1" s="3" t="s">
        <v>1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ht="28.5" customHeight="1">
      <c r="A2" s="1" t="str">
        <f>IFERROR(__xludf.DUMMYFUNCTION("QUERY(
  'Data MT Pola Sewa'!$A$6:$AI$85,
  ""select * 
   where U matches 'Akan Habis|Habis|Habis dalam 7-1 Hari' 
      or W matches 'Akan Habis|Habis|Habis dalam 7-1 Hari' 
      or Y matches 'Akan Habis|Habis|Habis dalam 7-1 Hari' 
      or AA matches"&amp;" 'Akan Habis|Habis|Habis dalam 7-1 Hari' 
      or AC matches 'Akan Habis|Habis|Habis dalam 7-1 Hari' 
      or AE matches 'Akan Habis|Habis|Habis dalam 7-1 Hari'"",
  1
)"),"NO")</f>
        <v>NO</v>
      </c>
      <c r="B2" s="13" t="str">
        <f>IFERROR(__xludf.DUMMYFUNCTION("""COMPUTED_VALUE"""),"NOPOL")</f>
        <v>NOPOL</v>
      </c>
      <c r="C2" s="13" t="str">
        <f>IFERROR(__xludf.DUMMYFUNCTION("""COMPUTED_VALUE"""),"KAP")</f>
        <v>KAP</v>
      </c>
      <c r="D2" s="13" t="str">
        <f>IFERROR(__xludf.DUMMYFUNCTION("""COMPUTED_VALUE"""),"")</f>
        <v/>
      </c>
      <c r="E2" s="13" t="str">
        <f>IFERROR(__xludf.DUMMYFUNCTION("""COMPUTED_VALUE"""),"TRANSPORTIR")</f>
        <v>TRANSPORTIR</v>
      </c>
      <c r="F2" s="13" t="str">
        <f>IFERROR(__xludf.DUMMYFUNCTION("""COMPUTED_VALUE"""),"TAHUN PEMBUATAN")</f>
        <v>TAHUN PEMBUATAN</v>
      </c>
      <c r="G2" s="13" t="str">
        <f>IFERROR(__xludf.DUMMYFUNCTION("""COMPUTED_VALUE"""),"REGISTRASI")</f>
        <v>REGISTRASI</v>
      </c>
      <c r="H2" s="13" t="str">
        <f>IFERROR(__xludf.DUMMYFUNCTION("""COMPUTED_VALUE"""),"MASA PEMAKAIAN HEAD")</f>
        <v>MASA PEMAKAIAN HEAD</v>
      </c>
      <c r="I2" s="13" t="str">
        <f>IFERROR(__xludf.DUMMYFUNCTION("""COMPUTED_VALUE"""),"TYPE")</f>
        <v>TYPE</v>
      </c>
      <c r="J2" s="13" t="str">
        <f>IFERROR(__xludf.DUMMYFUNCTION("""COMPUTED_VALUE"""),"CC")</f>
        <v>CC</v>
      </c>
      <c r="K2" s="13" t="str">
        <f>IFERROR(__xludf.DUMMYFUNCTION("""COMPUTED_VALUE"""),"EMISI MESIN")</f>
        <v>EMISI MESIN</v>
      </c>
      <c r="L2" s="13" t="str">
        <f>IFERROR(__xludf.DUMMYFUNCTION("""COMPUTED_VALUE"""),"JENIS (PTO/Standart)")</f>
        <v>JENIS (PTO/Standart)</v>
      </c>
      <c r="M2" s="13" t="str">
        <f>IFERROR(__xludf.DUMMYFUNCTION("""COMPUTED_VALUE"""),"KAROSERI")</f>
        <v>KAROSERI</v>
      </c>
      <c r="N2" s="13" t="str">
        <f>IFERROR(__xludf.DUMMYFUNCTION("""COMPUTED_VALUE"""),"TAHUN TANGKI")</f>
        <v>TAHUN TANGKI</v>
      </c>
      <c r="O2" s="13" t="str">
        <f>IFERROR(__xludf.DUMMYFUNCTION("""COMPUTED_VALUE"""),"MASA PEMAKAIAN TANGKI")</f>
        <v>MASA PEMAKAIAN TANGKI</v>
      </c>
      <c r="P2" s="13" t="str">
        <f>IFERROR(__xludf.DUMMYFUNCTION("""COMPUTED_VALUE"""),"MATERIAL TANGKI")</f>
        <v>MATERIAL TANGKI</v>
      </c>
      <c r="Q2" s="13" t="str">
        <f>IFERROR(__xludf.DUMMYFUNCTION("""COMPUTED_VALUE"""),"MERK")</f>
        <v>MERK</v>
      </c>
      <c r="R2" s="13" t="str">
        <f>IFERROR(__xludf.DUMMYFUNCTION("""COMPUTED_VALUE"""),"NO MESIN")</f>
        <v>NO MESIN</v>
      </c>
      <c r="S2" s="13" t="str">
        <f>IFERROR(__xludf.DUMMYFUNCTION("""COMPUTED_VALUE"""),"NO RANGKA")</f>
        <v>NO RANGKA</v>
      </c>
      <c r="T2" s="13" t="str">
        <f>IFERROR(__xludf.DUMMYFUNCTION("""COMPUTED_VALUE"""),"Tanggal  STNK")</f>
        <v>Tanggal  STNK</v>
      </c>
      <c r="U2" s="13" t="str">
        <f>IFERROR(__xludf.DUMMYFUNCTION("""COMPUTED_VALUE"""),"Status")</f>
        <v>Status</v>
      </c>
      <c r="V2" s="13" t="str">
        <f>IFERROR(__xludf.DUMMYFUNCTION("""COMPUTED_VALUE"""),"Tanggal PAJAK ")</f>
        <v>Tanggal PAJAK </v>
      </c>
      <c r="W2" s="13" t="str">
        <f>IFERROR(__xludf.DUMMYFUNCTION("""COMPUTED_VALUE"""),"Status")</f>
        <v>Status</v>
      </c>
      <c r="X2" s="13" t="str">
        <f>IFERROR(__xludf.DUMMYFUNCTION("""COMPUTED_VALUE"""),"Tanggal KEUR")</f>
        <v>Tanggal KEUR</v>
      </c>
      <c r="Y2" s="13" t="str">
        <f>IFERROR(__xludf.DUMMYFUNCTION("""COMPUTED_VALUE"""),"Status")</f>
        <v>Status</v>
      </c>
      <c r="Z2" s="13" t="str">
        <f>IFERROR(__xludf.DUMMYFUNCTION("""COMPUTED_VALUE"""),"Tanggal KIM")</f>
        <v>Tanggal KIM</v>
      </c>
      <c r="AA2" s="13" t="str">
        <f>IFERROR(__xludf.DUMMYFUNCTION("""COMPUTED_VALUE"""),"Status")</f>
        <v>Status</v>
      </c>
      <c r="AB2" s="13" t="str">
        <f>IFERROR(__xludf.DUMMYFUNCTION("""COMPUTED_VALUE"""),"Tanggal Tera")</f>
        <v>Tanggal Tera</v>
      </c>
      <c r="AC2" s="13" t="str">
        <f>IFERROR(__xludf.DUMMYFUNCTION("""COMPUTED_VALUE"""),"Status")</f>
        <v>Status</v>
      </c>
      <c r="AD2" s="13" t="str">
        <f>IFERROR(__xludf.DUMMYFUNCTION("""COMPUTED_VALUE"""),"Tanggal KEDAP")</f>
        <v>Tanggal KEDAP</v>
      </c>
      <c r="AE2" s="13" t="str">
        <f>IFERROR(__xludf.DUMMYFUNCTION("""COMPUTED_VALUE"""),"Status")</f>
        <v>Status</v>
      </c>
      <c r="AF2" s="13" t="str">
        <f>IFERROR(__xludf.DUMMYFUNCTION("""COMPUTED_VALUE"""),"Asuransi ")</f>
        <v>Asuransi </v>
      </c>
      <c r="AG2" s="13" t="str">
        <f>IFERROR(__xludf.DUMMYFUNCTION("""COMPUTED_VALUE"""),"Status")</f>
        <v>Status</v>
      </c>
      <c r="AH2" s="6" t="str">
        <f>IFERROR(__xludf.DUMMYFUNCTION("""COMPUTED_VALUE"""),"")</f>
        <v/>
      </c>
      <c r="AI2" s="6" t="str">
        <f>IFERROR(__xludf.DUMMYFUNCTION("""COMPUTED_VALUE"""),"")</f>
        <v/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>
      <c r="A3" s="6">
        <f>IFERROR(__xludf.DUMMYFUNCTION("""COMPUTED_VALUE"""),7.0)</f>
        <v>7</v>
      </c>
      <c r="B3" s="6" t="str">
        <f>IFERROR(__xludf.DUMMYFUNCTION("""COMPUTED_VALUE"""),"B9300TFV")</f>
        <v>B9300TFV</v>
      </c>
      <c r="C3" s="6" t="str">
        <f>IFERROR(__xludf.DUMMYFUNCTION("""COMPUTED_VALUE"""),"8+8")</f>
        <v>8+8</v>
      </c>
      <c r="D3" s="6">
        <f>IFERROR(__xludf.DUMMYFUNCTION("""COMPUTED_VALUE"""),16.0)</f>
        <v>16</v>
      </c>
      <c r="E3" s="6" t="str">
        <f>IFERROR(__xludf.DUMMYFUNCTION("""COMPUTED_VALUE"""),"PT. ADAM TRANS")</f>
        <v>PT. ADAM TRANS</v>
      </c>
      <c r="F3" s="6">
        <f>IFERROR(__xludf.DUMMYFUNCTION("""COMPUTED_VALUE"""),2022.0)</f>
        <v>2022</v>
      </c>
      <c r="G3" s="6">
        <f>IFERROR(__xludf.DUMMYFUNCTION("""COMPUTED_VALUE"""),2022.0)</f>
        <v>2022</v>
      </c>
      <c r="H3" s="6">
        <f>IFERROR(__xludf.DUMMYFUNCTION("""COMPUTED_VALUE"""),4.0)</f>
        <v>4</v>
      </c>
      <c r="I3" s="6" t="str">
        <f>IFERROR(__xludf.DUMMYFUNCTION("""COMPUTED_VALUE"""),"FL8JN2A-PGJ")</f>
        <v>FL8JN2A-PGJ</v>
      </c>
      <c r="J3" s="6">
        <f>IFERROR(__xludf.DUMMYFUNCTION("""COMPUTED_VALUE"""),7684.0)</f>
        <v>7684</v>
      </c>
      <c r="K3" s="6" t="str">
        <f>IFERROR(__xludf.DUMMYFUNCTION("""COMPUTED_VALUE"""),"EURO 4")</f>
        <v>EURO 4</v>
      </c>
      <c r="L3" s="6" t="str">
        <f>IFERROR(__xludf.DUMMYFUNCTION("""COMPUTED_VALUE"""),"Standart")</f>
        <v>Standart</v>
      </c>
      <c r="M3" s="6" t="str">
        <f>IFERROR(__xludf.DUMMYFUNCTION("""COMPUTED_VALUE"""),"Geluran Adikarya")</f>
        <v>Geluran Adikarya</v>
      </c>
      <c r="N3" s="6">
        <f>IFERROR(__xludf.DUMMYFUNCTION("""COMPUTED_VALUE"""),2022.0)</f>
        <v>2022</v>
      </c>
      <c r="O3" s="6">
        <f>IFERROR(__xludf.DUMMYFUNCTION("""COMPUTED_VALUE"""),4.0)</f>
        <v>4</v>
      </c>
      <c r="P3" s="6" t="str">
        <f>IFERROR(__xludf.DUMMYFUNCTION("""COMPUTED_VALUE"""),"CS")</f>
        <v>CS</v>
      </c>
      <c r="Q3" s="6" t="str">
        <f>IFERROR(__xludf.DUMMYFUNCTION("""COMPUTED_VALUE"""),"HINO")</f>
        <v>HINO</v>
      </c>
      <c r="R3" s="6" t="str">
        <f>IFERROR(__xludf.DUMMYFUNCTION("""COMPUTED_VALUE"""),"J08EWEJ12088")</f>
        <v>J08EWEJ12088</v>
      </c>
      <c r="S3" s="6" t="str">
        <f>IFERROR(__xludf.DUMMYFUNCTION("""COMPUTED_VALUE"""),"MJEFL8JN2NJP10126")</f>
        <v>MJEFL8JN2NJP10126</v>
      </c>
      <c r="T3" s="31">
        <f>IFERROR(__xludf.DUMMYFUNCTION("""COMPUTED_VALUE"""),46730.0)</f>
        <v>46730</v>
      </c>
      <c r="U3" s="6" t="str">
        <f>IFERROR(__xludf.DUMMYFUNCTION("""COMPUTED_VALUE"""),"Berlaku")</f>
        <v>Berlaku</v>
      </c>
      <c r="V3" s="31">
        <f>IFERROR(__xludf.DUMMYFUNCTION("""COMPUTED_VALUE"""),46365.0)</f>
        <v>46365</v>
      </c>
      <c r="W3" s="6" t="str">
        <f>IFERROR(__xludf.DUMMYFUNCTION("""COMPUTED_VALUE"""),"Berlaku")</f>
        <v>Berlaku</v>
      </c>
      <c r="X3" s="31"/>
      <c r="Y3" s="6" t="str">
        <f>IFERROR(__xludf.DUMMYFUNCTION("""COMPUTED_VALUE"""),"Habis")</f>
        <v>Habis</v>
      </c>
      <c r="Z3" s="31">
        <f>IFERROR(__xludf.DUMMYFUNCTION("""COMPUTED_VALUE"""),46303.0)</f>
        <v>46303</v>
      </c>
      <c r="AA3" s="6" t="str">
        <f>IFERROR(__xludf.DUMMYFUNCTION("""COMPUTED_VALUE"""),"Akan Habis")</f>
        <v>Akan Habis</v>
      </c>
      <c r="AB3" s="31">
        <f>IFERROR(__xludf.DUMMYFUNCTION("""COMPUTED_VALUE"""),46337.0)</f>
        <v>46337</v>
      </c>
      <c r="AC3" s="6" t="str">
        <f>IFERROR(__xludf.DUMMYFUNCTION("""COMPUTED_VALUE"""),"Akan Habis")</f>
        <v>Akan Habis</v>
      </c>
      <c r="AD3" s="33">
        <f>IFERROR(__xludf.DUMMYFUNCTION("""COMPUTED_VALUE"""),46347.0)</f>
        <v>46347</v>
      </c>
      <c r="AE3" s="6" t="str">
        <f>IFERROR(__xludf.DUMMYFUNCTION("""COMPUTED_VALUE"""),"Berlaku")</f>
        <v>Berlaku</v>
      </c>
      <c r="AF3" s="6" t="str">
        <f>IFERROR(__xludf.DUMMYFUNCTION("""COMPUTED_VALUE"""),"TUGU")</f>
        <v>TUGU</v>
      </c>
      <c r="AG3" s="6" t="str">
        <f>IFERROR(__xludf.DUMMYFUNCTION("""COMPUTED_VALUE"""),"AKTIF ")</f>
        <v>AKTIF </v>
      </c>
      <c r="AH3" s="6"/>
      <c r="AI3" s="6" t="str">
        <f>IFERROR(__xludf.DUMMYFUNCTION("""COMPUTED_VALUE"""),"R1880CK")</f>
        <v>R1880CK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hidden="1">
      <c r="A4" s="6">
        <f>IFERROR(__xludf.DUMMYFUNCTION("""COMPUTED_VALUE"""),8.0)</f>
        <v>8</v>
      </c>
      <c r="B4" s="6" t="str">
        <f>IFERROR(__xludf.DUMMYFUNCTION("""COMPUTED_VALUE"""),"B9378TFV")</f>
        <v>B9378TFV</v>
      </c>
      <c r="C4" s="6" t="str">
        <f>IFERROR(__xludf.DUMMYFUNCTION("""COMPUTED_VALUE"""),"8+8")</f>
        <v>8+8</v>
      </c>
      <c r="D4" s="6">
        <f>IFERROR(__xludf.DUMMYFUNCTION("""COMPUTED_VALUE"""),16.0)</f>
        <v>16</v>
      </c>
      <c r="E4" s="6" t="str">
        <f>IFERROR(__xludf.DUMMYFUNCTION("""COMPUTED_VALUE"""),"PT. ADAM TRANS")</f>
        <v>PT. ADAM TRANS</v>
      </c>
      <c r="F4" s="6">
        <f>IFERROR(__xludf.DUMMYFUNCTION("""COMPUTED_VALUE"""),2023.0)</f>
        <v>2023</v>
      </c>
      <c r="G4" s="6">
        <f>IFERROR(__xludf.DUMMYFUNCTION("""COMPUTED_VALUE"""),2023.0)</f>
        <v>2023</v>
      </c>
      <c r="H4" s="6">
        <f>IFERROR(__xludf.DUMMYFUNCTION("""COMPUTED_VALUE"""),3.0)</f>
        <v>3</v>
      </c>
      <c r="I4" s="6" t="str">
        <f>IFERROR(__xludf.DUMMYFUNCTION("""COMPUTED_VALUE"""),"2523 R/4500 6X2 MT")</f>
        <v>2523 R/4500 6X2 MT</v>
      </c>
      <c r="J4" s="6">
        <f>IFERROR(__xludf.DUMMYFUNCTION("""COMPUTED_VALUE"""),6374.0)</f>
        <v>6374</v>
      </c>
      <c r="K4" s="6" t="str">
        <f>IFERROR(__xludf.DUMMYFUNCTION("""COMPUTED_VALUE"""),"EURO 5")</f>
        <v>EURO 5</v>
      </c>
      <c r="L4" s="6" t="str">
        <f>IFERROR(__xludf.DUMMYFUNCTION("""COMPUTED_VALUE"""),"Standart")</f>
        <v>Standart</v>
      </c>
      <c r="M4" s="6" t="str">
        <f>IFERROR(__xludf.DUMMYFUNCTION("""COMPUTED_VALUE"""),"Meco")</f>
        <v>Meco</v>
      </c>
      <c r="N4" s="6">
        <f>IFERROR(__xludf.DUMMYFUNCTION("""COMPUTED_VALUE"""),2023.0)</f>
        <v>2023</v>
      </c>
      <c r="O4" s="6">
        <f>IFERROR(__xludf.DUMMYFUNCTION("""COMPUTED_VALUE"""),3.0)</f>
        <v>3</v>
      </c>
      <c r="P4" s="6" t="str">
        <f>IFERROR(__xludf.DUMMYFUNCTION("""COMPUTED_VALUE"""),"CS")</f>
        <v>CS</v>
      </c>
      <c r="Q4" s="6" t="str">
        <f>IFERROR(__xludf.DUMMYFUNCTION("""COMPUTED_VALUE"""),"MERCEDES BENZ")</f>
        <v>MERCEDES BENZ</v>
      </c>
      <c r="R4" s="6" t="str">
        <f>IFERROR(__xludf.DUMMYFUNCTION("""COMPUTED_VALUE"""),"400952D0139091")</f>
        <v>400952D0139091</v>
      </c>
      <c r="S4" s="6" t="str">
        <f>IFERROR(__xludf.DUMMYFUNCTION("""COMPUTED_VALUE"""),"MEC2126BAPP133277")</f>
        <v>MEC2126BAPP133277</v>
      </c>
      <c r="T4" s="31">
        <f>IFERROR(__xludf.DUMMYFUNCTION("""COMPUTED_VALUE"""),47025.0)</f>
        <v>47025</v>
      </c>
      <c r="U4" s="6" t="str">
        <f>IFERROR(__xludf.DUMMYFUNCTION("""COMPUTED_VALUE"""),"Berlaku")</f>
        <v>Berlaku</v>
      </c>
      <c r="V4" s="31">
        <f>IFERROR(__xludf.DUMMYFUNCTION("""COMPUTED_VALUE"""),46659.0)</f>
        <v>46659</v>
      </c>
      <c r="W4" s="6" t="str">
        <f>IFERROR(__xludf.DUMMYFUNCTION("""COMPUTED_VALUE"""),"Berlaku")</f>
        <v>Berlaku</v>
      </c>
      <c r="X4" s="31"/>
      <c r="Y4" s="6" t="str">
        <f>IFERROR(__xludf.DUMMYFUNCTION("""COMPUTED_VALUE"""),"Habis")</f>
        <v>Habis</v>
      </c>
      <c r="Z4" s="31">
        <f>IFERROR(__xludf.DUMMYFUNCTION("""COMPUTED_VALUE"""),46446.0)</f>
        <v>46446</v>
      </c>
      <c r="AA4" s="6" t="str">
        <f>IFERROR(__xludf.DUMMYFUNCTION("""COMPUTED_VALUE"""),"Berlaku")</f>
        <v>Berlaku</v>
      </c>
      <c r="AB4" s="31">
        <f>IFERROR(__xludf.DUMMYFUNCTION("""COMPUTED_VALUE"""),46688.0)</f>
        <v>46688</v>
      </c>
      <c r="AC4" s="6" t="str">
        <f>IFERROR(__xludf.DUMMYFUNCTION("""COMPUTED_VALUE"""),"Berlaku")</f>
        <v>Berlaku</v>
      </c>
      <c r="AD4" s="33">
        <f>IFERROR(__xludf.DUMMYFUNCTION("""COMPUTED_VALUE"""),46459.0)</f>
        <v>46459</v>
      </c>
      <c r="AE4" s="6" t="str">
        <f>IFERROR(__xludf.DUMMYFUNCTION("""COMPUTED_VALUE"""),"Berlaku")</f>
        <v>Berlaku</v>
      </c>
      <c r="AF4" s="6" t="str">
        <f>IFERROR(__xludf.DUMMYFUNCTION("""COMPUTED_VALUE"""),"TUGU")</f>
        <v>TUGU</v>
      </c>
      <c r="AG4" s="6" t="str">
        <f>IFERROR(__xludf.DUMMYFUNCTION("""COMPUTED_VALUE"""),"AKTIF ")</f>
        <v>AKTIF </v>
      </c>
      <c r="AH4" s="6"/>
      <c r="AI4" s="6" t="str">
        <f>IFERROR(__xludf.DUMMYFUNCTION("""COMPUTED_VALUE"""),"Menggantikan MT AA1895FP PT. TANAH PUTIH")</f>
        <v>Menggantikan MT AA1895FP PT. TANAH PUTIH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hidden="1">
      <c r="A5" s="6">
        <f>IFERROR(__xludf.DUMMYFUNCTION("""COMPUTED_VALUE"""),9.0)</f>
        <v>9</v>
      </c>
      <c r="B5" s="6" t="str">
        <f>IFERROR(__xludf.DUMMYFUNCTION("""COMPUTED_VALUE"""),"B9376TFV")</f>
        <v>B9376TFV</v>
      </c>
      <c r="C5" s="6" t="str">
        <f>IFERROR(__xludf.DUMMYFUNCTION("""COMPUTED_VALUE"""),"8+8")</f>
        <v>8+8</v>
      </c>
      <c r="D5" s="6">
        <f>IFERROR(__xludf.DUMMYFUNCTION("""COMPUTED_VALUE"""),16.0)</f>
        <v>16</v>
      </c>
      <c r="E5" s="6" t="str">
        <f>IFERROR(__xludf.DUMMYFUNCTION("""COMPUTED_VALUE"""),"PT. ADAM TRANS")</f>
        <v>PT. ADAM TRANS</v>
      </c>
      <c r="F5" s="6">
        <f>IFERROR(__xludf.DUMMYFUNCTION("""COMPUTED_VALUE"""),2023.0)</f>
        <v>2023</v>
      </c>
      <c r="G5" s="6">
        <f>IFERROR(__xludf.DUMMYFUNCTION("""COMPUTED_VALUE"""),2023.0)</f>
        <v>2023</v>
      </c>
      <c r="H5" s="6">
        <f>IFERROR(__xludf.DUMMYFUNCTION("""COMPUTED_VALUE"""),3.0)</f>
        <v>3</v>
      </c>
      <c r="I5" s="6" t="str">
        <f>IFERROR(__xludf.DUMMYFUNCTION("""COMPUTED_VALUE"""),"2523 R/4500 6X2 MT")</f>
        <v>2523 R/4500 6X2 MT</v>
      </c>
      <c r="J5" s="6">
        <f>IFERROR(__xludf.DUMMYFUNCTION("""COMPUTED_VALUE"""),6374.0)</f>
        <v>6374</v>
      </c>
      <c r="K5" s="6" t="str">
        <f>IFERROR(__xludf.DUMMYFUNCTION("""COMPUTED_VALUE"""),"EURO 5")</f>
        <v>EURO 5</v>
      </c>
      <c r="L5" s="6" t="str">
        <f>IFERROR(__xludf.DUMMYFUNCTION("""COMPUTED_VALUE"""),"Standart")</f>
        <v>Standart</v>
      </c>
      <c r="M5" s="6" t="str">
        <f>IFERROR(__xludf.DUMMYFUNCTION("""COMPUTED_VALUE"""),"Meco")</f>
        <v>Meco</v>
      </c>
      <c r="N5" s="6">
        <f>IFERROR(__xludf.DUMMYFUNCTION("""COMPUTED_VALUE"""),2023.0)</f>
        <v>2023</v>
      </c>
      <c r="O5" s="6">
        <f>IFERROR(__xludf.DUMMYFUNCTION("""COMPUTED_VALUE"""),3.0)</f>
        <v>3</v>
      </c>
      <c r="P5" s="6" t="str">
        <f>IFERROR(__xludf.DUMMYFUNCTION("""COMPUTED_VALUE"""),"CS")</f>
        <v>CS</v>
      </c>
      <c r="Q5" s="6" t="str">
        <f>IFERROR(__xludf.DUMMYFUNCTION("""COMPUTED_VALUE"""),"MERCEDES BENZ")</f>
        <v>MERCEDES BENZ</v>
      </c>
      <c r="R5" s="6" t="str">
        <f>IFERROR(__xludf.DUMMYFUNCTION("""COMPUTED_VALUE"""),"400952D0139088")</f>
        <v>400952D0139088</v>
      </c>
      <c r="S5" s="6" t="str">
        <f>IFERROR(__xludf.DUMMYFUNCTION("""COMPUTED_VALUE"""),"MEC2126BAPP133268")</f>
        <v>MEC2126BAPP133268</v>
      </c>
      <c r="T5" s="31">
        <f>IFERROR(__xludf.DUMMYFUNCTION("""COMPUTED_VALUE"""),47025.0)</f>
        <v>47025</v>
      </c>
      <c r="U5" s="6" t="str">
        <f>IFERROR(__xludf.DUMMYFUNCTION("""COMPUTED_VALUE"""),"Berlaku")</f>
        <v>Berlaku</v>
      </c>
      <c r="V5" s="31">
        <f>IFERROR(__xludf.DUMMYFUNCTION("""COMPUTED_VALUE"""),46659.0)</f>
        <v>46659</v>
      </c>
      <c r="W5" s="6" t="str">
        <f>IFERROR(__xludf.DUMMYFUNCTION("""COMPUTED_VALUE"""),"Berlaku")</f>
        <v>Berlaku</v>
      </c>
      <c r="X5" s="31"/>
      <c r="Y5" s="6" t="str">
        <f>IFERROR(__xludf.DUMMYFUNCTION("""COMPUTED_VALUE"""),"Habis")</f>
        <v>Habis</v>
      </c>
      <c r="Z5" s="31">
        <f>IFERROR(__xludf.DUMMYFUNCTION("""COMPUTED_VALUE"""),46447.0)</f>
        <v>46447</v>
      </c>
      <c r="AA5" s="6" t="str">
        <f>IFERROR(__xludf.DUMMYFUNCTION("""COMPUTED_VALUE"""),"Berlaku")</f>
        <v>Berlaku</v>
      </c>
      <c r="AB5" s="31">
        <f>IFERROR(__xludf.DUMMYFUNCTION("""COMPUTED_VALUE"""),46684.0)</f>
        <v>46684</v>
      </c>
      <c r="AC5" s="6" t="str">
        <f>IFERROR(__xludf.DUMMYFUNCTION("""COMPUTED_VALUE"""),"Berlaku")</f>
        <v>Berlaku</v>
      </c>
      <c r="AD5" s="33">
        <f>IFERROR(__xludf.DUMMYFUNCTION("""COMPUTED_VALUE"""),46459.0)</f>
        <v>46459</v>
      </c>
      <c r="AE5" s="6" t="str">
        <f>IFERROR(__xludf.DUMMYFUNCTION("""COMPUTED_VALUE"""),"Berlaku")</f>
        <v>Berlaku</v>
      </c>
      <c r="AF5" s="6" t="str">
        <f>IFERROR(__xludf.DUMMYFUNCTION("""COMPUTED_VALUE"""),"TUGU")</f>
        <v>TUGU</v>
      </c>
      <c r="AG5" s="6" t="str">
        <f>IFERROR(__xludf.DUMMYFUNCTION("""COMPUTED_VALUE"""),"AKTIF ")</f>
        <v>AKTIF </v>
      </c>
      <c r="AH5" s="6"/>
      <c r="AI5" s="6" t="str">
        <f>IFERROR(__xludf.DUMMYFUNCTION("""COMPUTED_VALUE"""),"Menggantikan MT AA1894FP PT. TANAH PUTIH")</f>
        <v>Menggantikan MT AA1894FP PT. TANAH PUTIH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hidden="1">
      <c r="A6" s="6">
        <f>IFERROR(__xludf.DUMMYFUNCTION("""COMPUTED_VALUE"""),10.0)</f>
        <v>10</v>
      </c>
      <c r="B6" s="6" t="str">
        <f>IFERROR(__xludf.DUMMYFUNCTION("""COMPUTED_VALUE"""),"B9290TFV")</f>
        <v>B9290TFV</v>
      </c>
      <c r="C6" s="6" t="str">
        <f>IFERROR(__xludf.DUMMYFUNCTION("""COMPUTED_VALUE"""),"8+8+8")</f>
        <v>8+8+8</v>
      </c>
      <c r="D6" s="6">
        <f>IFERROR(__xludf.DUMMYFUNCTION("""COMPUTED_VALUE"""),24.0)</f>
        <v>24</v>
      </c>
      <c r="E6" s="6" t="str">
        <f>IFERROR(__xludf.DUMMYFUNCTION("""COMPUTED_VALUE"""),"PT. ADAM TRANS")</f>
        <v>PT. ADAM TRANS</v>
      </c>
      <c r="F6" s="6">
        <f>IFERROR(__xludf.DUMMYFUNCTION("""COMPUTED_VALUE"""),2022.0)</f>
        <v>2022</v>
      </c>
      <c r="G6" s="6">
        <f>IFERROR(__xludf.DUMMYFUNCTION("""COMPUTED_VALUE"""),2022.0)</f>
        <v>2022</v>
      </c>
      <c r="H6" s="6">
        <f>IFERROR(__xludf.DUMMYFUNCTION("""COMPUTED_VALUE"""),4.0)</f>
        <v>4</v>
      </c>
      <c r="I6" s="6" t="str">
        <f>IFERROR(__xludf.DUMMYFUNCTION("""COMPUTED_VALUE"""),"SG8JF2B-XGJ")</f>
        <v>SG8JF2B-XGJ</v>
      </c>
      <c r="J6" s="6">
        <f>IFERROR(__xludf.DUMMYFUNCTION("""COMPUTED_VALUE"""),7684.0)</f>
        <v>7684</v>
      </c>
      <c r="K6" s="6" t="str">
        <f>IFERROR(__xludf.DUMMYFUNCTION("""COMPUTED_VALUE"""),"EURO 4")</f>
        <v>EURO 4</v>
      </c>
      <c r="L6" s="6" t="str">
        <f>IFERROR(__xludf.DUMMYFUNCTION("""COMPUTED_VALUE"""),"Standart")</f>
        <v>Standart</v>
      </c>
      <c r="M6" s="6" t="str">
        <f>IFERROR(__xludf.DUMMYFUNCTION("""COMPUTED_VALUE"""),"Meco")</f>
        <v>Meco</v>
      </c>
      <c r="N6" s="6">
        <f>IFERROR(__xludf.DUMMYFUNCTION("""COMPUTED_VALUE"""),2022.0)</f>
        <v>2022</v>
      </c>
      <c r="O6" s="6">
        <f>IFERROR(__xludf.DUMMYFUNCTION("""COMPUTED_VALUE"""),4.0)</f>
        <v>4</v>
      </c>
      <c r="P6" s="6" t="str">
        <f>IFERROR(__xludf.DUMMYFUNCTION("""COMPUTED_VALUE"""),"AA")</f>
        <v>AA</v>
      </c>
      <c r="Q6" s="6" t="str">
        <f>IFERROR(__xludf.DUMMYFUNCTION("""COMPUTED_VALUE"""),"HINO")</f>
        <v>HINO</v>
      </c>
      <c r="R6" s="6" t="str">
        <f>IFERROR(__xludf.DUMMYFUNCTION("""COMPUTED_VALUE"""),"J08EWDJ13408")</f>
        <v>J08EWDJ13408</v>
      </c>
      <c r="S6" s="6" t="str">
        <f>IFERROR(__xludf.DUMMYFUNCTION("""COMPUTED_VALUE"""),"MJESG8JF2NJX102576")</f>
        <v>MJESG8JF2NJX102576</v>
      </c>
      <c r="T6" s="31">
        <f>IFERROR(__xludf.DUMMYFUNCTION("""COMPUTED_VALUE"""),46713.0)</f>
        <v>46713</v>
      </c>
      <c r="U6" s="6" t="str">
        <f>IFERROR(__xludf.DUMMYFUNCTION("""COMPUTED_VALUE"""),"Berlaku")</f>
        <v>Berlaku</v>
      </c>
      <c r="V6" s="31">
        <f>IFERROR(__xludf.DUMMYFUNCTION("""COMPUTED_VALUE"""),46348.0)</f>
        <v>46348</v>
      </c>
      <c r="W6" s="6" t="str">
        <f>IFERROR(__xludf.DUMMYFUNCTION("""COMPUTED_VALUE"""),"Berlaku")</f>
        <v>Berlaku</v>
      </c>
      <c r="X6" s="31">
        <f>IFERROR(__xludf.DUMMYFUNCTION("""COMPUTED_VALUE"""),46303.0)</f>
        <v>46303</v>
      </c>
      <c r="Y6" s="6" t="str">
        <f>IFERROR(__xludf.DUMMYFUNCTION("""COMPUTED_VALUE"""),"Akan Habis")</f>
        <v>Akan Habis</v>
      </c>
      <c r="Z6" s="31">
        <f>IFERROR(__xludf.DUMMYFUNCTION("""COMPUTED_VALUE"""),46303.0)</f>
        <v>46303</v>
      </c>
      <c r="AA6" s="6" t="str">
        <f>IFERROR(__xludf.DUMMYFUNCTION("""COMPUTED_VALUE"""),"Akan Habis")</f>
        <v>Akan Habis</v>
      </c>
      <c r="AB6" s="31">
        <f>IFERROR(__xludf.DUMMYFUNCTION("""COMPUTED_VALUE"""),46548.0)</f>
        <v>46548</v>
      </c>
      <c r="AC6" s="6" t="str">
        <f>IFERROR(__xludf.DUMMYFUNCTION("""COMPUTED_VALUE"""),"Berlaku")</f>
        <v>Berlaku</v>
      </c>
      <c r="AD6" s="33">
        <f>IFERROR(__xludf.DUMMYFUNCTION("""COMPUTED_VALUE"""),46311.0)</f>
        <v>46311</v>
      </c>
      <c r="AE6" s="6" t="str">
        <f>IFERROR(__xludf.DUMMYFUNCTION("""COMPUTED_VALUE"""),"Akan Habis")</f>
        <v>Akan Habis</v>
      </c>
      <c r="AF6" s="6" t="str">
        <f>IFERROR(__xludf.DUMMYFUNCTION("""COMPUTED_VALUE"""),"TUGU")</f>
        <v>TUGU</v>
      </c>
      <c r="AG6" s="6" t="str">
        <f>IFERROR(__xludf.DUMMYFUNCTION("""COMPUTED_VALUE"""),"AKTIF ")</f>
        <v>AKTIF </v>
      </c>
      <c r="AH6" s="6"/>
      <c r="AI6" s="6" t="str">
        <f>IFERROR(__xludf.DUMMYFUNCTION("""COMPUTED_VALUE"""),"Menggantikan MT R 1892 DK PT Gelora yang afkir dan tidak diremajakan")</f>
        <v>Menggantikan MT R 1892 DK PT Gelora yang afkir dan tidak diremajakan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hidden="1">
      <c r="A7" s="6">
        <f>IFERROR(__xludf.DUMMYFUNCTION("""COMPUTED_VALUE"""),11.0)</f>
        <v>11</v>
      </c>
      <c r="B7" s="6" t="str">
        <f>IFERROR(__xludf.DUMMYFUNCTION("""COMPUTED_VALUE"""),"B9355TFV")</f>
        <v>B9355TFV</v>
      </c>
      <c r="C7" s="6" t="str">
        <f>IFERROR(__xludf.DUMMYFUNCTION("""COMPUTED_VALUE"""),"8+8+8")</f>
        <v>8+8+8</v>
      </c>
      <c r="D7" s="6">
        <f>IFERROR(__xludf.DUMMYFUNCTION("""COMPUTED_VALUE"""),24.0)</f>
        <v>24</v>
      </c>
      <c r="E7" s="6" t="str">
        <f>IFERROR(__xludf.DUMMYFUNCTION("""COMPUTED_VALUE"""),"PT. ADAM TRANS")</f>
        <v>PT. ADAM TRANS</v>
      </c>
      <c r="F7" s="6">
        <f>IFERROR(__xludf.DUMMYFUNCTION("""COMPUTED_VALUE"""),2022.0)</f>
        <v>2022</v>
      </c>
      <c r="G7" s="6">
        <f>IFERROR(__xludf.DUMMYFUNCTION("""COMPUTED_VALUE"""),2022.0)</f>
        <v>2022</v>
      </c>
      <c r="H7" s="6">
        <f>IFERROR(__xludf.DUMMYFUNCTION("""COMPUTED_VALUE"""),4.0)</f>
        <v>4</v>
      </c>
      <c r="I7" s="6" t="str">
        <f>IFERROR(__xludf.DUMMYFUNCTION("""COMPUTED_VALUE"""),"SG8JF2B-XGJ")</f>
        <v>SG8JF2B-XGJ</v>
      </c>
      <c r="J7" s="6">
        <f>IFERROR(__xludf.DUMMYFUNCTION("""COMPUTED_VALUE"""),7684.0)</f>
        <v>7684</v>
      </c>
      <c r="K7" s="6" t="str">
        <f>IFERROR(__xludf.DUMMYFUNCTION("""COMPUTED_VALUE"""),"EURO 4")</f>
        <v>EURO 4</v>
      </c>
      <c r="L7" s="6" t="str">
        <f>IFERROR(__xludf.DUMMYFUNCTION("""COMPUTED_VALUE"""),"Standart")</f>
        <v>Standart</v>
      </c>
      <c r="M7" s="6" t="str">
        <f>IFERROR(__xludf.DUMMYFUNCTION("""COMPUTED_VALUE"""),"Meco")</f>
        <v>Meco</v>
      </c>
      <c r="N7" s="6">
        <f>IFERROR(__xludf.DUMMYFUNCTION("""COMPUTED_VALUE"""),2022.0)</f>
        <v>2022</v>
      </c>
      <c r="O7" s="6">
        <f>IFERROR(__xludf.DUMMYFUNCTION("""COMPUTED_VALUE"""),4.0)</f>
        <v>4</v>
      </c>
      <c r="P7" s="6" t="str">
        <f>IFERROR(__xludf.DUMMYFUNCTION("""COMPUTED_VALUE"""),"AA")</f>
        <v>AA</v>
      </c>
      <c r="Q7" s="6" t="str">
        <f>IFERROR(__xludf.DUMMYFUNCTION("""COMPUTED_VALUE"""),"HINO")</f>
        <v>HINO</v>
      </c>
      <c r="R7" s="6" t="str">
        <f>IFERROR(__xludf.DUMMYFUNCTION("""COMPUTED_VALUE"""),"J08EWOJ13150")</f>
        <v>J08EWOJ13150</v>
      </c>
      <c r="S7" s="6" t="str">
        <f>IFERROR(__xludf.DUMMYFUNCTION("""COMPUTED_VALUE"""),"MJESG8JF2NJX10254")</f>
        <v>MJESG8JF2NJX10254</v>
      </c>
      <c r="T7" s="31">
        <f>IFERROR(__xludf.DUMMYFUNCTION("""COMPUTED_VALUE"""),46680.0)</f>
        <v>46680</v>
      </c>
      <c r="U7" s="6" t="str">
        <f>IFERROR(__xludf.DUMMYFUNCTION("""COMPUTED_VALUE"""),"Berlaku")</f>
        <v>Berlaku</v>
      </c>
      <c r="V7" s="31">
        <f>IFERROR(__xludf.DUMMYFUNCTION("""COMPUTED_VALUE"""),46315.0)</f>
        <v>46315</v>
      </c>
      <c r="W7" s="6" t="str">
        <f>IFERROR(__xludf.DUMMYFUNCTION("""COMPUTED_VALUE"""),"Akan Habis")</f>
        <v>Akan Habis</v>
      </c>
      <c r="X7" s="31">
        <f>IFERROR(__xludf.DUMMYFUNCTION("""COMPUTED_VALUE"""),46303.0)</f>
        <v>46303</v>
      </c>
      <c r="Y7" s="6" t="str">
        <f>IFERROR(__xludf.DUMMYFUNCTION("""COMPUTED_VALUE"""),"Akan Habis")</f>
        <v>Akan Habis</v>
      </c>
      <c r="Z7" s="31">
        <f>IFERROR(__xludf.DUMMYFUNCTION("""COMPUTED_VALUE"""),46303.0)</f>
        <v>46303</v>
      </c>
      <c r="AA7" s="6" t="str">
        <f>IFERROR(__xludf.DUMMYFUNCTION("""COMPUTED_VALUE"""),"Akan Habis")</f>
        <v>Akan Habis</v>
      </c>
      <c r="AB7" s="31">
        <f>IFERROR(__xludf.DUMMYFUNCTION("""COMPUTED_VALUE"""),46402.0)</f>
        <v>46402</v>
      </c>
      <c r="AC7" s="6" t="str">
        <f>IFERROR(__xludf.DUMMYFUNCTION("""COMPUTED_VALUE"""),"Berlaku")</f>
        <v>Berlaku</v>
      </c>
      <c r="AD7" s="33">
        <f>IFERROR(__xludf.DUMMYFUNCTION("""COMPUTED_VALUE"""),46311.0)</f>
        <v>46311</v>
      </c>
      <c r="AE7" s="6" t="str">
        <f>IFERROR(__xludf.DUMMYFUNCTION("""COMPUTED_VALUE"""),"Akan Habis")</f>
        <v>Akan Habis</v>
      </c>
      <c r="AF7" s="6" t="str">
        <f>IFERROR(__xludf.DUMMYFUNCTION("""COMPUTED_VALUE"""),"TUGU")</f>
        <v>TUGU</v>
      </c>
      <c r="AG7" s="6" t="str">
        <f>IFERROR(__xludf.DUMMYFUNCTION("""COMPUTED_VALUE"""),"AKTIF ")</f>
        <v>AKTIF </v>
      </c>
      <c r="AH7" s="6"/>
      <c r="AI7" s="6" t="str">
        <f>IFERROR(__xludf.DUMMYFUNCTION("""COMPUTED_VALUE"""),"Menggantikan MT R 1893 DK PT Gelora yang afkir dan tidak diremajakan")</f>
        <v>Menggantikan MT R 1893 DK PT Gelora yang afkir dan tidak diremajakan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>
      <c r="A8" s="6">
        <f>IFERROR(__xludf.DUMMYFUNCTION("""COMPUTED_VALUE"""),12.0)</f>
        <v>12</v>
      </c>
      <c r="B8" s="6" t="str">
        <f>IFERROR(__xludf.DUMMYFUNCTION("""COMPUTED_VALUE"""),"R8435CM")</f>
        <v>R8435CM</v>
      </c>
      <c r="C8" s="6" t="str">
        <f>IFERROR(__xludf.DUMMYFUNCTION("""COMPUTED_VALUE"""),"8+8+8")</f>
        <v>8+8+8</v>
      </c>
      <c r="D8" s="6">
        <f>IFERROR(__xludf.DUMMYFUNCTION("""COMPUTED_VALUE"""),24.0)</f>
        <v>24</v>
      </c>
      <c r="E8" s="6" t="str">
        <f>IFERROR(__xludf.DUMMYFUNCTION("""COMPUTED_VALUE"""),"PT. KATRACO PUTRA SELARAS")</f>
        <v>PT. KATRACO PUTRA SELARAS</v>
      </c>
      <c r="F8" s="6">
        <f>IFERROR(__xludf.DUMMYFUNCTION("""COMPUTED_VALUE"""),2022.0)</f>
        <v>2022</v>
      </c>
      <c r="G8" s="6">
        <f>IFERROR(__xludf.DUMMYFUNCTION("""COMPUTED_VALUE"""),2022.0)</f>
        <v>2022</v>
      </c>
      <c r="H8" s="6">
        <f>IFERROR(__xludf.DUMMYFUNCTION("""COMPUTED_VALUE"""),4.0)</f>
        <v>4</v>
      </c>
      <c r="I8" s="6" t="str">
        <f>IFERROR(__xludf.DUMMYFUNCTION("""COMPUTED_VALUE"""),"SG8JF2B-XGJ (4X2)")</f>
        <v>SG8JF2B-XGJ (4X2)</v>
      </c>
      <c r="J8" s="6">
        <f>IFERROR(__xludf.DUMMYFUNCTION("""COMPUTED_VALUE"""),7960.0)</f>
        <v>7960</v>
      </c>
      <c r="K8" s="6" t="str">
        <f>IFERROR(__xludf.DUMMYFUNCTION("""COMPUTED_VALUE"""),"EURO 4")</f>
        <v>EURO 4</v>
      </c>
      <c r="L8" s="6" t="str">
        <f>IFERROR(__xludf.DUMMYFUNCTION("""COMPUTED_VALUE"""),"Standart")</f>
        <v>Standart</v>
      </c>
      <c r="M8" s="6" t="str">
        <f>IFERROR(__xludf.DUMMYFUNCTION("""COMPUTED_VALUE"""),"Meco")</f>
        <v>Meco</v>
      </c>
      <c r="N8" s="6">
        <f>IFERROR(__xludf.DUMMYFUNCTION("""COMPUTED_VALUE"""),2012.0)</f>
        <v>2012</v>
      </c>
      <c r="O8" s="6">
        <f>IFERROR(__xludf.DUMMYFUNCTION("""COMPUTED_VALUE"""),14.0)</f>
        <v>14</v>
      </c>
      <c r="P8" s="6" t="str">
        <f>IFERROR(__xludf.DUMMYFUNCTION("""COMPUTED_VALUE"""),"AA")</f>
        <v>AA</v>
      </c>
      <c r="Q8" s="6" t="str">
        <f>IFERROR(__xludf.DUMMYFUNCTION("""COMPUTED_VALUE"""),"HINO")</f>
        <v>HINO</v>
      </c>
      <c r="R8" s="6" t="str">
        <f>IFERROR(__xludf.DUMMYFUNCTION("""COMPUTED_VALUE"""),"J08EWDJ15223")</f>
        <v>J08EWDJ15223</v>
      </c>
      <c r="S8" s="6" t="str">
        <f>IFERROR(__xludf.DUMMYFUNCTION("""COMPUTED_VALUE"""),"MJESG8JF2NJX10417")</f>
        <v>MJESG8JF2NJX10417</v>
      </c>
      <c r="T8" s="31">
        <f>IFERROR(__xludf.DUMMYFUNCTION("""COMPUTED_VALUE"""),46708.0)</f>
        <v>46708</v>
      </c>
      <c r="U8" s="6" t="str">
        <f>IFERROR(__xludf.DUMMYFUNCTION("""COMPUTED_VALUE"""),"Berlaku")</f>
        <v>Berlaku</v>
      </c>
      <c r="V8" s="31">
        <f>IFERROR(__xludf.DUMMYFUNCTION("""COMPUTED_VALUE"""),46343.0)</f>
        <v>46343</v>
      </c>
      <c r="W8" s="6" t="str">
        <f>IFERROR(__xludf.DUMMYFUNCTION("""COMPUTED_VALUE"""),"Akan Habis")</f>
        <v>Akan Habis</v>
      </c>
      <c r="X8" s="31">
        <f>IFERROR(__xludf.DUMMYFUNCTION("""COMPUTED_VALUE"""),46352.0)</f>
        <v>46352</v>
      </c>
      <c r="Y8" s="6" t="str">
        <f>IFERROR(__xludf.DUMMYFUNCTION("""COMPUTED_VALUE"""),"Berlaku")</f>
        <v>Berlaku</v>
      </c>
      <c r="Z8" s="31">
        <f>IFERROR(__xludf.DUMMYFUNCTION("""COMPUTED_VALUE"""),46352.0)</f>
        <v>46352</v>
      </c>
      <c r="AA8" s="6" t="str">
        <f>IFERROR(__xludf.DUMMYFUNCTION("""COMPUTED_VALUE"""),"Berlaku")</f>
        <v>Berlaku</v>
      </c>
      <c r="AB8" s="31">
        <f>IFERROR(__xludf.DUMMYFUNCTION("""COMPUTED_VALUE"""),46339.0)</f>
        <v>46339</v>
      </c>
      <c r="AC8" s="6" t="str">
        <f>IFERROR(__xludf.DUMMYFUNCTION("""COMPUTED_VALUE"""),"Akan Habis")</f>
        <v>Akan Habis</v>
      </c>
      <c r="AD8" s="33">
        <f>IFERROR(__xludf.DUMMYFUNCTION("""COMPUTED_VALUE"""),46340.0)</f>
        <v>46340</v>
      </c>
      <c r="AE8" s="6" t="str">
        <f>IFERROR(__xludf.DUMMYFUNCTION("""COMPUTED_VALUE"""),"Berlaku")</f>
        <v>Berlaku</v>
      </c>
      <c r="AF8" s="6" t="str">
        <f>IFERROR(__xludf.DUMMYFUNCTION("""COMPUTED_VALUE"""),"TUGU")</f>
        <v>TUGU</v>
      </c>
      <c r="AG8" s="6" t="str">
        <f>IFERROR(__xludf.DUMMYFUNCTION("""COMPUTED_VALUE"""),"AKTIF ")</f>
        <v>AKTIF 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hidden="1">
      <c r="A9" s="6">
        <f>IFERROR(__xludf.DUMMYFUNCTION("""COMPUTED_VALUE"""),14.0)</f>
        <v>14</v>
      </c>
      <c r="B9" s="6" t="str">
        <f>IFERROR(__xludf.DUMMYFUNCTION("""COMPUTED_VALUE"""),"B9697SFV")</f>
        <v>B9697SFV</v>
      </c>
      <c r="C9" s="6" t="str">
        <f>IFERROR(__xludf.DUMMYFUNCTION("""COMPUTED_VALUE"""),"4+4")</f>
        <v>4+4</v>
      </c>
      <c r="D9" s="6">
        <f>IFERROR(__xludf.DUMMYFUNCTION("""COMPUTED_VALUE"""),8.0)</f>
        <v>8</v>
      </c>
      <c r="E9" s="6" t="str">
        <f>IFERROR(__xludf.DUMMYFUNCTION("""COMPUTED_VALUE"""),"PT. ELNUSA PETROFIN")</f>
        <v>PT. ELNUSA PETROFIN</v>
      </c>
      <c r="F9" s="6">
        <f>IFERROR(__xludf.DUMMYFUNCTION("""COMPUTED_VALUE"""),2022.0)</f>
        <v>2022</v>
      </c>
      <c r="G9" s="6">
        <f>IFERROR(__xludf.DUMMYFUNCTION("""COMPUTED_VALUE"""),2023.0)</f>
        <v>2023</v>
      </c>
      <c r="H9" s="6">
        <f>IFERROR(__xludf.DUMMYFUNCTION("""COMPUTED_VALUE"""),4.0)</f>
        <v>4</v>
      </c>
      <c r="I9" s="6" t="str">
        <f>IFERROR(__xludf.DUMMYFUNCTION("""COMPUTED_VALUE"""),"FG8JK2A-PGJ")</f>
        <v>FG8JK2A-PGJ</v>
      </c>
      <c r="J9" s="6">
        <f>IFERROR(__xludf.DUMMYFUNCTION("""COMPUTED_VALUE"""),7684.0)</f>
        <v>7684</v>
      </c>
      <c r="K9" s="6" t="str">
        <f>IFERROR(__xludf.DUMMYFUNCTION("""COMPUTED_VALUE"""),"EURO 4")</f>
        <v>EURO 4</v>
      </c>
      <c r="L9" s="6" t="str">
        <f>IFERROR(__xludf.DUMMYFUNCTION("""COMPUTED_VALUE"""),"Standart")</f>
        <v>Standart</v>
      </c>
      <c r="M9" s="6" t="str">
        <f>IFERROR(__xludf.DUMMYFUNCTION("""COMPUTED_VALUE"""),"Geluran Adikarya")</f>
        <v>Geluran Adikarya</v>
      </c>
      <c r="N9" s="6">
        <f>IFERROR(__xludf.DUMMYFUNCTION("""COMPUTED_VALUE"""),2023.0)</f>
        <v>2023</v>
      </c>
      <c r="O9" s="6">
        <f>IFERROR(__xludf.DUMMYFUNCTION("""COMPUTED_VALUE"""),3.0)</f>
        <v>3</v>
      </c>
      <c r="P9" s="6" t="str">
        <f>IFERROR(__xludf.DUMMYFUNCTION("""COMPUTED_VALUE"""),"CS")</f>
        <v>CS</v>
      </c>
      <c r="Q9" s="6" t="str">
        <f>IFERROR(__xludf.DUMMYFUNCTION("""COMPUTED_VALUE"""),"HINO")</f>
        <v>HINO</v>
      </c>
      <c r="R9" s="6" t="str">
        <f>IFERROR(__xludf.DUMMYFUNCTION("""COMPUTED_VALUE"""),"JO8EWEJ15259")</f>
        <v>JO8EWEJ15259</v>
      </c>
      <c r="S9" s="6" t="str">
        <f>IFERROR(__xludf.DUMMYFUNCTION("""COMPUTED_VALUE"""),"MJEFG8JK2NJP1018")</f>
        <v>MJEFG8JK2NJP1018</v>
      </c>
      <c r="T9" s="31">
        <f>IFERROR(__xludf.DUMMYFUNCTION("""COMPUTED_VALUE"""),46981.0)</f>
        <v>46981</v>
      </c>
      <c r="U9" s="6" t="str">
        <f>IFERROR(__xludf.DUMMYFUNCTION("""COMPUTED_VALUE"""),"Berlaku")</f>
        <v>Berlaku</v>
      </c>
      <c r="V9" s="31">
        <f>IFERROR(__xludf.DUMMYFUNCTION("""COMPUTED_VALUE"""),46615.0)</f>
        <v>46615</v>
      </c>
      <c r="W9" s="6" t="str">
        <f>IFERROR(__xludf.DUMMYFUNCTION("""COMPUTED_VALUE"""),"Berlaku")</f>
        <v>Berlaku</v>
      </c>
      <c r="X9" s="31"/>
      <c r="Y9" s="6" t="str">
        <f>IFERROR(__xludf.DUMMYFUNCTION("""COMPUTED_VALUE"""),"Habis")</f>
        <v>Habis</v>
      </c>
      <c r="Z9" s="31">
        <f>IFERROR(__xludf.DUMMYFUNCTION("""COMPUTED_VALUE"""),46424.0)</f>
        <v>46424</v>
      </c>
      <c r="AA9" s="6" t="str">
        <f>IFERROR(__xludf.DUMMYFUNCTION("""COMPUTED_VALUE"""),"Berlaku")</f>
        <v>Berlaku</v>
      </c>
      <c r="AB9" s="31">
        <f>IFERROR(__xludf.DUMMYFUNCTION("""COMPUTED_VALUE"""),46684.0)</f>
        <v>46684</v>
      </c>
      <c r="AC9" s="6" t="str">
        <f>IFERROR(__xludf.DUMMYFUNCTION("""COMPUTED_VALUE"""),"Berlaku")</f>
        <v>Berlaku</v>
      </c>
      <c r="AD9" s="33">
        <f>IFERROR(__xludf.DUMMYFUNCTION("""COMPUTED_VALUE"""),46340.0)</f>
        <v>46340</v>
      </c>
      <c r="AE9" s="6" t="str">
        <f>IFERROR(__xludf.DUMMYFUNCTION("""COMPUTED_VALUE"""),"Berlaku")</f>
        <v>Berlaku</v>
      </c>
      <c r="AF9" s="6" t="str">
        <f>IFERROR(__xludf.DUMMYFUNCTION("""COMPUTED_VALUE"""),"MANDIRI")</f>
        <v>MANDIRI</v>
      </c>
      <c r="AG9" s="6" t="str">
        <f>IFERROR(__xludf.DUMMYFUNCTION("""COMPUTED_VALUE"""),"AKTIF ")</f>
        <v>AKTIF </v>
      </c>
      <c r="AH9" s="6"/>
      <c r="AI9" s="6" t="str">
        <f>IFERROR(__xludf.DUMMYFUNCTION("""COMPUTED_VALUE"""),"Menggantikan MT AA1959EF PT. TANAH PUTIH")</f>
        <v>Menggantikan MT AA1959EF PT. TANAH PUTIH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hidden="1">
      <c r="A10" s="6">
        <f>IFERROR(__xludf.DUMMYFUNCTION("""COMPUTED_VALUE"""),15.0)</f>
        <v>15</v>
      </c>
      <c r="B10" s="6" t="str">
        <f>IFERROR(__xludf.DUMMYFUNCTION("""COMPUTED_VALUE"""),"B9061SFV")</f>
        <v>B9061SFV</v>
      </c>
      <c r="C10" s="6" t="str">
        <f>IFERROR(__xludf.DUMMYFUNCTION("""COMPUTED_VALUE"""),"8+8")</f>
        <v>8+8</v>
      </c>
      <c r="D10" s="6">
        <f>IFERROR(__xludf.DUMMYFUNCTION("""COMPUTED_VALUE"""),16.0)</f>
        <v>16</v>
      </c>
      <c r="E10" s="6" t="str">
        <f>IFERROR(__xludf.DUMMYFUNCTION("""COMPUTED_VALUE"""),"PT. ELNUSA PETROFIN")</f>
        <v>PT. ELNUSA PETROFIN</v>
      </c>
      <c r="F10" s="6">
        <f>IFERROR(__xludf.DUMMYFUNCTION("""COMPUTED_VALUE"""),2018.0)</f>
        <v>2018</v>
      </c>
      <c r="G10" s="6">
        <f>IFERROR(__xludf.DUMMYFUNCTION("""COMPUTED_VALUE"""),2018.0)</f>
        <v>2018</v>
      </c>
      <c r="H10" s="6">
        <f>IFERROR(__xludf.DUMMYFUNCTION("""COMPUTED_VALUE"""),8.0)</f>
        <v>8</v>
      </c>
      <c r="I10" s="6" t="str">
        <f>IFERROR(__xludf.DUMMYFUNCTION("""COMPUTED_VALUE"""),"CDE250 6X2R WB5100MM")</f>
        <v>CDE250 6X2R WB5100MM</v>
      </c>
      <c r="J10" s="6">
        <f>IFERROR(__xludf.DUMMYFUNCTION("""COMPUTED_VALUE"""),7698.0)</f>
        <v>7698</v>
      </c>
      <c r="K10" s="6" t="str">
        <f>IFERROR(__xludf.DUMMYFUNCTION("""COMPUTED_VALUE"""),"EURO 2")</f>
        <v>EURO 2</v>
      </c>
      <c r="L10" s="6" t="str">
        <f>IFERROR(__xludf.DUMMYFUNCTION("""COMPUTED_VALUE"""),"PTO")</f>
        <v>PTO</v>
      </c>
      <c r="M10" s="6" t="str">
        <f>IFERROR(__xludf.DUMMYFUNCTION("""COMPUTED_VALUE"""),"Geluran Adikarya")</f>
        <v>Geluran Adikarya</v>
      </c>
      <c r="N10" s="6">
        <f>IFERROR(__xludf.DUMMYFUNCTION("""COMPUTED_VALUE"""),2018.0)</f>
        <v>2018</v>
      </c>
      <c r="O10" s="6">
        <f>IFERROR(__xludf.DUMMYFUNCTION("""COMPUTED_VALUE"""),8.0)</f>
        <v>8</v>
      </c>
      <c r="P10" s="6" t="str">
        <f>IFERROR(__xludf.DUMMYFUNCTION("""COMPUTED_VALUE"""),"CS")</f>
        <v>CS</v>
      </c>
      <c r="Q10" s="6" t="str">
        <f>IFERROR(__xludf.DUMMYFUNCTION("""COMPUTED_VALUE"""),"UD TRUCKS")</f>
        <v>UD TRUCKS</v>
      </c>
      <c r="R10" s="6" t="str">
        <f>IFERROR(__xludf.DUMMYFUNCTION("""COMPUTED_VALUE"""),"GH8465224A1P")</f>
        <v>GH8465224A1P</v>
      </c>
      <c r="S10" s="6" t="str">
        <f>IFERROR(__xludf.DUMMYFUNCTION("""COMPUTED_VALUE"""),"JPCZX22C8JT020521")</f>
        <v>JPCZX22C8JT020521</v>
      </c>
      <c r="T10" s="31">
        <f>IFERROR(__xludf.DUMMYFUNCTION("""COMPUTED_VALUE"""),46877.0)</f>
        <v>46877</v>
      </c>
      <c r="U10" s="6" t="str">
        <f>IFERROR(__xludf.DUMMYFUNCTION("""COMPUTED_VALUE"""),"Berlaku")</f>
        <v>Berlaku</v>
      </c>
      <c r="V10" s="31">
        <f>IFERROR(__xludf.DUMMYFUNCTION("""COMPUTED_VALUE"""),46511.0)</f>
        <v>46511</v>
      </c>
      <c r="W10" s="6" t="str">
        <f>IFERROR(__xludf.DUMMYFUNCTION("""COMPUTED_VALUE"""),"Berlaku")</f>
        <v>Berlaku</v>
      </c>
      <c r="X10" s="31"/>
      <c r="Y10" s="6" t="str">
        <f>IFERROR(__xludf.DUMMYFUNCTION("""COMPUTED_VALUE"""),"Habis")</f>
        <v>Habis</v>
      </c>
      <c r="Z10" s="31">
        <f>IFERROR(__xludf.DUMMYFUNCTION("""COMPUTED_VALUE"""),46424.0)</f>
        <v>46424</v>
      </c>
      <c r="AA10" s="6" t="str">
        <f>IFERROR(__xludf.DUMMYFUNCTION("""COMPUTED_VALUE"""),"Berlaku")</f>
        <v>Berlaku</v>
      </c>
      <c r="AB10" s="31">
        <f>IFERROR(__xludf.DUMMYFUNCTION("""COMPUTED_VALUE"""),46505.0)</f>
        <v>46505</v>
      </c>
      <c r="AC10" s="6" t="str">
        <f>IFERROR(__xludf.DUMMYFUNCTION("""COMPUTED_VALUE"""),"Berlaku")</f>
        <v>Berlaku</v>
      </c>
      <c r="AD10" s="33">
        <f>IFERROR(__xludf.DUMMYFUNCTION("""COMPUTED_VALUE"""),46340.0)</f>
        <v>46340</v>
      </c>
      <c r="AE10" s="6" t="str">
        <f>IFERROR(__xludf.DUMMYFUNCTION("""COMPUTED_VALUE"""),"Berlaku")</f>
        <v>Berlaku</v>
      </c>
      <c r="AF10" s="6" t="str">
        <f>IFERROR(__xludf.DUMMYFUNCTION("""COMPUTED_VALUE"""),"MANDIRI")</f>
        <v>MANDIRI</v>
      </c>
      <c r="AG10" s="6" t="str">
        <f>IFERROR(__xludf.DUMMYFUNCTION("""COMPUTED_VALUE"""),"AKTIF ")</f>
        <v>AKTIF 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hidden="1">
      <c r="A11" s="6">
        <f>IFERROR(__xludf.DUMMYFUNCTION("""COMPUTED_VALUE"""),16.0)</f>
        <v>16</v>
      </c>
      <c r="B11" s="6" t="str">
        <f>IFERROR(__xludf.DUMMYFUNCTION("""COMPUTED_VALUE"""),"E9225YC")</f>
        <v>E9225YC</v>
      </c>
      <c r="C11" s="6" t="str">
        <f>IFERROR(__xludf.DUMMYFUNCTION("""COMPUTED_VALUE"""),"8+8+8")</f>
        <v>8+8+8</v>
      </c>
      <c r="D11" s="6">
        <f>IFERROR(__xludf.DUMMYFUNCTION("""COMPUTED_VALUE"""),24.0)</f>
        <v>24</v>
      </c>
      <c r="E11" s="6" t="str">
        <f>IFERROR(__xludf.DUMMYFUNCTION("""COMPUTED_VALUE"""),"PT. PUSPITA CIPTA")</f>
        <v>PT. PUSPITA CIPTA</v>
      </c>
      <c r="F11" s="6">
        <f>IFERROR(__xludf.DUMMYFUNCTION("""COMPUTED_VALUE"""),2022.0)</f>
        <v>2022</v>
      </c>
      <c r="G11" s="6">
        <f>IFERROR(__xludf.DUMMYFUNCTION("""COMPUTED_VALUE"""),2022.0)</f>
        <v>2022</v>
      </c>
      <c r="H11" s="6">
        <f>IFERROR(__xludf.DUMMYFUNCTION("""COMPUTED_VALUE"""),4.0)</f>
        <v>4</v>
      </c>
      <c r="I11" s="6" t="str">
        <f>IFERROR(__xludf.DUMMYFUNCTION("""COMPUTED_VALUE"""),"SG8JF2B-XGJ")</f>
        <v>SG8JF2B-XGJ</v>
      </c>
      <c r="J11" s="6">
        <f>IFERROR(__xludf.DUMMYFUNCTION("""COMPUTED_VALUE"""),7684.0)</f>
        <v>7684</v>
      </c>
      <c r="K11" s="6" t="str">
        <f>IFERROR(__xludf.DUMMYFUNCTION("""COMPUTED_VALUE"""),"EURO 4")</f>
        <v>EURO 4</v>
      </c>
      <c r="L11" s="6" t="str">
        <f>IFERROR(__xludf.DUMMYFUNCTION("""COMPUTED_VALUE"""),"Standart")</f>
        <v>Standart</v>
      </c>
      <c r="M11" s="6" t="str">
        <f>IFERROR(__xludf.DUMMYFUNCTION("""COMPUTED_VALUE"""),"Aweco")</f>
        <v>Aweco</v>
      </c>
      <c r="N11" s="6">
        <f>IFERROR(__xludf.DUMMYFUNCTION("""COMPUTED_VALUE"""),2012.0)</f>
        <v>2012</v>
      </c>
      <c r="O11" s="6">
        <f>IFERROR(__xludf.DUMMYFUNCTION("""COMPUTED_VALUE"""),14.0)</f>
        <v>14</v>
      </c>
      <c r="P11" s="6" t="str">
        <f>IFERROR(__xludf.DUMMYFUNCTION("""COMPUTED_VALUE"""),"AA")</f>
        <v>AA</v>
      </c>
      <c r="Q11" s="6" t="str">
        <f>IFERROR(__xludf.DUMMYFUNCTION("""COMPUTED_VALUE"""),"HINO")</f>
        <v>HINO</v>
      </c>
      <c r="R11" s="6" t="str">
        <f>IFERROR(__xludf.DUMMYFUNCTION("""COMPUTED_VALUE"""),"J08EWDJ13442")</f>
        <v>J08EWDJ13442</v>
      </c>
      <c r="S11" s="6" t="str">
        <f>IFERROR(__xludf.DUMMYFUNCTION("""COMPUTED_VALUE"""),"MJESG8JF2NJX10278")</f>
        <v>MJESG8JF2NJX10278</v>
      </c>
      <c r="T11" s="31">
        <f>IFERROR(__xludf.DUMMYFUNCTION("""COMPUTED_VALUE"""),46672.0)</f>
        <v>46672</v>
      </c>
      <c r="U11" s="6" t="str">
        <f>IFERROR(__xludf.DUMMYFUNCTION("""COMPUTED_VALUE"""),"Berlaku")</f>
        <v>Berlaku</v>
      </c>
      <c r="V11" s="31">
        <f>IFERROR(__xludf.DUMMYFUNCTION("""COMPUTED_VALUE"""),46307.0)</f>
        <v>46307</v>
      </c>
      <c r="W11" s="6" t="str">
        <f>IFERROR(__xludf.DUMMYFUNCTION("""COMPUTED_VALUE"""),"Akan Habis")</f>
        <v>Akan Habis</v>
      </c>
      <c r="X11" s="31">
        <f>IFERROR(__xludf.DUMMYFUNCTION("""COMPUTED_VALUE"""),46315.0)</f>
        <v>46315</v>
      </c>
      <c r="Y11" s="6" t="str">
        <f>IFERROR(__xludf.DUMMYFUNCTION("""COMPUTED_VALUE"""),"Akan Habis")</f>
        <v>Akan Habis</v>
      </c>
      <c r="Z11" s="31">
        <f>IFERROR(__xludf.DUMMYFUNCTION("""COMPUTED_VALUE"""),46315.0)</f>
        <v>46315</v>
      </c>
      <c r="AA11" s="6" t="str">
        <f>IFERROR(__xludf.DUMMYFUNCTION("""COMPUTED_VALUE"""),"Akan Habis")</f>
        <v>Akan Habis</v>
      </c>
      <c r="AB11" s="31">
        <f>IFERROR(__xludf.DUMMYFUNCTION("""COMPUTED_VALUE"""),46437.0)</f>
        <v>46437</v>
      </c>
      <c r="AC11" s="6" t="str">
        <f>IFERROR(__xludf.DUMMYFUNCTION("""COMPUTED_VALUE"""),"Berlaku")</f>
        <v>Berlaku</v>
      </c>
      <c r="AD11" s="33">
        <f>IFERROR(__xludf.DUMMYFUNCTION("""COMPUTED_VALUE"""),46340.0)</f>
        <v>46340</v>
      </c>
      <c r="AE11" s="6" t="str">
        <f>IFERROR(__xludf.DUMMYFUNCTION("""COMPUTED_VALUE"""),"Berlaku")</f>
        <v>Berlaku</v>
      </c>
      <c r="AF11" s="6" t="str">
        <f>IFERROR(__xludf.DUMMYFUNCTION("""COMPUTED_VALUE"""),"TUGU")</f>
        <v>TUGU</v>
      </c>
      <c r="AG11" s="6" t="str">
        <f>IFERROR(__xludf.DUMMYFUNCTION("""COMPUTED_VALUE"""),"AKTIF ")</f>
        <v>AKTIF </v>
      </c>
      <c r="AH11" s="6"/>
      <c r="AI11" s="6" t="str">
        <f>IFERROR(__xludf.DUMMYFUNCTION("""COMPUTED_VALUE"""),"Menggantikan MT E 9632 YA sama-sama PT Puspita Cipta")</f>
        <v>Menggantikan MT E 9632 YA sama-sama PT Puspita Cipta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hidden="1">
      <c r="A12" s="6">
        <f>IFERROR(__xludf.DUMMYFUNCTION("""COMPUTED_VALUE"""),18.0)</f>
        <v>18</v>
      </c>
      <c r="B12" s="6" t="str">
        <f>IFERROR(__xludf.DUMMYFUNCTION("""COMPUTED_VALUE"""),"E9334YC")</f>
        <v>E9334YC</v>
      </c>
      <c r="C12" s="6" t="str">
        <f>IFERROR(__xludf.DUMMYFUNCTION("""COMPUTED_VALUE"""),"8+8+8")</f>
        <v>8+8+8</v>
      </c>
      <c r="D12" s="6">
        <f>IFERROR(__xludf.DUMMYFUNCTION("""COMPUTED_VALUE"""),24.0)</f>
        <v>24</v>
      </c>
      <c r="E12" s="6" t="str">
        <f>IFERROR(__xludf.DUMMYFUNCTION("""COMPUTED_VALUE"""),"PT. PUSPITA CIPTA")</f>
        <v>PT. PUSPITA CIPTA</v>
      </c>
      <c r="F12" s="6">
        <f>IFERROR(__xludf.DUMMYFUNCTION("""COMPUTED_VALUE"""),2023.0)</f>
        <v>2023</v>
      </c>
      <c r="G12" s="6">
        <f>IFERROR(__xludf.DUMMYFUNCTION("""COMPUTED_VALUE"""),2023.0)</f>
        <v>2023</v>
      </c>
      <c r="H12" s="6">
        <f>IFERROR(__xludf.DUMMYFUNCTION("""COMPUTED_VALUE"""),3.0)</f>
        <v>3</v>
      </c>
      <c r="I12" s="6" t="str">
        <f>IFERROR(__xludf.DUMMYFUNCTION("""COMPUTED_VALUE"""),"4028T")</f>
        <v>4028T</v>
      </c>
      <c r="J12" s="6">
        <f>IFERROR(__xludf.DUMMYFUNCTION("""COMPUTED_VALUE"""),6374.0)</f>
        <v>6374</v>
      </c>
      <c r="K12" s="6" t="str">
        <f>IFERROR(__xludf.DUMMYFUNCTION("""COMPUTED_VALUE"""),"EURO 5")</f>
        <v>EURO 5</v>
      </c>
      <c r="L12" s="6" t="str">
        <f>IFERROR(__xludf.DUMMYFUNCTION("""COMPUTED_VALUE"""),"Standart")</f>
        <v>Standart</v>
      </c>
      <c r="M12" s="6" t="str">
        <f>IFERROR(__xludf.DUMMYFUNCTION("""COMPUTED_VALUE"""),"Geluran Adikarya")</f>
        <v>Geluran Adikarya</v>
      </c>
      <c r="N12" s="6">
        <f>IFERROR(__xludf.DUMMYFUNCTION("""COMPUTED_VALUE"""),2013.0)</f>
        <v>2013</v>
      </c>
      <c r="O12" s="6">
        <f>IFERROR(__xludf.DUMMYFUNCTION("""COMPUTED_VALUE"""),13.0)</f>
        <v>13</v>
      </c>
      <c r="P12" s="6" t="str">
        <f>IFERROR(__xludf.DUMMYFUNCTION("""COMPUTED_VALUE"""),"AA")</f>
        <v>AA</v>
      </c>
      <c r="Q12" s="6" t="str">
        <f>IFERROR(__xludf.DUMMYFUNCTION("""COMPUTED_VALUE"""),"MERCEDES BENZ")</f>
        <v>MERCEDES BENZ</v>
      </c>
      <c r="R12" s="6" t="str">
        <f>IFERROR(__xludf.DUMMYFUNCTION("""COMPUTED_VALUE"""),"400953D0141214")</f>
        <v>400953D0141214</v>
      </c>
      <c r="S12" s="6" t="str">
        <f>IFERROR(__xludf.DUMMYFUNCTION("""COMPUTED_VALUE"""),"MFJ400262PJ002664")</f>
        <v>MFJ400262PJ002664</v>
      </c>
      <c r="T12" s="31">
        <f>IFERROR(__xludf.DUMMYFUNCTION("""COMPUTED_VALUE"""),47114.0)</f>
        <v>47114</v>
      </c>
      <c r="U12" s="6" t="str">
        <f>IFERROR(__xludf.DUMMYFUNCTION("""COMPUTED_VALUE"""),"Berlaku")</f>
        <v>Berlaku</v>
      </c>
      <c r="V12" s="31">
        <f>IFERROR(__xludf.DUMMYFUNCTION("""COMPUTED_VALUE"""),46383.0)</f>
        <v>46383</v>
      </c>
      <c r="W12" s="6" t="str">
        <f>IFERROR(__xludf.DUMMYFUNCTION("""COMPUTED_VALUE"""),"Berlaku")</f>
        <v>Berlaku</v>
      </c>
      <c r="X12" s="31">
        <f>IFERROR(__xludf.DUMMYFUNCTION("""COMPUTED_VALUE"""),46331.0)</f>
        <v>46331</v>
      </c>
      <c r="Y12" s="6" t="str">
        <f>IFERROR(__xludf.DUMMYFUNCTION("""COMPUTED_VALUE"""),"Akan Habis")</f>
        <v>Akan Habis</v>
      </c>
      <c r="Z12" s="31">
        <f>IFERROR(__xludf.DUMMYFUNCTION("""COMPUTED_VALUE"""),46331.0)</f>
        <v>46331</v>
      </c>
      <c r="AA12" s="6" t="str">
        <f>IFERROR(__xludf.DUMMYFUNCTION("""COMPUTED_VALUE"""),"Berlaku")</f>
        <v>Berlaku</v>
      </c>
      <c r="AB12" s="31">
        <f>IFERROR(__xludf.DUMMYFUNCTION("""COMPUTED_VALUE"""),46884.0)</f>
        <v>46884</v>
      </c>
      <c r="AC12" s="6" t="str">
        <f>IFERROR(__xludf.DUMMYFUNCTION("""COMPUTED_VALUE"""),"Berlaku")</f>
        <v>Berlaku</v>
      </c>
      <c r="AD12" s="33">
        <f>IFERROR(__xludf.DUMMYFUNCTION("""COMPUTED_VALUE"""),46360.0)</f>
        <v>46360</v>
      </c>
      <c r="AE12" s="6" t="str">
        <f>IFERROR(__xludf.DUMMYFUNCTION("""COMPUTED_VALUE"""),"Berlaku")</f>
        <v>Berlaku</v>
      </c>
      <c r="AF12" s="6" t="str">
        <f>IFERROR(__xludf.DUMMYFUNCTION("""COMPUTED_VALUE"""),"TUGU")</f>
        <v>TUGU</v>
      </c>
      <c r="AG12" s="6" t="str">
        <f>IFERROR(__xludf.DUMMYFUNCTION("""COMPUTED_VALUE"""),"AKTIF ")</f>
        <v>AKTIF </v>
      </c>
      <c r="AH12" s="6"/>
      <c r="AI12" s="6" t="str">
        <f>IFERROR(__xludf.DUMMYFUNCTION("""COMPUTED_VALUE"""),"Menggantikan MT E 9795 YA sama-sama PT Puspita Cipta afkir setelah dispensasi ke 4 tgl 27 Januari 2024")</f>
        <v>Menggantikan MT E 9795 YA sama-sama PT Puspita Cipta afkir setelah dispensasi ke 4 tgl 27 Januari 2024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hidden="1">
      <c r="A13" s="6">
        <f>IFERROR(__xludf.DUMMYFUNCTION("""COMPUTED_VALUE"""),19.0)</f>
        <v>19</v>
      </c>
      <c r="B13" s="6" t="str">
        <f>IFERROR(__xludf.DUMMYFUNCTION("""COMPUTED_VALUE"""),"E9335YC")</f>
        <v>E9335YC</v>
      </c>
      <c r="C13" s="6" t="str">
        <f>IFERROR(__xludf.DUMMYFUNCTION("""COMPUTED_VALUE"""),"8+8+8")</f>
        <v>8+8+8</v>
      </c>
      <c r="D13" s="6">
        <f>IFERROR(__xludf.DUMMYFUNCTION("""COMPUTED_VALUE"""),24.0)</f>
        <v>24</v>
      </c>
      <c r="E13" s="6" t="str">
        <f>IFERROR(__xludf.DUMMYFUNCTION("""COMPUTED_VALUE"""),"PT. PUSPITA CIPTA")</f>
        <v>PT. PUSPITA CIPTA</v>
      </c>
      <c r="F13" s="6">
        <f>IFERROR(__xludf.DUMMYFUNCTION("""COMPUTED_VALUE"""),2023.0)</f>
        <v>2023</v>
      </c>
      <c r="G13" s="6">
        <f>IFERROR(__xludf.DUMMYFUNCTION("""COMPUTED_VALUE"""),2023.0)</f>
        <v>2023</v>
      </c>
      <c r="H13" s="6">
        <f>IFERROR(__xludf.DUMMYFUNCTION("""COMPUTED_VALUE"""),3.0)</f>
        <v>3</v>
      </c>
      <c r="I13" s="6" t="str">
        <f>IFERROR(__xludf.DUMMYFUNCTION("""COMPUTED_VALUE"""),"4028T")</f>
        <v>4028T</v>
      </c>
      <c r="J13" s="6">
        <f>IFERROR(__xludf.DUMMYFUNCTION("""COMPUTED_VALUE"""),6374.0)</f>
        <v>6374</v>
      </c>
      <c r="K13" s="6" t="str">
        <f>IFERROR(__xludf.DUMMYFUNCTION("""COMPUTED_VALUE"""),"EURO 5")</f>
        <v>EURO 5</v>
      </c>
      <c r="L13" s="6" t="str">
        <f>IFERROR(__xludf.DUMMYFUNCTION("""COMPUTED_VALUE"""),"Standart")</f>
        <v>Standart</v>
      </c>
      <c r="M13" s="6" t="str">
        <f>IFERROR(__xludf.DUMMYFUNCTION("""COMPUTED_VALUE"""),"Geluran Adikarya")</f>
        <v>Geluran Adikarya</v>
      </c>
      <c r="N13" s="6">
        <f>IFERROR(__xludf.DUMMYFUNCTION("""COMPUTED_VALUE"""),2013.0)</f>
        <v>2013</v>
      </c>
      <c r="O13" s="6">
        <f>IFERROR(__xludf.DUMMYFUNCTION("""COMPUTED_VALUE"""),13.0)</f>
        <v>13</v>
      </c>
      <c r="P13" s="6" t="str">
        <f>IFERROR(__xludf.DUMMYFUNCTION("""COMPUTED_VALUE"""),"AA")</f>
        <v>AA</v>
      </c>
      <c r="Q13" s="6" t="str">
        <f>IFERROR(__xludf.DUMMYFUNCTION("""COMPUTED_VALUE"""),"MERCEDES BENZ")</f>
        <v>MERCEDES BENZ</v>
      </c>
      <c r="R13" s="6" t="str">
        <f>IFERROR(__xludf.DUMMYFUNCTION("""COMPUTED_VALUE"""),"400953D0141220")</f>
        <v>400953D0141220</v>
      </c>
      <c r="S13" s="6" t="str">
        <f>IFERROR(__xludf.DUMMYFUNCTION("""COMPUTED_VALUE"""),"MFJ400262PJ002663")</f>
        <v>MFJ400262PJ002663</v>
      </c>
      <c r="T13" s="31">
        <f>IFERROR(__xludf.DUMMYFUNCTION("""COMPUTED_VALUE"""),47114.0)</f>
        <v>47114</v>
      </c>
      <c r="U13" s="6" t="str">
        <f>IFERROR(__xludf.DUMMYFUNCTION("""COMPUTED_VALUE"""),"Berlaku")</f>
        <v>Berlaku</v>
      </c>
      <c r="V13" s="31">
        <f>IFERROR(__xludf.DUMMYFUNCTION("""COMPUTED_VALUE"""),46383.0)</f>
        <v>46383</v>
      </c>
      <c r="W13" s="6" t="str">
        <f>IFERROR(__xludf.DUMMYFUNCTION("""COMPUTED_VALUE"""),"Berlaku")</f>
        <v>Berlaku</v>
      </c>
      <c r="X13" s="31">
        <f>IFERROR(__xludf.DUMMYFUNCTION("""COMPUTED_VALUE"""),46331.0)</f>
        <v>46331</v>
      </c>
      <c r="Y13" s="6" t="str">
        <f>IFERROR(__xludf.DUMMYFUNCTION("""COMPUTED_VALUE"""),"Akan Habis")</f>
        <v>Akan Habis</v>
      </c>
      <c r="Z13" s="31">
        <f>IFERROR(__xludf.DUMMYFUNCTION("""COMPUTED_VALUE"""),46331.0)</f>
        <v>46331</v>
      </c>
      <c r="AA13" s="6" t="str">
        <f>IFERROR(__xludf.DUMMYFUNCTION("""COMPUTED_VALUE"""),"Berlaku")</f>
        <v>Berlaku</v>
      </c>
      <c r="AB13" s="31">
        <f>IFERROR(__xludf.DUMMYFUNCTION("""COMPUTED_VALUE"""),46912.0)</f>
        <v>46912</v>
      </c>
      <c r="AC13" s="6" t="str">
        <f>IFERROR(__xludf.DUMMYFUNCTION("""COMPUTED_VALUE"""),"Berlaku")</f>
        <v>Berlaku</v>
      </c>
      <c r="AD13" s="33">
        <f>IFERROR(__xludf.DUMMYFUNCTION("""COMPUTED_VALUE"""),46360.0)</f>
        <v>46360</v>
      </c>
      <c r="AE13" s="6" t="str">
        <f>IFERROR(__xludf.DUMMYFUNCTION("""COMPUTED_VALUE"""),"Berlaku")</f>
        <v>Berlaku</v>
      </c>
      <c r="AF13" s="6" t="str">
        <f>IFERROR(__xludf.DUMMYFUNCTION("""COMPUTED_VALUE"""),"TUGU")</f>
        <v>TUGU</v>
      </c>
      <c r="AG13" s="6" t="str">
        <f>IFERROR(__xludf.DUMMYFUNCTION("""COMPUTED_VALUE"""),"AKTIF ")</f>
        <v>AKTIF </v>
      </c>
      <c r="AH13" s="6"/>
      <c r="AI13" s="6" t="str">
        <f>IFERROR(__xludf.DUMMYFUNCTION("""COMPUTED_VALUE"""),"Menggantikan MT E 9854 YA sama-sama PT Puspita Cipta afkir setelah dispensasi 3 sd 27 Februari 2024")</f>
        <v>Menggantikan MT E 9854 YA sama-sama PT Puspita Cipta afkir setelah dispensasi 3 sd 27 Februari 2024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>
      <c r="A14" s="6">
        <f>IFERROR(__xludf.DUMMYFUNCTION("""COMPUTED_VALUE"""),20.0)</f>
        <v>20</v>
      </c>
      <c r="B14" s="6" t="str">
        <f>IFERROR(__xludf.DUMMYFUNCTION("""COMPUTED_VALUE"""),"E9412YC")</f>
        <v>E9412YC</v>
      </c>
      <c r="C14" s="6" t="str">
        <f>IFERROR(__xludf.DUMMYFUNCTION("""COMPUTED_VALUE"""),"8+8+8")</f>
        <v>8+8+8</v>
      </c>
      <c r="D14" s="6">
        <f>IFERROR(__xludf.DUMMYFUNCTION("""COMPUTED_VALUE"""),24.0)</f>
        <v>24</v>
      </c>
      <c r="E14" s="6" t="str">
        <f>IFERROR(__xludf.DUMMYFUNCTION("""COMPUTED_VALUE"""),"PT. PUSPITA CIPTA")</f>
        <v>PT. PUSPITA CIPTA</v>
      </c>
      <c r="F14" s="6">
        <f>IFERROR(__xludf.DUMMYFUNCTION("""COMPUTED_VALUE"""),2024.0)</f>
        <v>2024</v>
      </c>
      <c r="G14" s="6">
        <f>IFERROR(__xludf.DUMMYFUNCTION("""COMPUTED_VALUE"""),2024.0)</f>
        <v>2024</v>
      </c>
      <c r="H14" s="6">
        <f>IFERROR(__xludf.DUMMYFUNCTION("""COMPUTED_VALUE"""),2.0)</f>
        <v>2</v>
      </c>
      <c r="I14" s="6" t="str">
        <f>IFERROR(__xludf.DUMMYFUNCTION("""COMPUTED_VALUE"""),"4028T")</f>
        <v>4028T</v>
      </c>
      <c r="J14" s="6">
        <f>IFERROR(__xludf.DUMMYFUNCTION("""COMPUTED_VALUE"""),6374.0)</f>
        <v>6374</v>
      </c>
      <c r="K14" s="6" t="str">
        <f>IFERROR(__xludf.DUMMYFUNCTION("""COMPUTED_VALUE"""),"EURO 5")</f>
        <v>EURO 5</v>
      </c>
      <c r="L14" s="6" t="str">
        <f>IFERROR(__xludf.DUMMYFUNCTION("""COMPUTED_VALUE"""),"Standart")</f>
        <v>Standart</v>
      </c>
      <c r="M14" s="6" t="str">
        <f>IFERROR(__xludf.DUMMYFUNCTION("""COMPUTED_VALUE"""),"Geluran Adikarya")</f>
        <v>Geluran Adikarya</v>
      </c>
      <c r="N14" s="6">
        <f>IFERROR(__xludf.DUMMYFUNCTION("""COMPUTED_VALUE"""),2014.0)</f>
        <v>2014</v>
      </c>
      <c r="O14" s="6">
        <f>IFERROR(__xludf.DUMMYFUNCTION("""COMPUTED_VALUE"""),12.0)</f>
        <v>12</v>
      </c>
      <c r="P14" s="6" t="str">
        <f>IFERROR(__xludf.DUMMYFUNCTION("""COMPUTED_VALUE"""),"AA")</f>
        <v>AA</v>
      </c>
      <c r="Q14" s="6" t="str">
        <f>IFERROR(__xludf.DUMMYFUNCTION("""COMPUTED_VALUE"""),"MERCEDES BENZ")</f>
        <v>MERCEDES BENZ</v>
      </c>
      <c r="R14" s="6" t="str">
        <f>IFERROR(__xludf.DUMMYFUNCTION("""COMPUTED_VALUE"""),"400953D0157253")</f>
        <v>400953D0157253</v>
      </c>
      <c r="S14" s="6" t="str">
        <f>IFERROR(__xludf.DUMMYFUNCTION("""COMPUTED_VALUE"""),"MFJ400262RJ003239")</f>
        <v>MFJ400262RJ003239</v>
      </c>
      <c r="T14" s="31">
        <f>IFERROR(__xludf.DUMMYFUNCTION("""COMPUTED_VALUE"""),47429.0)</f>
        <v>47429</v>
      </c>
      <c r="U14" s="6" t="str">
        <f>IFERROR(__xludf.DUMMYFUNCTION("""COMPUTED_VALUE"""),"Berlaku")</f>
        <v>Berlaku</v>
      </c>
      <c r="V14" s="31">
        <f>IFERROR(__xludf.DUMMYFUNCTION("""COMPUTED_VALUE"""),46333.0)</f>
        <v>46333</v>
      </c>
      <c r="W14" s="6" t="str">
        <f>IFERROR(__xludf.DUMMYFUNCTION("""COMPUTED_VALUE"""),"Akan Habis")</f>
        <v>Akan Habis</v>
      </c>
      <c r="X14" s="31">
        <f>IFERROR(__xludf.DUMMYFUNCTION("""COMPUTED_VALUE"""),46331.0)</f>
        <v>46331</v>
      </c>
      <c r="Y14" s="6" t="str">
        <f>IFERROR(__xludf.DUMMYFUNCTION("""COMPUTED_VALUE"""),"Akan Habis")</f>
        <v>Akan Habis</v>
      </c>
      <c r="Z14" s="31">
        <f>IFERROR(__xludf.DUMMYFUNCTION("""COMPUTED_VALUE"""),46331.0)</f>
        <v>46331</v>
      </c>
      <c r="AA14" s="6" t="str">
        <f>IFERROR(__xludf.DUMMYFUNCTION("""COMPUTED_VALUE"""),"Berlaku")</f>
        <v>Berlaku</v>
      </c>
      <c r="AB14" s="31">
        <f>IFERROR(__xludf.DUMMYFUNCTION("""COMPUTED_VALUE"""),46351.0)</f>
        <v>46351</v>
      </c>
      <c r="AC14" s="6" t="str">
        <f>IFERROR(__xludf.DUMMYFUNCTION("""COMPUTED_VALUE"""),"Akan Habis")</f>
        <v>Akan Habis</v>
      </c>
      <c r="AD14" s="33">
        <f>IFERROR(__xludf.DUMMYFUNCTION("""COMPUTED_VALUE"""),46340.0)</f>
        <v>46340</v>
      </c>
      <c r="AE14" s="6" t="str">
        <f>IFERROR(__xludf.DUMMYFUNCTION("""COMPUTED_VALUE"""),"Berlaku")</f>
        <v>Berlaku</v>
      </c>
      <c r="AF14" s="6" t="str">
        <f>IFERROR(__xludf.DUMMYFUNCTION("""COMPUTED_VALUE"""),"TUGU")</f>
        <v>TUGU</v>
      </c>
      <c r="AG14" s="6" t="str">
        <f>IFERROR(__xludf.DUMMYFUNCTION("""COMPUTED_VALUE"""),"AKTIF ")</f>
        <v>AKTIF </v>
      </c>
      <c r="AH14" s="6"/>
      <c r="AI14" s="6" t="str">
        <f>IFERROR(__xludf.DUMMYFUNCTION("""COMPUTED_VALUE"""),"Meremajakan MT E 9212 YB")</f>
        <v>Meremajakan MT E 9212 YB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hidden="1">
      <c r="A15" s="6">
        <f>IFERROR(__xludf.DUMMYFUNCTION("""COMPUTED_VALUE"""),23.0)</f>
        <v>23</v>
      </c>
      <c r="B15" s="6" t="str">
        <f>IFERROR(__xludf.DUMMYFUNCTION("""COMPUTED_VALUE"""),"E9445YC")</f>
        <v>E9445YC</v>
      </c>
      <c r="C15" s="6" t="str">
        <f>IFERROR(__xludf.DUMMYFUNCTION("""COMPUTED_VALUE"""),"8+8+8")</f>
        <v>8+8+8</v>
      </c>
      <c r="D15" s="6">
        <f>IFERROR(__xludf.DUMMYFUNCTION("""COMPUTED_VALUE"""),24.0)</f>
        <v>24</v>
      </c>
      <c r="E15" s="6" t="str">
        <f>IFERROR(__xludf.DUMMYFUNCTION("""COMPUTED_VALUE"""),"PT. PUSPITA CIPTA")</f>
        <v>PT. PUSPITA CIPTA</v>
      </c>
      <c r="F15" s="6">
        <f>IFERROR(__xludf.DUMMYFUNCTION("""COMPUTED_VALUE"""),2024.0)</f>
        <v>2024</v>
      </c>
      <c r="G15" s="6">
        <f>IFERROR(__xludf.DUMMYFUNCTION("""COMPUTED_VALUE"""),2024.0)</f>
        <v>2024</v>
      </c>
      <c r="H15" s="6">
        <f>IFERROR(__xludf.DUMMYFUNCTION("""COMPUTED_VALUE"""),2.0)</f>
        <v>2</v>
      </c>
      <c r="I15" s="6" t="str">
        <f>IFERROR(__xludf.DUMMYFUNCTION("""COMPUTED_VALUE"""),"4028T")</f>
        <v>4028T</v>
      </c>
      <c r="J15" s="6">
        <f>IFERROR(__xludf.DUMMYFUNCTION("""COMPUTED_VALUE"""),6374.0)</f>
        <v>6374</v>
      </c>
      <c r="K15" s="6" t="str">
        <f>IFERROR(__xludf.DUMMYFUNCTION("""COMPUTED_VALUE"""),"EURO 5")</f>
        <v>EURO 5</v>
      </c>
      <c r="L15" s="6" t="str">
        <f>IFERROR(__xludf.DUMMYFUNCTION("""COMPUTED_VALUE"""),"Standart")</f>
        <v>Standart</v>
      </c>
      <c r="M15" s="6" t="str">
        <f>IFERROR(__xludf.DUMMYFUNCTION("""COMPUTED_VALUE"""),"Geluran Adikarya")</f>
        <v>Geluran Adikarya</v>
      </c>
      <c r="N15" s="6">
        <f>IFERROR(__xludf.DUMMYFUNCTION("""COMPUTED_VALUE"""),2014.0)</f>
        <v>2014</v>
      </c>
      <c r="O15" s="6">
        <f>IFERROR(__xludf.DUMMYFUNCTION("""COMPUTED_VALUE"""),12.0)</f>
        <v>12</v>
      </c>
      <c r="P15" s="6" t="str">
        <f>IFERROR(__xludf.DUMMYFUNCTION("""COMPUTED_VALUE"""),"AA")</f>
        <v>AA</v>
      </c>
      <c r="Q15" s="6" t="str">
        <f>IFERROR(__xludf.DUMMYFUNCTION("""COMPUTED_VALUE"""),"MERCEDES BENZ")</f>
        <v>MERCEDES BENZ</v>
      </c>
      <c r="R15" s="6" t="str">
        <f>IFERROR(__xludf.DUMMYFUNCTION("""COMPUTED_VALUE"""),"400953D0160558")</f>
        <v>400953D0160558</v>
      </c>
      <c r="S15" s="6" t="str">
        <f>IFERROR(__xludf.DUMMYFUNCTION("""COMPUTED_VALUE"""),"MFJ400262RJ003564")</f>
        <v>MFJ400262RJ003564</v>
      </c>
      <c r="T15" s="31">
        <f>IFERROR(__xludf.DUMMYFUNCTION("""COMPUTED_VALUE"""),47475.0)</f>
        <v>47475</v>
      </c>
      <c r="U15" s="6" t="str">
        <f>IFERROR(__xludf.DUMMYFUNCTION("""COMPUTED_VALUE"""),"Berlaku")</f>
        <v>Berlaku</v>
      </c>
      <c r="V15" s="31">
        <f>IFERROR(__xludf.DUMMYFUNCTION("""COMPUTED_VALUE"""),46379.0)</f>
        <v>46379</v>
      </c>
      <c r="W15" s="6" t="str">
        <f>IFERROR(__xludf.DUMMYFUNCTION("""COMPUTED_VALUE"""),"Berlaku")</f>
        <v>Berlaku</v>
      </c>
      <c r="X15" s="31">
        <f>IFERROR(__xludf.DUMMYFUNCTION("""COMPUTED_VALUE"""),46332.0)</f>
        <v>46332</v>
      </c>
      <c r="Y15" s="6" t="str">
        <f>IFERROR(__xludf.DUMMYFUNCTION("""COMPUTED_VALUE"""),"Akan Habis")</f>
        <v>Akan Habis</v>
      </c>
      <c r="Z15" s="31">
        <f>IFERROR(__xludf.DUMMYFUNCTION("""COMPUTED_VALUE"""),46332.0)</f>
        <v>46332</v>
      </c>
      <c r="AA15" s="6" t="str">
        <f>IFERROR(__xludf.DUMMYFUNCTION("""COMPUTED_VALUE"""),"Berlaku")</f>
        <v>Berlaku</v>
      </c>
      <c r="AB15" s="31">
        <f>IFERROR(__xludf.DUMMYFUNCTION("""COMPUTED_VALUE"""),46452.0)</f>
        <v>46452</v>
      </c>
      <c r="AC15" s="6" t="str">
        <f>IFERROR(__xludf.DUMMYFUNCTION("""COMPUTED_VALUE"""),"Berlaku")</f>
        <v>Berlaku</v>
      </c>
      <c r="AD15" s="33">
        <f>IFERROR(__xludf.DUMMYFUNCTION("""COMPUTED_VALUE"""),46340.0)</f>
        <v>46340</v>
      </c>
      <c r="AE15" s="6" t="str">
        <f>IFERROR(__xludf.DUMMYFUNCTION("""COMPUTED_VALUE"""),"Berlaku")</f>
        <v>Berlaku</v>
      </c>
      <c r="AF15" s="6" t="str">
        <f>IFERROR(__xludf.DUMMYFUNCTION("""COMPUTED_VALUE"""),"TUGU")</f>
        <v>TUGU</v>
      </c>
      <c r="AG15" s="6" t="str">
        <f>IFERROR(__xludf.DUMMYFUNCTION("""COMPUTED_VALUE"""),"AKTIF ")</f>
        <v>AKTIF </v>
      </c>
      <c r="AH15" s="6"/>
      <c r="AI15" s="6" t="str">
        <f>IFERROR(__xludf.DUMMYFUNCTION("""COMPUTED_VALUE"""),"Meremajakan MT E9330YB")</f>
        <v>Meremajakan MT E9330YB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hidden="1">
      <c r="A16" s="6">
        <f>IFERROR(__xludf.DUMMYFUNCTION("""COMPUTED_VALUE"""),24.0)</f>
        <v>24</v>
      </c>
      <c r="B16" s="6" t="str">
        <f>IFERROR(__xludf.DUMMYFUNCTION("""COMPUTED_VALUE"""),"E9552YC")</f>
        <v>E9552YC</v>
      </c>
      <c r="C16" s="6" t="str">
        <f>IFERROR(__xludf.DUMMYFUNCTION("""COMPUTED_VALUE"""),"8+8+8")</f>
        <v>8+8+8</v>
      </c>
      <c r="D16" s="6">
        <f>IFERROR(__xludf.DUMMYFUNCTION("""COMPUTED_VALUE"""),24.0)</f>
        <v>24</v>
      </c>
      <c r="E16" s="6" t="str">
        <f>IFERROR(__xludf.DUMMYFUNCTION("""COMPUTED_VALUE"""),"PT. PUSPITA CIPTA")</f>
        <v>PT. PUSPITA CIPTA</v>
      </c>
      <c r="F16" s="6">
        <f>IFERROR(__xludf.DUMMYFUNCTION("""COMPUTED_VALUE"""),2025.0)</f>
        <v>2025</v>
      </c>
      <c r="G16" s="6">
        <f>IFERROR(__xludf.DUMMYFUNCTION("""COMPUTED_VALUE"""),2025.0)</f>
        <v>2025</v>
      </c>
      <c r="H16" s="6">
        <f>IFERROR(__xludf.DUMMYFUNCTION("""COMPUTED_VALUE"""),1.0)</f>
        <v>1</v>
      </c>
      <c r="I16" s="6" t="str">
        <f>IFERROR(__xludf.DUMMYFUNCTION("""COMPUTED_VALUE"""),"4028T")</f>
        <v>4028T</v>
      </c>
      <c r="J16" s="6">
        <f>IFERROR(__xludf.DUMMYFUNCTION("""COMPUTED_VALUE"""),6374.0)</f>
        <v>6374</v>
      </c>
      <c r="K16" s="6" t="str">
        <f>IFERROR(__xludf.DUMMYFUNCTION("""COMPUTED_VALUE"""),"EURO 5")</f>
        <v>EURO 5</v>
      </c>
      <c r="L16" s="6" t="str">
        <f>IFERROR(__xludf.DUMMYFUNCTION("""COMPUTED_VALUE"""),"Standart")</f>
        <v>Standart</v>
      </c>
      <c r="M16" s="6" t="str">
        <f>IFERROR(__xludf.DUMMYFUNCTION("""COMPUTED_VALUE"""),"Geluran Adikarya")</f>
        <v>Geluran Adikarya</v>
      </c>
      <c r="N16" s="6">
        <f>IFERROR(__xludf.DUMMYFUNCTION("""COMPUTED_VALUE"""),2015.0)</f>
        <v>2015</v>
      </c>
      <c r="O16" s="6">
        <f>IFERROR(__xludf.DUMMYFUNCTION("""COMPUTED_VALUE"""),11.0)</f>
        <v>11</v>
      </c>
      <c r="P16" s="6" t="str">
        <f>IFERROR(__xludf.DUMMYFUNCTION("""COMPUTED_VALUE"""),"AA")</f>
        <v>AA</v>
      </c>
      <c r="Q16" s="6" t="str">
        <f>IFERROR(__xludf.DUMMYFUNCTION("""COMPUTED_VALUE"""),"MERCEDES BENZ")</f>
        <v>MERCEDES BENZ</v>
      </c>
      <c r="R16" s="6" t="str">
        <f>IFERROR(__xludf.DUMMYFUNCTION("""COMPUTED_VALUE"""),"400953D0195229")</f>
        <v>400953D0195229</v>
      </c>
      <c r="S16" s="6" t="str">
        <f>IFERROR(__xludf.DUMMYFUNCTION("""COMPUTED_VALUE"""),"MFJ400262SJ004827")</f>
        <v>MFJ400262SJ004827</v>
      </c>
      <c r="T16" s="31">
        <f>IFERROR(__xludf.DUMMYFUNCTION("""COMPUTED_VALUE"""),47833.0)</f>
        <v>47833</v>
      </c>
      <c r="U16" s="6" t="str">
        <f>IFERROR(__xludf.DUMMYFUNCTION("""COMPUTED_VALUE"""),"Berlaku")</f>
        <v>Berlaku</v>
      </c>
      <c r="V16" s="31">
        <f>IFERROR(__xludf.DUMMYFUNCTION("""COMPUTED_VALUE"""),46372.0)</f>
        <v>46372</v>
      </c>
      <c r="W16" s="6" t="str">
        <f>IFERROR(__xludf.DUMMYFUNCTION("""COMPUTED_VALUE"""),"Berlaku")</f>
        <v>Berlaku</v>
      </c>
      <c r="X16" s="31">
        <f>IFERROR(__xludf.DUMMYFUNCTION("""COMPUTED_VALUE"""),46332.0)</f>
        <v>46332</v>
      </c>
      <c r="Y16" s="6" t="str">
        <f>IFERROR(__xludf.DUMMYFUNCTION("""COMPUTED_VALUE"""),"Akan Habis")</f>
        <v>Akan Habis</v>
      </c>
      <c r="Z16" s="31">
        <f>IFERROR(__xludf.DUMMYFUNCTION("""COMPUTED_VALUE"""),46332.0)</f>
        <v>46332</v>
      </c>
      <c r="AA16" s="6" t="str">
        <f>IFERROR(__xludf.DUMMYFUNCTION("""COMPUTED_VALUE"""),"Berlaku")</f>
        <v>Berlaku</v>
      </c>
      <c r="AB16" s="31">
        <f>IFERROR(__xludf.DUMMYFUNCTION("""COMPUTED_VALUE"""),46814.0)</f>
        <v>46814</v>
      </c>
      <c r="AC16" s="6" t="str">
        <f>IFERROR(__xludf.DUMMYFUNCTION("""COMPUTED_VALUE"""),"Berlaku")</f>
        <v>Berlaku</v>
      </c>
      <c r="AD16" s="33">
        <f>IFERROR(__xludf.DUMMYFUNCTION("""COMPUTED_VALUE"""),46459.0)</f>
        <v>46459</v>
      </c>
      <c r="AE16" s="6" t="str">
        <f>IFERROR(__xludf.DUMMYFUNCTION("""COMPUTED_VALUE"""),"Berlaku")</f>
        <v>Berlaku</v>
      </c>
      <c r="AF16" s="6" t="str">
        <f>IFERROR(__xludf.DUMMYFUNCTION("""COMPUTED_VALUE"""),"TUGU")</f>
        <v>TUGU</v>
      </c>
      <c r="AG16" s="6" t="str">
        <f>IFERROR(__xludf.DUMMYFUNCTION("""COMPUTED_VALUE"""),"AKTIF ")</f>
        <v>AKTIF </v>
      </c>
      <c r="AH16" s="6"/>
      <c r="AI16" s="6" t="str">
        <f>IFERROR(__xludf.DUMMYFUNCTION("""COMPUTED_VALUE"""),"Peremajaan E9553YB")</f>
        <v>Peremajaan E9553YB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hidden="1">
      <c r="A17" s="6">
        <f>IFERROR(__xludf.DUMMYFUNCTION("""COMPUTED_VALUE"""),25.0)</f>
        <v>25</v>
      </c>
      <c r="B17" s="6" t="str">
        <f>IFERROR(__xludf.DUMMYFUNCTION("""COMPUTED_VALUE"""),"E9554YC")</f>
        <v>E9554YC</v>
      </c>
      <c r="C17" s="6" t="str">
        <f>IFERROR(__xludf.DUMMYFUNCTION("""COMPUTED_VALUE"""),"8+8+8")</f>
        <v>8+8+8</v>
      </c>
      <c r="D17" s="6">
        <f>IFERROR(__xludf.DUMMYFUNCTION("""COMPUTED_VALUE"""),24.0)</f>
        <v>24</v>
      </c>
      <c r="E17" s="6" t="str">
        <f>IFERROR(__xludf.DUMMYFUNCTION("""COMPUTED_VALUE"""),"PT. PUSPITA CIPTA")</f>
        <v>PT. PUSPITA CIPTA</v>
      </c>
      <c r="F17" s="6">
        <f>IFERROR(__xludf.DUMMYFUNCTION("""COMPUTED_VALUE"""),2025.0)</f>
        <v>2025</v>
      </c>
      <c r="G17" s="6">
        <f>IFERROR(__xludf.DUMMYFUNCTION("""COMPUTED_VALUE"""),2025.0)</f>
        <v>2025</v>
      </c>
      <c r="H17" s="6">
        <f>IFERROR(__xludf.DUMMYFUNCTION("""COMPUTED_VALUE"""),1.0)</f>
        <v>1</v>
      </c>
      <c r="I17" s="6" t="str">
        <f>IFERROR(__xludf.DUMMYFUNCTION("""COMPUTED_VALUE"""),"4028T")</f>
        <v>4028T</v>
      </c>
      <c r="J17" s="6">
        <f>IFERROR(__xludf.DUMMYFUNCTION("""COMPUTED_VALUE"""),6374.0)</f>
        <v>6374</v>
      </c>
      <c r="K17" s="6" t="str">
        <f>IFERROR(__xludf.DUMMYFUNCTION("""COMPUTED_VALUE"""),"EURO 5")</f>
        <v>EURO 5</v>
      </c>
      <c r="L17" s="6" t="str">
        <f>IFERROR(__xludf.DUMMYFUNCTION("""COMPUTED_VALUE"""),"Standart")</f>
        <v>Standart</v>
      </c>
      <c r="M17" s="6" t="str">
        <f>IFERROR(__xludf.DUMMYFUNCTION("""COMPUTED_VALUE"""),"Geluran Adikarya")</f>
        <v>Geluran Adikarya</v>
      </c>
      <c r="N17" s="6">
        <f>IFERROR(__xludf.DUMMYFUNCTION("""COMPUTED_VALUE"""),2015.0)</f>
        <v>2015</v>
      </c>
      <c r="O17" s="6">
        <f>IFERROR(__xludf.DUMMYFUNCTION("""COMPUTED_VALUE"""),11.0)</f>
        <v>11</v>
      </c>
      <c r="P17" s="6" t="str">
        <f>IFERROR(__xludf.DUMMYFUNCTION("""COMPUTED_VALUE"""),"AA")</f>
        <v>AA</v>
      </c>
      <c r="Q17" s="6" t="str">
        <f>IFERROR(__xludf.DUMMYFUNCTION("""COMPUTED_VALUE"""),"MERCEDES BENZ")</f>
        <v>MERCEDES BENZ</v>
      </c>
      <c r="R17" s="6" t="str">
        <f>IFERROR(__xludf.DUMMYFUNCTION("""COMPUTED_VALUE"""),"400953D0195257")</f>
        <v>400953D0195257</v>
      </c>
      <c r="S17" s="6" t="str">
        <f>IFERROR(__xludf.DUMMYFUNCTION("""COMPUTED_VALUE"""),"MFJ400262SJ004829")</f>
        <v>MFJ400262SJ004829</v>
      </c>
      <c r="T17" s="31">
        <f>IFERROR(__xludf.DUMMYFUNCTION("""COMPUTED_VALUE"""),47833.0)</f>
        <v>47833</v>
      </c>
      <c r="U17" s="6" t="str">
        <f>IFERROR(__xludf.DUMMYFUNCTION("""COMPUTED_VALUE"""),"Berlaku")</f>
        <v>Berlaku</v>
      </c>
      <c r="V17" s="31">
        <f>IFERROR(__xludf.DUMMYFUNCTION("""COMPUTED_VALUE"""),46372.0)</f>
        <v>46372</v>
      </c>
      <c r="W17" s="6" t="str">
        <f>IFERROR(__xludf.DUMMYFUNCTION("""COMPUTED_VALUE"""),"Berlaku")</f>
        <v>Berlaku</v>
      </c>
      <c r="X17" s="31">
        <f>IFERROR(__xludf.DUMMYFUNCTION("""COMPUTED_VALUE"""),46332.0)</f>
        <v>46332</v>
      </c>
      <c r="Y17" s="6" t="str">
        <f>IFERROR(__xludf.DUMMYFUNCTION("""COMPUTED_VALUE"""),"Akan Habis")</f>
        <v>Akan Habis</v>
      </c>
      <c r="Z17" s="31">
        <f>IFERROR(__xludf.DUMMYFUNCTION("""COMPUTED_VALUE"""),46332.0)</f>
        <v>46332</v>
      </c>
      <c r="AA17" s="6" t="str">
        <f>IFERROR(__xludf.DUMMYFUNCTION("""COMPUTED_VALUE"""),"Berlaku")</f>
        <v>Berlaku</v>
      </c>
      <c r="AB17" s="31">
        <f>IFERROR(__xludf.DUMMYFUNCTION("""COMPUTED_VALUE"""),46816.0)</f>
        <v>46816</v>
      </c>
      <c r="AC17" s="6" t="str">
        <f>IFERROR(__xludf.DUMMYFUNCTION("""COMPUTED_VALUE"""),"Berlaku")</f>
        <v>Berlaku</v>
      </c>
      <c r="AD17" s="33">
        <f>IFERROR(__xludf.DUMMYFUNCTION("""COMPUTED_VALUE"""),46459.0)</f>
        <v>46459</v>
      </c>
      <c r="AE17" s="6" t="str">
        <f>IFERROR(__xludf.DUMMYFUNCTION("""COMPUTED_VALUE"""),"Berlaku")</f>
        <v>Berlaku</v>
      </c>
      <c r="AF17" s="6" t="str">
        <f>IFERROR(__xludf.DUMMYFUNCTION("""COMPUTED_VALUE"""),"TUGU")</f>
        <v>TUGU</v>
      </c>
      <c r="AG17" s="6" t="str">
        <f>IFERROR(__xludf.DUMMYFUNCTION("""COMPUTED_VALUE"""),"AKTIF ")</f>
        <v>AKTIF </v>
      </c>
      <c r="AH17" s="6"/>
      <c r="AI17" s="6" t="str">
        <f>IFERROR(__xludf.DUMMYFUNCTION("""COMPUTED_VALUE"""),"Peremajaan E9557YB")</f>
        <v>Peremajaan E9557YB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hidden="1">
      <c r="A18" s="6">
        <f>IFERROR(__xludf.DUMMYFUNCTION("""COMPUTED_VALUE"""),26.0)</f>
        <v>26</v>
      </c>
      <c r="B18" s="6" t="str">
        <f>IFERROR(__xludf.DUMMYFUNCTION("""COMPUTED_VALUE"""),"E9556YC")</f>
        <v>E9556YC</v>
      </c>
      <c r="C18" s="6" t="str">
        <f>IFERROR(__xludf.DUMMYFUNCTION("""COMPUTED_VALUE"""),"8+8+8")</f>
        <v>8+8+8</v>
      </c>
      <c r="D18" s="6">
        <f>IFERROR(__xludf.DUMMYFUNCTION("""COMPUTED_VALUE"""),24.0)</f>
        <v>24</v>
      </c>
      <c r="E18" s="6" t="str">
        <f>IFERROR(__xludf.DUMMYFUNCTION("""COMPUTED_VALUE"""),"PT. PUSPITA CIPTA")</f>
        <v>PT. PUSPITA CIPTA</v>
      </c>
      <c r="F18" s="6">
        <f>IFERROR(__xludf.DUMMYFUNCTION("""COMPUTED_VALUE"""),2025.0)</f>
        <v>2025</v>
      </c>
      <c r="G18" s="6">
        <f>IFERROR(__xludf.DUMMYFUNCTION("""COMPUTED_VALUE"""),2025.0)</f>
        <v>2025</v>
      </c>
      <c r="H18" s="6">
        <f>IFERROR(__xludf.DUMMYFUNCTION("""COMPUTED_VALUE"""),1.0)</f>
        <v>1</v>
      </c>
      <c r="I18" s="6" t="str">
        <f>IFERROR(__xludf.DUMMYFUNCTION("""COMPUTED_VALUE"""),"4028T")</f>
        <v>4028T</v>
      </c>
      <c r="J18" s="6">
        <f>IFERROR(__xludf.DUMMYFUNCTION("""COMPUTED_VALUE"""),6374.0)</f>
        <v>6374</v>
      </c>
      <c r="K18" s="6" t="str">
        <f>IFERROR(__xludf.DUMMYFUNCTION("""COMPUTED_VALUE"""),"EURO 5")</f>
        <v>EURO 5</v>
      </c>
      <c r="L18" s="6" t="str">
        <f>IFERROR(__xludf.DUMMYFUNCTION("""COMPUTED_VALUE"""),"Standart")</f>
        <v>Standart</v>
      </c>
      <c r="M18" s="6" t="str">
        <f>IFERROR(__xludf.DUMMYFUNCTION("""COMPUTED_VALUE"""),"Geluran Adikarya")</f>
        <v>Geluran Adikarya</v>
      </c>
      <c r="N18" s="6">
        <f>IFERROR(__xludf.DUMMYFUNCTION("""COMPUTED_VALUE"""),2015.0)</f>
        <v>2015</v>
      </c>
      <c r="O18" s="6">
        <f>IFERROR(__xludf.DUMMYFUNCTION("""COMPUTED_VALUE"""),11.0)</f>
        <v>11</v>
      </c>
      <c r="P18" s="6" t="str">
        <f>IFERROR(__xludf.DUMMYFUNCTION("""COMPUTED_VALUE"""),"AA")</f>
        <v>AA</v>
      </c>
      <c r="Q18" s="6" t="str">
        <f>IFERROR(__xludf.DUMMYFUNCTION("""COMPUTED_VALUE"""),"MERCEDES BENZ")</f>
        <v>MERCEDES BENZ</v>
      </c>
      <c r="R18" s="6" t="str">
        <f>IFERROR(__xludf.DUMMYFUNCTION("""COMPUTED_VALUE"""),"400953D0195053")</f>
        <v>400953D0195053</v>
      </c>
      <c r="S18" s="6" t="str">
        <f>IFERROR(__xludf.DUMMYFUNCTION("""COMPUTED_VALUE"""),"MFJ400262SJ004770")</f>
        <v>MFJ400262SJ004770</v>
      </c>
      <c r="T18" s="31">
        <f>IFERROR(__xludf.DUMMYFUNCTION("""COMPUTED_VALUE"""),47833.0)</f>
        <v>47833</v>
      </c>
      <c r="U18" s="6" t="str">
        <f>IFERROR(__xludf.DUMMYFUNCTION("""COMPUTED_VALUE"""),"Berlaku")</f>
        <v>Berlaku</v>
      </c>
      <c r="V18" s="31">
        <f>IFERROR(__xludf.DUMMYFUNCTION("""COMPUTED_VALUE"""),46372.0)</f>
        <v>46372</v>
      </c>
      <c r="W18" s="6" t="str">
        <f>IFERROR(__xludf.DUMMYFUNCTION("""COMPUTED_VALUE"""),"Berlaku")</f>
        <v>Berlaku</v>
      </c>
      <c r="X18" s="31">
        <f>IFERROR(__xludf.DUMMYFUNCTION("""COMPUTED_VALUE"""),46332.0)</f>
        <v>46332</v>
      </c>
      <c r="Y18" s="6" t="str">
        <f>IFERROR(__xludf.DUMMYFUNCTION("""COMPUTED_VALUE"""),"Akan Habis")</f>
        <v>Akan Habis</v>
      </c>
      <c r="Z18" s="31">
        <f>IFERROR(__xludf.DUMMYFUNCTION("""COMPUTED_VALUE"""),46332.0)</f>
        <v>46332</v>
      </c>
      <c r="AA18" s="6" t="str">
        <f>IFERROR(__xludf.DUMMYFUNCTION("""COMPUTED_VALUE"""),"Berlaku")</f>
        <v>Berlaku</v>
      </c>
      <c r="AB18" s="31">
        <f>IFERROR(__xludf.DUMMYFUNCTION("""COMPUTED_VALUE"""),46817.0)</f>
        <v>46817</v>
      </c>
      <c r="AC18" s="6" t="str">
        <f>IFERROR(__xludf.DUMMYFUNCTION("""COMPUTED_VALUE"""),"Berlaku")</f>
        <v>Berlaku</v>
      </c>
      <c r="AD18" s="33">
        <f>IFERROR(__xludf.DUMMYFUNCTION("""COMPUTED_VALUE"""),46459.0)</f>
        <v>46459</v>
      </c>
      <c r="AE18" s="6" t="str">
        <f>IFERROR(__xludf.DUMMYFUNCTION("""COMPUTED_VALUE"""),"Berlaku")</f>
        <v>Berlaku</v>
      </c>
      <c r="AF18" s="6" t="str">
        <f>IFERROR(__xludf.DUMMYFUNCTION("""COMPUTED_VALUE"""),"TUGU")</f>
        <v>TUGU</v>
      </c>
      <c r="AG18" s="6" t="str">
        <f>IFERROR(__xludf.DUMMYFUNCTION("""COMPUTED_VALUE"""),"AKTIF ")</f>
        <v>AKTIF </v>
      </c>
      <c r="AH18" s="6"/>
      <c r="AI18" s="6" t="str">
        <f>IFERROR(__xludf.DUMMYFUNCTION("""COMPUTED_VALUE"""),"Peremajaan E9560YB")</f>
        <v>Peremajaan E9560YB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hidden="1">
      <c r="A19" s="6">
        <f>IFERROR(__xludf.DUMMYFUNCTION("""COMPUTED_VALUE"""),27.0)</f>
        <v>27</v>
      </c>
      <c r="B19" s="6" t="str">
        <f>IFERROR(__xludf.DUMMYFUNCTION("""COMPUTED_VALUE"""),"E9493YC")</f>
        <v>E9493YC</v>
      </c>
      <c r="C19" s="6" t="str">
        <f>IFERROR(__xludf.DUMMYFUNCTION("""COMPUTED_VALUE"""),"8+8+8")</f>
        <v>8+8+8</v>
      </c>
      <c r="D19" s="6">
        <f>IFERROR(__xludf.DUMMYFUNCTION("""COMPUTED_VALUE"""),24.0)</f>
        <v>24</v>
      </c>
      <c r="E19" s="6" t="str">
        <f>IFERROR(__xludf.DUMMYFUNCTION("""COMPUTED_VALUE"""),"PT. PUSPITA CIPTA")</f>
        <v>PT. PUSPITA CIPTA</v>
      </c>
      <c r="F19" s="6">
        <f>IFERROR(__xludf.DUMMYFUNCTION("""COMPUTED_VALUE"""),2025.0)</f>
        <v>2025</v>
      </c>
      <c r="G19" s="6">
        <f>IFERROR(__xludf.DUMMYFUNCTION("""COMPUTED_VALUE"""),2025.0)</f>
        <v>2025</v>
      </c>
      <c r="H19" s="6">
        <f>IFERROR(__xludf.DUMMYFUNCTION("""COMPUTED_VALUE"""),1.0)</f>
        <v>1</v>
      </c>
      <c r="I19" s="6" t="str">
        <f>IFERROR(__xludf.DUMMYFUNCTION("""COMPUTED_VALUE"""),"4028 T")</f>
        <v>4028 T</v>
      </c>
      <c r="J19" s="6">
        <f>IFERROR(__xludf.DUMMYFUNCTION("""COMPUTED_VALUE"""),6374.0)</f>
        <v>6374</v>
      </c>
      <c r="K19" s="6" t="str">
        <f>IFERROR(__xludf.DUMMYFUNCTION("""COMPUTED_VALUE"""),"EURO 5")</f>
        <v>EURO 5</v>
      </c>
      <c r="L19" s="6" t="str">
        <f>IFERROR(__xludf.DUMMYFUNCTION("""COMPUTED_VALUE"""),"Standart")</f>
        <v>Standart</v>
      </c>
      <c r="M19" s="6" t="str">
        <f>IFERROR(__xludf.DUMMYFUNCTION("""COMPUTED_VALUE"""),"Geluran Adikarya")</f>
        <v>Geluran Adikarya</v>
      </c>
      <c r="N19" s="6">
        <f>IFERROR(__xludf.DUMMYFUNCTION("""COMPUTED_VALUE"""),2015.0)</f>
        <v>2015</v>
      </c>
      <c r="O19" s="6">
        <f>IFERROR(__xludf.DUMMYFUNCTION("""COMPUTED_VALUE"""),11.0)</f>
        <v>11</v>
      </c>
      <c r="P19" s="6" t="str">
        <f>IFERROR(__xludf.DUMMYFUNCTION("""COMPUTED_VALUE"""),"AA")</f>
        <v>AA</v>
      </c>
      <c r="Q19" s="6" t="str">
        <f>IFERROR(__xludf.DUMMYFUNCTION("""COMPUTED_VALUE"""),"MERCEDES BENZ")</f>
        <v>MERCEDES BENZ</v>
      </c>
      <c r="R19" s="6" t="str">
        <f>IFERROR(__xludf.DUMMYFUNCTION("""COMPUTED_VALUE"""),"400953D0177908")</f>
        <v>400953D0177908</v>
      </c>
      <c r="S19" s="6" t="str">
        <f>IFERROR(__xludf.DUMMYFUNCTION("""COMPUTED_VALUE"""),"MFJ400262SJ004431")</f>
        <v>MFJ400262SJ004431</v>
      </c>
      <c r="T19" s="31">
        <f>IFERROR(__xludf.DUMMYFUNCTION("""COMPUTED_VALUE"""),47625.0)</f>
        <v>47625</v>
      </c>
      <c r="U19" s="6" t="str">
        <f>IFERROR(__xludf.DUMMYFUNCTION("""COMPUTED_VALUE"""),"Berlaku")</f>
        <v>Berlaku</v>
      </c>
      <c r="V19" s="31">
        <f>IFERROR(__xludf.DUMMYFUNCTION("""COMPUTED_VALUE"""),46529.0)</f>
        <v>46529</v>
      </c>
      <c r="W19" s="6" t="str">
        <f>IFERROR(__xludf.DUMMYFUNCTION("""COMPUTED_VALUE"""),"Berlaku")</f>
        <v>Berlaku</v>
      </c>
      <c r="X19" s="31">
        <f>IFERROR(__xludf.DUMMYFUNCTION("""COMPUTED_VALUE"""),46331.0)</f>
        <v>46331</v>
      </c>
      <c r="Y19" s="6" t="str">
        <f>IFERROR(__xludf.DUMMYFUNCTION("""COMPUTED_VALUE"""),"Akan Habis")</f>
        <v>Akan Habis</v>
      </c>
      <c r="Z19" s="31">
        <f>IFERROR(__xludf.DUMMYFUNCTION("""COMPUTED_VALUE"""),46331.0)</f>
        <v>46331</v>
      </c>
      <c r="AA19" s="6" t="str">
        <f>IFERROR(__xludf.DUMMYFUNCTION("""COMPUTED_VALUE"""),"Berlaku")</f>
        <v>Berlaku</v>
      </c>
      <c r="AB19" s="31">
        <f>IFERROR(__xludf.DUMMYFUNCTION("""COMPUTED_VALUE"""),46571.0)</f>
        <v>46571</v>
      </c>
      <c r="AC19" s="6" t="str">
        <f>IFERROR(__xludf.DUMMYFUNCTION("""COMPUTED_VALUE"""),"Berlaku")</f>
        <v>Berlaku</v>
      </c>
      <c r="AD19" s="33">
        <f>IFERROR(__xludf.DUMMYFUNCTION("""COMPUTED_VALUE"""),46340.0)</f>
        <v>46340</v>
      </c>
      <c r="AE19" s="6" t="str">
        <f>IFERROR(__xludf.DUMMYFUNCTION("""COMPUTED_VALUE"""),"Berlaku")</f>
        <v>Berlaku</v>
      </c>
      <c r="AF19" s="6" t="str">
        <f>IFERROR(__xludf.DUMMYFUNCTION("""COMPUTED_VALUE"""),"TUGU")</f>
        <v>TUGU</v>
      </c>
      <c r="AG19" s="6" t="str">
        <f>IFERROR(__xludf.DUMMYFUNCTION("""COMPUTED_VALUE"""),"AKTIF ")</f>
        <v>AKTIF </v>
      </c>
      <c r="AH19" s="6"/>
      <c r="AI19" s="6" t="str">
        <f>IFERROR(__xludf.DUMMYFUNCTION("""COMPUTED_VALUE"""),"Meremajakan MT E9389YB")</f>
        <v>Meremajakan MT E9389YB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hidden="1">
      <c r="A20" s="6">
        <f>IFERROR(__xludf.DUMMYFUNCTION("""COMPUTED_VALUE"""),29.0)</f>
        <v>29</v>
      </c>
      <c r="B20" s="6" t="str">
        <f>IFERROR(__xludf.DUMMYFUNCTION("""COMPUTED_VALUE"""),"E9496YC")</f>
        <v>E9496YC</v>
      </c>
      <c r="C20" s="6" t="str">
        <f>IFERROR(__xludf.DUMMYFUNCTION("""COMPUTED_VALUE"""),"8+8+8")</f>
        <v>8+8+8</v>
      </c>
      <c r="D20" s="6">
        <f>IFERROR(__xludf.DUMMYFUNCTION("""COMPUTED_VALUE"""),24.0)</f>
        <v>24</v>
      </c>
      <c r="E20" s="6" t="str">
        <f>IFERROR(__xludf.DUMMYFUNCTION("""COMPUTED_VALUE"""),"PT. PUSPITA CIPTA")</f>
        <v>PT. PUSPITA CIPTA</v>
      </c>
      <c r="F20" s="6">
        <f>IFERROR(__xludf.DUMMYFUNCTION("""COMPUTED_VALUE"""),2025.0)</f>
        <v>2025</v>
      </c>
      <c r="G20" s="6">
        <f>IFERROR(__xludf.DUMMYFUNCTION("""COMPUTED_VALUE"""),2025.0)</f>
        <v>2025</v>
      </c>
      <c r="H20" s="6">
        <f>IFERROR(__xludf.DUMMYFUNCTION("""COMPUTED_VALUE"""),1.0)</f>
        <v>1</v>
      </c>
      <c r="I20" s="6" t="str">
        <f>IFERROR(__xludf.DUMMYFUNCTION("""COMPUTED_VALUE"""),"4028 T")</f>
        <v>4028 T</v>
      </c>
      <c r="J20" s="6">
        <f>IFERROR(__xludf.DUMMYFUNCTION("""COMPUTED_VALUE"""),6374.0)</f>
        <v>6374</v>
      </c>
      <c r="K20" s="6" t="str">
        <f>IFERROR(__xludf.DUMMYFUNCTION("""COMPUTED_VALUE"""),"EURO 5")</f>
        <v>EURO 5</v>
      </c>
      <c r="L20" s="6" t="str">
        <f>IFERROR(__xludf.DUMMYFUNCTION("""COMPUTED_VALUE"""),"Standart")</f>
        <v>Standart</v>
      </c>
      <c r="M20" s="6" t="str">
        <f>IFERROR(__xludf.DUMMYFUNCTION("""COMPUTED_VALUE"""),"Geluran Adikarya")</f>
        <v>Geluran Adikarya</v>
      </c>
      <c r="N20" s="6">
        <f>IFERROR(__xludf.DUMMYFUNCTION("""COMPUTED_VALUE"""),2015.0)</f>
        <v>2015</v>
      </c>
      <c r="O20" s="6">
        <f>IFERROR(__xludf.DUMMYFUNCTION("""COMPUTED_VALUE"""),11.0)</f>
        <v>11</v>
      </c>
      <c r="P20" s="6" t="str">
        <f>IFERROR(__xludf.DUMMYFUNCTION("""COMPUTED_VALUE"""),"AA")</f>
        <v>AA</v>
      </c>
      <c r="Q20" s="6" t="str">
        <f>IFERROR(__xludf.DUMMYFUNCTION("""COMPUTED_VALUE"""),"MERCEDES BENZ")</f>
        <v>MERCEDES BENZ</v>
      </c>
      <c r="R20" s="6" t="str">
        <f>IFERROR(__xludf.DUMMYFUNCTION("""COMPUTED_VALUE"""),"400953DO177878")</f>
        <v>400953DO177878</v>
      </c>
      <c r="S20" s="6" t="str">
        <f>IFERROR(__xludf.DUMMYFUNCTION("""COMPUTED_VALUE"""),"MFJ400262SJ004429")</f>
        <v>MFJ400262SJ004429</v>
      </c>
      <c r="T20" s="31">
        <f>IFERROR(__xludf.DUMMYFUNCTION("""COMPUTED_VALUE"""),47625.0)</f>
        <v>47625</v>
      </c>
      <c r="U20" s="6" t="str">
        <f>IFERROR(__xludf.DUMMYFUNCTION("""COMPUTED_VALUE"""),"Berlaku")</f>
        <v>Berlaku</v>
      </c>
      <c r="V20" s="31">
        <f>IFERROR(__xludf.DUMMYFUNCTION("""COMPUTED_VALUE"""),46529.0)</f>
        <v>46529</v>
      </c>
      <c r="W20" s="6" t="str">
        <f>IFERROR(__xludf.DUMMYFUNCTION("""COMPUTED_VALUE"""),"Berlaku")</f>
        <v>Berlaku</v>
      </c>
      <c r="X20" s="31">
        <f>IFERROR(__xludf.DUMMYFUNCTION("""COMPUTED_VALUE"""),46331.0)</f>
        <v>46331</v>
      </c>
      <c r="Y20" s="6" t="str">
        <f>IFERROR(__xludf.DUMMYFUNCTION("""COMPUTED_VALUE"""),"Akan Habis")</f>
        <v>Akan Habis</v>
      </c>
      <c r="Z20" s="31">
        <f>IFERROR(__xludf.DUMMYFUNCTION("""COMPUTED_VALUE"""),46331.0)</f>
        <v>46331</v>
      </c>
      <c r="AA20" s="6" t="str">
        <f>IFERROR(__xludf.DUMMYFUNCTION("""COMPUTED_VALUE"""),"Berlaku")</f>
        <v>Berlaku</v>
      </c>
      <c r="AB20" s="31">
        <f>IFERROR(__xludf.DUMMYFUNCTION("""COMPUTED_VALUE"""),46570.0)</f>
        <v>46570</v>
      </c>
      <c r="AC20" s="6" t="str">
        <f>IFERROR(__xludf.DUMMYFUNCTION("""COMPUTED_VALUE"""),"Berlaku")</f>
        <v>Berlaku</v>
      </c>
      <c r="AD20" s="33">
        <f>IFERROR(__xludf.DUMMYFUNCTION("""COMPUTED_VALUE"""),46340.0)</f>
        <v>46340</v>
      </c>
      <c r="AE20" s="6" t="str">
        <f>IFERROR(__xludf.DUMMYFUNCTION("""COMPUTED_VALUE"""),"Berlaku")</f>
        <v>Berlaku</v>
      </c>
      <c r="AF20" s="6" t="str">
        <f>IFERROR(__xludf.DUMMYFUNCTION("""COMPUTED_VALUE"""),"TUGU")</f>
        <v>TUGU</v>
      </c>
      <c r="AG20" s="6" t="str">
        <f>IFERROR(__xludf.DUMMYFUNCTION("""COMPUTED_VALUE"""),"AKTIF ")</f>
        <v>AKTIF </v>
      </c>
      <c r="AH20" s="6"/>
      <c r="AI20" s="6" t="str">
        <f>IFERROR(__xludf.DUMMYFUNCTION("""COMPUTED_VALUE"""),"Meremajakan MT E9391YB")</f>
        <v>Meremajakan MT E9391YB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hidden="1">
      <c r="A21" s="6">
        <f>IFERROR(__xludf.DUMMYFUNCTION("""COMPUTED_VALUE"""),30.0)</f>
        <v>30</v>
      </c>
      <c r="B21" s="6" t="str">
        <f>IFERROR(__xludf.DUMMYFUNCTION("""COMPUTED_VALUE"""),"E9512YC")</f>
        <v>E9512YC</v>
      </c>
      <c r="C21" s="6" t="str">
        <f>IFERROR(__xludf.DUMMYFUNCTION("""COMPUTED_VALUE"""),"8+8+8")</f>
        <v>8+8+8</v>
      </c>
      <c r="D21" s="6">
        <f>IFERROR(__xludf.DUMMYFUNCTION("""COMPUTED_VALUE"""),24.0)</f>
        <v>24</v>
      </c>
      <c r="E21" s="6" t="str">
        <f>IFERROR(__xludf.DUMMYFUNCTION("""COMPUTED_VALUE"""),"PT. PUSPITA CIPTA")</f>
        <v>PT. PUSPITA CIPTA</v>
      </c>
      <c r="F21" s="6">
        <f>IFERROR(__xludf.DUMMYFUNCTION("""COMPUTED_VALUE"""),2025.0)</f>
        <v>2025</v>
      </c>
      <c r="G21" s="6">
        <f>IFERROR(__xludf.DUMMYFUNCTION("""COMPUTED_VALUE"""),2025.0)</f>
        <v>2025</v>
      </c>
      <c r="H21" s="6">
        <f>IFERROR(__xludf.DUMMYFUNCTION("""COMPUTED_VALUE"""),1.0)</f>
        <v>1</v>
      </c>
      <c r="I21" s="6" t="str">
        <f>IFERROR(__xludf.DUMMYFUNCTION("""COMPUTED_VALUE"""),"4028 T")</f>
        <v>4028 T</v>
      </c>
      <c r="J21" s="6">
        <f>IFERROR(__xludf.DUMMYFUNCTION("""COMPUTED_VALUE"""),6374.0)</f>
        <v>6374</v>
      </c>
      <c r="K21" s="6" t="str">
        <f>IFERROR(__xludf.DUMMYFUNCTION("""COMPUTED_VALUE"""),"EURO 5")</f>
        <v>EURO 5</v>
      </c>
      <c r="L21" s="6" t="str">
        <f>IFERROR(__xludf.DUMMYFUNCTION("""COMPUTED_VALUE"""),"Standart")</f>
        <v>Standart</v>
      </c>
      <c r="M21" s="6" t="str">
        <f>IFERROR(__xludf.DUMMYFUNCTION("""COMPUTED_VALUE"""),"Geluran Adikarya")</f>
        <v>Geluran Adikarya</v>
      </c>
      <c r="N21" s="6">
        <f>IFERROR(__xludf.DUMMYFUNCTION("""COMPUTED_VALUE"""),2015.0)</f>
        <v>2015</v>
      </c>
      <c r="O21" s="6">
        <f>IFERROR(__xludf.DUMMYFUNCTION("""COMPUTED_VALUE"""),11.0)</f>
        <v>11</v>
      </c>
      <c r="P21" s="6" t="str">
        <f>IFERROR(__xludf.DUMMYFUNCTION("""COMPUTED_VALUE"""),"AA")</f>
        <v>AA</v>
      </c>
      <c r="Q21" s="6" t="str">
        <f>IFERROR(__xludf.DUMMYFUNCTION("""COMPUTED_VALUE"""),"MERCEDES BENZ")</f>
        <v>MERCEDES BENZ</v>
      </c>
      <c r="R21" s="6" t="str">
        <f>IFERROR(__xludf.DUMMYFUNCTION("""COMPUTED_VALUE"""),"400963001792246")</f>
        <v>400963001792246</v>
      </c>
      <c r="S21" s="6" t="str">
        <f>IFERROR(__xludf.DUMMYFUNCTION("""COMPUTED_VALUE"""),"MFJ400262SJ004440")</f>
        <v>MFJ400262SJ004440</v>
      </c>
      <c r="T21" s="31">
        <f>IFERROR(__xludf.DUMMYFUNCTION("""COMPUTED_VALUE"""),47716.0)</f>
        <v>47716</v>
      </c>
      <c r="U21" s="6" t="str">
        <f>IFERROR(__xludf.DUMMYFUNCTION("""COMPUTED_VALUE"""),"Berlaku")</f>
        <v>Berlaku</v>
      </c>
      <c r="V21" s="31">
        <f>IFERROR(__xludf.DUMMYFUNCTION("""COMPUTED_VALUE"""),46620.0)</f>
        <v>46620</v>
      </c>
      <c r="W21" s="6" t="str">
        <f>IFERROR(__xludf.DUMMYFUNCTION("""COMPUTED_VALUE"""),"Berlaku")</f>
        <v>Berlaku</v>
      </c>
      <c r="X21" s="31">
        <f>IFERROR(__xludf.DUMMYFUNCTION("""COMPUTED_VALUE"""),46311.0)</f>
        <v>46311</v>
      </c>
      <c r="Y21" s="6" t="str">
        <f>IFERROR(__xludf.DUMMYFUNCTION("""COMPUTED_VALUE"""),"Akan Habis")</f>
        <v>Akan Habis</v>
      </c>
      <c r="Z21" s="31">
        <f>IFERROR(__xludf.DUMMYFUNCTION("""COMPUTED_VALUE"""),46311.0)</f>
        <v>46311</v>
      </c>
      <c r="AA21" s="6" t="str">
        <f>IFERROR(__xludf.DUMMYFUNCTION("""COMPUTED_VALUE"""),"Akan Habis")</f>
        <v>Akan Habis</v>
      </c>
      <c r="AB21" s="31">
        <f>IFERROR(__xludf.DUMMYFUNCTION("""COMPUTED_VALUE"""),46688.0)</f>
        <v>46688</v>
      </c>
      <c r="AC21" s="6" t="str">
        <f>IFERROR(__xludf.DUMMYFUNCTION("""COMPUTED_VALUE"""),"Berlaku")</f>
        <v>Berlaku</v>
      </c>
      <c r="AD21" s="33">
        <f>IFERROR(__xludf.DUMMYFUNCTION("""COMPUTED_VALUE"""),46332.0)</f>
        <v>46332</v>
      </c>
      <c r="AE21" s="6" t="str">
        <f>IFERROR(__xludf.DUMMYFUNCTION("""COMPUTED_VALUE"""),"Berlaku")</f>
        <v>Berlaku</v>
      </c>
      <c r="AF21" s="6" t="str">
        <f>IFERROR(__xludf.DUMMYFUNCTION("""COMPUTED_VALUE"""),"TUGU")</f>
        <v>TUGU</v>
      </c>
      <c r="AG21" s="6" t="str">
        <f>IFERROR(__xludf.DUMMYFUNCTION("""COMPUTED_VALUE"""),"AKTIF ")</f>
        <v>AKTIF </v>
      </c>
      <c r="AH21" s="6"/>
      <c r="AI21" s="6" t="str">
        <f>IFERROR(__xludf.DUMMYFUNCTION("""COMPUTED_VALUE"""),"Meremajakan MT E9446YB")</f>
        <v>Meremajakan MT E9446YB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hidden="1">
      <c r="A22" s="6">
        <f>IFERROR(__xludf.DUMMYFUNCTION("""COMPUTED_VALUE"""),31.0)</f>
        <v>31</v>
      </c>
      <c r="B22" s="6" t="str">
        <f>IFERROR(__xludf.DUMMYFUNCTION("""COMPUTED_VALUE"""),"E9535YC")</f>
        <v>E9535YC</v>
      </c>
      <c r="C22" s="6" t="str">
        <f>IFERROR(__xludf.DUMMYFUNCTION("""COMPUTED_VALUE"""),"8+8+8")</f>
        <v>8+8+8</v>
      </c>
      <c r="D22" s="6">
        <f>IFERROR(__xludf.DUMMYFUNCTION("""COMPUTED_VALUE"""),24.0)</f>
        <v>24</v>
      </c>
      <c r="E22" s="6" t="str">
        <f>IFERROR(__xludf.DUMMYFUNCTION("""COMPUTED_VALUE"""),"PT. PUSPITA CIPTA")</f>
        <v>PT. PUSPITA CIPTA</v>
      </c>
      <c r="F22" s="6">
        <f>IFERROR(__xludf.DUMMYFUNCTION("""COMPUTED_VALUE"""),2025.0)</f>
        <v>2025</v>
      </c>
      <c r="G22" s="6">
        <f>IFERROR(__xludf.DUMMYFUNCTION("""COMPUTED_VALUE"""),2025.0)</f>
        <v>2025</v>
      </c>
      <c r="H22" s="6">
        <f>IFERROR(__xludf.DUMMYFUNCTION("""COMPUTED_VALUE"""),1.0)</f>
        <v>1</v>
      </c>
      <c r="I22" s="6" t="str">
        <f>IFERROR(__xludf.DUMMYFUNCTION("""COMPUTED_VALUE"""),"4028 T")</f>
        <v>4028 T</v>
      </c>
      <c r="J22" s="6">
        <f>IFERROR(__xludf.DUMMYFUNCTION("""COMPUTED_VALUE"""),6374.0)</f>
        <v>6374</v>
      </c>
      <c r="K22" s="6" t="str">
        <f>IFERROR(__xludf.DUMMYFUNCTION("""COMPUTED_VALUE"""),"EURO 5")</f>
        <v>EURO 5</v>
      </c>
      <c r="L22" s="6" t="str">
        <f>IFERROR(__xludf.DUMMYFUNCTION("""COMPUTED_VALUE"""),"Standart")</f>
        <v>Standart</v>
      </c>
      <c r="M22" s="6" t="str">
        <f>IFERROR(__xludf.DUMMYFUNCTION("""COMPUTED_VALUE"""),"Geluran Adikarya")</f>
        <v>Geluran Adikarya</v>
      </c>
      <c r="N22" s="6">
        <f>IFERROR(__xludf.DUMMYFUNCTION("""COMPUTED_VALUE"""),2014.0)</f>
        <v>2014</v>
      </c>
      <c r="O22" s="6">
        <f>IFERROR(__xludf.DUMMYFUNCTION("""COMPUTED_VALUE"""),12.0)</f>
        <v>12</v>
      </c>
      <c r="P22" s="6" t="str">
        <f>IFERROR(__xludf.DUMMYFUNCTION("""COMPUTED_VALUE"""),"AA")</f>
        <v>AA</v>
      </c>
      <c r="Q22" s="6" t="str">
        <f>IFERROR(__xludf.DUMMYFUNCTION("""COMPUTED_VALUE"""),"MERCEDES BENZ")</f>
        <v>MERCEDES BENZ</v>
      </c>
      <c r="R22" s="6" t="str">
        <f>IFERROR(__xludf.DUMMYFUNCTION("""COMPUTED_VALUE"""),"400953D0179262")</f>
        <v>400953D0179262</v>
      </c>
      <c r="S22" s="6" t="str">
        <f>IFERROR(__xludf.DUMMYFUNCTION("""COMPUTED_VALUE"""),"MFJ400262SJ004445")</f>
        <v>MFJ400262SJ004445</v>
      </c>
      <c r="T22" s="31">
        <f>IFERROR(__xludf.DUMMYFUNCTION("""COMPUTED_VALUE"""),47779.0)</f>
        <v>47779</v>
      </c>
      <c r="U22" s="6" t="str">
        <f>IFERROR(__xludf.DUMMYFUNCTION("""COMPUTED_VALUE"""),"Berlaku")</f>
        <v>Berlaku</v>
      </c>
      <c r="V22" s="31">
        <f>IFERROR(__xludf.DUMMYFUNCTION("""COMPUTED_VALUE"""),46318.0)</f>
        <v>46318</v>
      </c>
      <c r="W22" s="6" t="str">
        <f>IFERROR(__xludf.DUMMYFUNCTION("""COMPUTED_VALUE"""),"Akan Habis")</f>
        <v>Akan Habis</v>
      </c>
      <c r="X22" s="31">
        <f>IFERROR(__xludf.DUMMYFUNCTION("""COMPUTED_VALUE"""),46337.0)</f>
        <v>46337</v>
      </c>
      <c r="Y22" s="6" t="str">
        <f>IFERROR(__xludf.DUMMYFUNCTION("""COMPUTED_VALUE"""),"Akan Habis")</f>
        <v>Akan Habis</v>
      </c>
      <c r="Z22" s="31">
        <f>IFERROR(__xludf.DUMMYFUNCTION("""COMPUTED_VALUE"""),46337.0)</f>
        <v>46337</v>
      </c>
      <c r="AA22" s="6" t="str">
        <f>IFERROR(__xludf.DUMMYFUNCTION("""COMPUTED_VALUE"""),"Berlaku")</f>
        <v>Berlaku</v>
      </c>
      <c r="AB22" s="31">
        <f>IFERROR(__xludf.DUMMYFUNCTION("""COMPUTED_VALUE"""),46719.0)</f>
        <v>46719</v>
      </c>
      <c r="AC22" s="6" t="str">
        <f>IFERROR(__xludf.DUMMYFUNCTION("""COMPUTED_VALUE"""),"Berlaku")</f>
        <v>Berlaku</v>
      </c>
      <c r="AD22" s="33">
        <f>IFERROR(__xludf.DUMMYFUNCTION("""COMPUTED_VALUE"""),46373.0)</f>
        <v>46373</v>
      </c>
      <c r="AE22" s="6" t="str">
        <f>IFERROR(__xludf.DUMMYFUNCTION("""COMPUTED_VALUE"""),"Berlaku")</f>
        <v>Berlaku</v>
      </c>
      <c r="AF22" s="6" t="str">
        <f>IFERROR(__xludf.DUMMYFUNCTION("""COMPUTED_VALUE"""),"TUGU")</f>
        <v>TUGU</v>
      </c>
      <c r="AG22" s="6" t="str">
        <f>IFERROR(__xludf.DUMMYFUNCTION("""COMPUTED_VALUE"""),"AKTIF ")</f>
        <v>AKTIF </v>
      </c>
      <c r="AH22" s="6"/>
      <c r="AI22" s="6" t="str">
        <f>IFERROR(__xludf.DUMMYFUNCTION("""COMPUTED_VALUE"""),"Meremajakan MT E9452YB")</f>
        <v>Meremajakan MT E9452YB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hidden="1">
      <c r="A23" s="6">
        <f>IFERROR(__xludf.DUMMYFUNCTION("""COMPUTED_VALUE"""),32.0)</f>
        <v>32</v>
      </c>
      <c r="B23" s="6" t="str">
        <f>IFERROR(__xludf.DUMMYFUNCTION("""COMPUTED_VALUE"""),"E9536YC")</f>
        <v>E9536YC</v>
      </c>
      <c r="C23" s="6" t="str">
        <f>IFERROR(__xludf.DUMMYFUNCTION("""COMPUTED_VALUE"""),"8+8+8")</f>
        <v>8+8+8</v>
      </c>
      <c r="D23" s="6">
        <f>IFERROR(__xludf.DUMMYFUNCTION("""COMPUTED_VALUE"""),24.0)</f>
        <v>24</v>
      </c>
      <c r="E23" s="6" t="str">
        <f>IFERROR(__xludf.DUMMYFUNCTION("""COMPUTED_VALUE"""),"PT. PUSPITA CIPTA")</f>
        <v>PT. PUSPITA CIPTA</v>
      </c>
      <c r="F23" s="6">
        <f>IFERROR(__xludf.DUMMYFUNCTION("""COMPUTED_VALUE"""),2025.0)</f>
        <v>2025</v>
      </c>
      <c r="G23" s="6">
        <f>IFERROR(__xludf.DUMMYFUNCTION("""COMPUTED_VALUE"""),2025.0)</f>
        <v>2025</v>
      </c>
      <c r="H23" s="6">
        <f>IFERROR(__xludf.DUMMYFUNCTION("""COMPUTED_VALUE"""),1.0)</f>
        <v>1</v>
      </c>
      <c r="I23" s="6" t="str">
        <f>IFERROR(__xludf.DUMMYFUNCTION("""COMPUTED_VALUE"""),"4028 T")</f>
        <v>4028 T</v>
      </c>
      <c r="J23" s="6">
        <f>IFERROR(__xludf.DUMMYFUNCTION("""COMPUTED_VALUE"""),6374.0)</f>
        <v>6374</v>
      </c>
      <c r="K23" s="6" t="str">
        <f>IFERROR(__xludf.DUMMYFUNCTION("""COMPUTED_VALUE"""),"EURO 5")</f>
        <v>EURO 5</v>
      </c>
      <c r="L23" s="6" t="str">
        <f>IFERROR(__xludf.DUMMYFUNCTION("""COMPUTED_VALUE"""),"Standart")</f>
        <v>Standart</v>
      </c>
      <c r="M23" s="6" t="str">
        <f>IFERROR(__xludf.DUMMYFUNCTION("""COMPUTED_VALUE"""),"Geluran Adikarya")</f>
        <v>Geluran Adikarya</v>
      </c>
      <c r="N23" s="6">
        <f>IFERROR(__xludf.DUMMYFUNCTION("""COMPUTED_VALUE"""),2015.0)</f>
        <v>2015</v>
      </c>
      <c r="O23" s="6">
        <f>IFERROR(__xludf.DUMMYFUNCTION("""COMPUTED_VALUE"""),11.0)</f>
        <v>11</v>
      </c>
      <c r="P23" s="6" t="str">
        <f>IFERROR(__xludf.DUMMYFUNCTION("""COMPUTED_VALUE"""),"AA")</f>
        <v>AA</v>
      </c>
      <c r="Q23" s="6" t="str">
        <f>IFERROR(__xludf.DUMMYFUNCTION("""COMPUTED_VALUE"""),"MERCEDES BENZ")</f>
        <v>MERCEDES BENZ</v>
      </c>
      <c r="R23" s="6" t="str">
        <f>IFERROR(__xludf.DUMMYFUNCTION("""COMPUTED_VALUE"""),"400953D0176070")</f>
        <v>400953D0176070</v>
      </c>
      <c r="S23" s="6" t="str">
        <f>IFERROR(__xludf.DUMMYFUNCTION("""COMPUTED_VALUE"""),"MFJ400262SJ004451")</f>
        <v>MFJ400262SJ004451</v>
      </c>
      <c r="T23" s="31">
        <f>IFERROR(__xludf.DUMMYFUNCTION("""COMPUTED_VALUE"""),47779.0)</f>
        <v>47779</v>
      </c>
      <c r="U23" s="6" t="str">
        <f>IFERROR(__xludf.DUMMYFUNCTION("""COMPUTED_VALUE"""),"Berlaku")</f>
        <v>Berlaku</v>
      </c>
      <c r="V23" s="31">
        <f>IFERROR(__xludf.DUMMYFUNCTION("""COMPUTED_VALUE"""),46318.0)</f>
        <v>46318</v>
      </c>
      <c r="W23" s="6" t="str">
        <f>IFERROR(__xludf.DUMMYFUNCTION("""COMPUTED_VALUE"""),"Akan Habis")</f>
        <v>Akan Habis</v>
      </c>
      <c r="X23" s="31">
        <f>IFERROR(__xludf.DUMMYFUNCTION("""COMPUTED_VALUE"""),46337.0)</f>
        <v>46337</v>
      </c>
      <c r="Y23" s="6" t="str">
        <f>IFERROR(__xludf.DUMMYFUNCTION("""COMPUTED_VALUE"""),"Akan Habis")</f>
        <v>Akan Habis</v>
      </c>
      <c r="Z23" s="31">
        <f>IFERROR(__xludf.DUMMYFUNCTION("""COMPUTED_VALUE"""),46337.0)</f>
        <v>46337</v>
      </c>
      <c r="AA23" s="6" t="str">
        <f>IFERROR(__xludf.DUMMYFUNCTION("""COMPUTED_VALUE"""),"Berlaku")</f>
        <v>Berlaku</v>
      </c>
      <c r="AB23" s="31">
        <f>IFERROR(__xludf.DUMMYFUNCTION("""COMPUTED_VALUE"""),46717.0)</f>
        <v>46717</v>
      </c>
      <c r="AC23" s="6" t="str">
        <f>IFERROR(__xludf.DUMMYFUNCTION("""COMPUTED_VALUE"""),"Berlaku")</f>
        <v>Berlaku</v>
      </c>
      <c r="AD23" s="33">
        <f>IFERROR(__xludf.DUMMYFUNCTION("""COMPUTED_VALUE"""),46373.0)</f>
        <v>46373</v>
      </c>
      <c r="AE23" s="6" t="str">
        <f>IFERROR(__xludf.DUMMYFUNCTION("""COMPUTED_VALUE"""),"Berlaku")</f>
        <v>Berlaku</v>
      </c>
      <c r="AF23" s="6" t="str">
        <f>IFERROR(__xludf.DUMMYFUNCTION("""COMPUTED_VALUE"""),"TUGU")</f>
        <v>TUGU</v>
      </c>
      <c r="AG23" s="6" t="str">
        <f>IFERROR(__xludf.DUMMYFUNCTION("""COMPUTED_VALUE"""),"AKTIF ")</f>
        <v>AKTIF </v>
      </c>
      <c r="AH23" s="6"/>
      <c r="AI23" s="6" t="str">
        <f>IFERROR(__xludf.DUMMYFUNCTION("""COMPUTED_VALUE"""),"Meremajakan MT E9453YB")</f>
        <v>Meremajakan MT E9453YB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hidden="1">
      <c r="A24" s="6">
        <f>IFERROR(__xludf.DUMMYFUNCTION("""COMPUTED_VALUE"""),33.0)</f>
        <v>33</v>
      </c>
      <c r="B24" s="6" t="str">
        <f>IFERROR(__xludf.DUMMYFUNCTION("""COMPUTED_VALUE"""),"E9537YC")</f>
        <v>E9537YC</v>
      </c>
      <c r="C24" s="6" t="str">
        <f>IFERROR(__xludf.DUMMYFUNCTION("""COMPUTED_VALUE"""),"8+8+8")</f>
        <v>8+8+8</v>
      </c>
      <c r="D24" s="6">
        <f>IFERROR(__xludf.DUMMYFUNCTION("""COMPUTED_VALUE"""),24.0)</f>
        <v>24</v>
      </c>
      <c r="E24" s="6" t="str">
        <f>IFERROR(__xludf.DUMMYFUNCTION("""COMPUTED_VALUE"""),"PT. PUSPITA CIPTA")</f>
        <v>PT. PUSPITA CIPTA</v>
      </c>
      <c r="F24" s="6">
        <f>IFERROR(__xludf.DUMMYFUNCTION("""COMPUTED_VALUE"""),2025.0)</f>
        <v>2025</v>
      </c>
      <c r="G24" s="6">
        <f>IFERROR(__xludf.DUMMYFUNCTION("""COMPUTED_VALUE"""),2025.0)</f>
        <v>2025</v>
      </c>
      <c r="H24" s="6">
        <f>IFERROR(__xludf.DUMMYFUNCTION("""COMPUTED_VALUE"""),1.0)</f>
        <v>1</v>
      </c>
      <c r="I24" s="6" t="str">
        <f>IFERROR(__xludf.DUMMYFUNCTION("""COMPUTED_VALUE"""),"4028 T")</f>
        <v>4028 T</v>
      </c>
      <c r="J24" s="6">
        <f>IFERROR(__xludf.DUMMYFUNCTION("""COMPUTED_VALUE"""),6374.0)</f>
        <v>6374</v>
      </c>
      <c r="K24" s="6" t="str">
        <f>IFERROR(__xludf.DUMMYFUNCTION("""COMPUTED_VALUE"""),"EURO 5")</f>
        <v>EURO 5</v>
      </c>
      <c r="L24" s="6" t="str">
        <f>IFERROR(__xludf.DUMMYFUNCTION("""COMPUTED_VALUE"""),"Standart")</f>
        <v>Standart</v>
      </c>
      <c r="M24" s="6" t="str">
        <f>IFERROR(__xludf.DUMMYFUNCTION("""COMPUTED_VALUE"""),"Geluran Adikarya")</f>
        <v>Geluran Adikarya</v>
      </c>
      <c r="N24" s="6">
        <f>IFERROR(__xludf.DUMMYFUNCTION("""COMPUTED_VALUE"""),2015.0)</f>
        <v>2015</v>
      </c>
      <c r="O24" s="6">
        <f>IFERROR(__xludf.DUMMYFUNCTION("""COMPUTED_VALUE"""),11.0)</f>
        <v>11</v>
      </c>
      <c r="P24" s="6" t="str">
        <f>IFERROR(__xludf.DUMMYFUNCTION("""COMPUTED_VALUE"""),"AA")</f>
        <v>AA</v>
      </c>
      <c r="Q24" s="6" t="str">
        <f>IFERROR(__xludf.DUMMYFUNCTION("""COMPUTED_VALUE"""),"MERCEDES BENZ")</f>
        <v>MERCEDES BENZ</v>
      </c>
      <c r="R24" s="6" t="str">
        <f>IFERROR(__xludf.DUMMYFUNCTION("""COMPUTED_VALUE"""),"400953D0179282")</f>
        <v>400953D0179282</v>
      </c>
      <c r="S24" s="6" t="str">
        <f>IFERROR(__xludf.DUMMYFUNCTION("""COMPUTED_VALUE"""),"MFJ400262SJ004442")</f>
        <v>MFJ400262SJ004442</v>
      </c>
      <c r="T24" s="31">
        <f>IFERROR(__xludf.DUMMYFUNCTION("""COMPUTED_VALUE"""),47779.0)</f>
        <v>47779</v>
      </c>
      <c r="U24" s="6" t="str">
        <f>IFERROR(__xludf.DUMMYFUNCTION("""COMPUTED_VALUE"""),"Berlaku")</f>
        <v>Berlaku</v>
      </c>
      <c r="V24" s="31">
        <f>IFERROR(__xludf.DUMMYFUNCTION("""COMPUTED_VALUE"""),46318.0)</f>
        <v>46318</v>
      </c>
      <c r="W24" s="6" t="str">
        <f>IFERROR(__xludf.DUMMYFUNCTION("""COMPUTED_VALUE"""),"Akan Habis")</f>
        <v>Akan Habis</v>
      </c>
      <c r="X24" s="31">
        <f>IFERROR(__xludf.DUMMYFUNCTION("""COMPUTED_VALUE"""),46337.0)</f>
        <v>46337</v>
      </c>
      <c r="Y24" s="6" t="str">
        <f>IFERROR(__xludf.DUMMYFUNCTION("""COMPUTED_VALUE"""),"Akan Habis")</f>
        <v>Akan Habis</v>
      </c>
      <c r="Z24" s="31">
        <f>IFERROR(__xludf.DUMMYFUNCTION("""COMPUTED_VALUE"""),46337.0)</f>
        <v>46337</v>
      </c>
      <c r="AA24" s="6" t="str">
        <f>IFERROR(__xludf.DUMMYFUNCTION("""COMPUTED_VALUE"""),"Berlaku")</f>
        <v>Berlaku</v>
      </c>
      <c r="AB24" s="31">
        <f>IFERROR(__xludf.DUMMYFUNCTION("""COMPUTED_VALUE"""),46718.0)</f>
        <v>46718</v>
      </c>
      <c r="AC24" s="6" t="str">
        <f>IFERROR(__xludf.DUMMYFUNCTION("""COMPUTED_VALUE"""),"Berlaku")</f>
        <v>Berlaku</v>
      </c>
      <c r="AD24" s="33">
        <f>IFERROR(__xludf.DUMMYFUNCTION("""COMPUTED_VALUE"""),46373.0)</f>
        <v>46373</v>
      </c>
      <c r="AE24" s="6" t="str">
        <f>IFERROR(__xludf.DUMMYFUNCTION("""COMPUTED_VALUE"""),"Berlaku")</f>
        <v>Berlaku</v>
      </c>
      <c r="AF24" s="6" t="str">
        <f>IFERROR(__xludf.DUMMYFUNCTION("""COMPUTED_VALUE"""),"TUGU")</f>
        <v>TUGU</v>
      </c>
      <c r="AG24" s="6" t="str">
        <f>IFERROR(__xludf.DUMMYFUNCTION("""COMPUTED_VALUE"""),"AKTIF ")</f>
        <v>AKTIF </v>
      </c>
      <c r="AH24" s="6"/>
      <c r="AI24" s="6" t="str">
        <f>IFERROR(__xludf.DUMMYFUNCTION("""COMPUTED_VALUE"""),"Meremajakan MT E9454YB")</f>
        <v>Meremajakan MT E9454YB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hidden="1">
      <c r="A25" s="6">
        <f>IFERROR(__xludf.DUMMYFUNCTION("""COMPUTED_VALUE"""),34.0)</f>
        <v>34</v>
      </c>
      <c r="B25" s="6" t="str">
        <f>IFERROR(__xludf.DUMMYFUNCTION("""COMPUTED_VALUE"""),"E9542YC")</f>
        <v>E9542YC</v>
      </c>
      <c r="C25" s="6" t="str">
        <f>IFERROR(__xludf.DUMMYFUNCTION("""COMPUTED_VALUE"""),"8+8+8")</f>
        <v>8+8+8</v>
      </c>
      <c r="D25" s="6">
        <f>IFERROR(__xludf.DUMMYFUNCTION("""COMPUTED_VALUE"""),24.0)</f>
        <v>24</v>
      </c>
      <c r="E25" s="6" t="str">
        <f>IFERROR(__xludf.DUMMYFUNCTION("""COMPUTED_VALUE"""),"PT. PUSPITA CIPTA")</f>
        <v>PT. PUSPITA CIPTA</v>
      </c>
      <c r="F25" s="6">
        <f>IFERROR(__xludf.DUMMYFUNCTION("""COMPUTED_VALUE"""),2025.0)</f>
        <v>2025</v>
      </c>
      <c r="G25" s="6">
        <f>IFERROR(__xludf.DUMMYFUNCTION("""COMPUTED_VALUE"""),2025.0)</f>
        <v>2025</v>
      </c>
      <c r="H25" s="6">
        <f>IFERROR(__xludf.DUMMYFUNCTION("""COMPUTED_VALUE"""),1.0)</f>
        <v>1</v>
      </c>
      <c r="I25" s="6" t="str">
        <f>IFERROR(__xludf.DUMMYFUNCTION("""COMPUTED_VALUE"""),"4028 T")</f>
        <v>4028 T</v>
      </c>
      <c r="J25" s="6">
        <f>IFERROR(__xludf.DUMMYFUNCTION("""COMPUTED_VALUE"""),6374.0)</f>
        <v>6374</v>
      </c>
      <c r="K25" s="6" t="str">
        <f>IFERROR(__xludf.DUMMYFUNCTION("""COMPUTED_VALUE"""),"EURO 5")</f>
        <v>EURO 5</v>
      </c>
      <c r="L25" s="6" t="str">
        <f>IFERROR(__xludf.DUMMYFUNCTION("""COMPUTED_VALUE"""),"Standart")</f>
        <v>Standart</v>
      </c>
      <c r="M25" s="6" t="str">
        <f>IFERROR(__xludf.DUMMYFUNCTION("""COMPUTED_VALUE"""),"Geluran Adikarya")</f>
        <v>Geluran Adikarya</v>
      </c>
      <c r="N25" s="6">
        <f>IFERROR(__xludf.DUMMYFUNCTION("""COMPUTED_VALUE"""),2015.0)</f>
        <v>2015</v>
      </c>
      <c r="O25" s="6">
        <f>IFERROR(__xludf.DUMMYFUNCTION("""COMPUTED_VALUE"""),11.0)</f>
        <v>11</v>
      </c>
      <c r="P25" s="6" t="str">
        <f>IFERROR(__xludf.DUMMYFUNCTION("""COMPUTED_VALUE"""),"AA")</f>
        <v>AA</v>
      </c>
      <c r="Q25" s="6" t="str">
        <f>IFERROR(__xludf.DUMMYFUNCTION("""COMPUTED_VALUE"""),"MERCEDES BENZ")</f>
        <v>MERCEDES BENZ</v>
      </c>
      <c r="R25" s="6" t="str">
        <f>IFERROR(__xludf.DUMMYFUNCTION("""COMPUTED_VALUE"""),"40095300195040")</f>
        <v>40095300195040</v>
      </c>
      <c r="S25" s="6" t="str">
        <f>IFERROR(__xludf.DUMMYFUNCTION("""COMPUTED_VALUE"""),"MFJ400262SJ004768")</f>
        <v>MFJ400262SJ004768</v>
      </c>
      <c r="T25" s="31">
        <f>IFERROR(__xludf.DUMMYFUNCTION("""COMPUTED_VALUE"""),47801.0)</f>
        <v>47801</v>
      </c>
      <c r="U25" s="6" t="str">
        <f>IFERROR(__xludf.DUMMYFUNCTION("""COMPUTED_VALUE"""),"Berlaku")</f>
        <v>Berlaku</v>
      </c>
      <c r="V25" s="31">
        <f>IFERROR(__xludf.DUMMYFUNCTION("""COMPUTED_VALUE"""),46340.0)</f>
        <v>46340</v>
      </c>
      <c r="W25" s="6" t="str">
        <f>IFERROR(__xludf.DUMMYFUNCTION("""COMPUTED_VALUE"""),"Akan Habis")</f>
        <v>Akan Habis</v>
      </c>
      <c r="X25" s="31">
        <f>IFERROR(__xludf.DUMMYFUNCTION("""COMPUTED_VALUE"""),46337.0)</f>
        <v>46337</v>
      </c>
      <c r="Y25" s="6" t="str">
        <f>IFERROR(__xludf.DUMMYFUNCTION("""COMPUTED_VALUE"""),"Akan Habis")</f>
        <v>Akan Habis</v>
      </c>
      <c r="Z25" s="31">
        <f>IFERROR(__xludf.DUMMYFUNCTION("""COMPUTED_VALUE"""),46337.0)</f>
        <v>46337</v>
      </c>
      <c r="AA25" s="6" t="str">
        <f>IFERROR(__xludf.DUMMYFUNCTION("""COMPUTED_VALUE"""),"Berlaku")</f>
        <v>Berlaku</v>
      </c>
      <c r="AB25" s="31">
        <f>IFERROR(__xludf.DUMMYFUNCTION("""COMPUTED_VALUE"""),46723.0)</f>
        <v>46723</v>
      </c>
      <c r="AC25" s="6" t="str">
        <f>IFERROR(__xludf.DUMMYFUNCTION("""COMPUTED_VALUE"""),"Berlaku")</f>
        <v>Berlaku</v>
      </c>
      <c r="AD25" s="33">
        <f>IFERROR(__xludf.DUMMYFUNCTION("""COMPUTED_VALUE"""),46374.0)</f>
        <v>46374</v>
      </c>
      <c r="AE25" s="6" t="str">
        <f>IFERROR(__xludf.DUMMYFUNCTION("""COMPUTED_VALUE"""),"Berlaku")</f>
        <v>Berlaku</v>
      </c>
      <c r="AF25" s="6" t="str">
        <f>IFERROR(__xludf.DUMMYFUNCTION("""COMPUTED_VALUE"""),"TUGU")</f>
        <v>TUGU</v>
      </c>
      <c r="AG25" s="6" t="str">
        <f>IFERROR(__xludf.DUMMYFUNCTION("""COMPUTED_VALUE"""),"AKTIF ")</f>
        <v>AKTIF </v>
      </c>
      <c r="AH25" s="6"/>
      <c r="AI25" s="6" t="str">
        <f>IFERROR(__xludf.DUMMYFUNCTION("""COMPUTED_VALUE"""),"Meremajakan MT E9456YB")</f>
        <v>Meremajakan MT E9456YB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hidden="1">
      <c r="A26" s="6">
        <f>IFERROR(__xludf.DUMMYFUNCTION("""COMPUTED_VALUE"""),35.0)</f>
        <v>35</v>
      </c>
      <c r="B26" s="6" t="str">
        <f>IFERROR(__xludf.DUMMYFUNCTION("""COMPUTED_VALUE"""),"E9547YC")</f>
        <v>E9547YC</v>
      </c>
      <c r="C26" s="6" t="str">
        <f>IFERROR(__xludf.DUMMYFUNCTION("""COMPUTED_VALUE"""),"8+8+8")</f>
        <v>8+8+8</v>
      </c>
      <c r="D26" s="6">
        <f>IFERROR(__xludf.DUMMYFUNCTION("""COMPUTED_VALUE"""),24.0)</f>
        <v>24</v>
      </c>
      <c r="E26" s="6" t="str">
        <f>IFERROR(__xludf.DUMMYFUNCTION("""COMPUTED_VALUE"""),"PT. PUSPITA CIPTA")</f>
        <v>PT. PUSPITA CIPTA</v>
      </c>
      <c r="F26" s="6">
        <f>IFERROR(__xludf.DUMMYFUNCTION("""COMPUTED_VALUE"""),2025.0)</f>
        <v>2025</v>
      </c>
      <c r="G26" s="6">
        <f>IFERROR(__xludf.DUMMYFUNCTION("""COMPUTED_VALUE"""),2025.0)</f>
        <v>2025</v>
      </c>
      <c r="H26" s="6">
        <f>IFERROR(__xludf.DUMMYFUNCTION("""COMPUTED_VALUE"""),1.0)</f>
        <v>1</v>
      </c>
      <c r="I26" s="6" t="str">
        <f>IFERROR(__xludf.DUMMYFUNCTION("""COMPUTED_VALUE"""),"4028 T")</f>
        <v>4028 T</v>
      </c>
      <c r="J26" s="6">
        <f>IFERROR(__xludf.DUMMYFUNCTION("""COMPUTED_VALUE"""),6374.0)</f>
        <v>6374</v>
      </c>
      <c r="K26" s="6" t="str">
        <f>IFERROR(__xludf.DUMMYFUNCTION("""COMPUTED_VALUE"""),"EURO 5")</f>
        <v>EURO 5</v>
      </c>
      <c r="L26" s="6" t="str">
        <f>IFERROR(__xludf.DUMMYFUNCTION("""COMPUTED_VALUE"""),"Standart")</f>
        <v>Standart</v>
      </c>
      <c r="M26" s="6" t="str">
        <f>IFERROR(__xludf.DUMMYFUNCTION("""COMPUTED_VALUE"""),"Geluran Adikarya")</f>
        <v>Geluran Adikarya</v>
      </c>
      <c r="N26" s="6">
        <f>IFERROR(__xludf.DUMMYFUNCTION("""COMPUTED_VALUE"""),2015.0)</f>
        <v>2015</v>
      </c>
      <c r="O26" s="6">
        <f>IFERROR(__xludf.DUMMYFUNCTION("""COMPUTED_VALUE"""),11.0)</f>
        <v>11</v>
      </c>
      <c r="P26" s="6" t="str">
        <f>IFERROR(__xludf.DUMMYFUNCTION("""COMPUTED_VALUE"""),"AA")</f>
        <v>AA</v>
      </c>
      <c r="Q26" s="6" t="str">
        <f>IFERROR(__xludf.DUMMYFUNCTION("""COMPUTED_VALUE"""),"MERCEDES BENZ")</f>
        <v>MERCEDES BENZ</v>
      </c>
      <c r="R26" s="6" t="str">
        <f>IFERROR(__xludf.DUMMYFUNCTION("""COMPUTED_VALUE"""),"400953D0195081")</f>
        <v>400953D0195081</v>
      </c>
      <c r="S26" s="6" t="str">
        <f>IFERROR(__xludf.DUMMYFUNCTION("""COMPUTED_VALUE"""),"MFJ400262SJ004774")</f>
        <v>MFJ400262SJ004774</v>
      </c>
      <c r="T26" s="31">
        <f>IFERROR(__xludf.DUMMYFUNCTION("""COMPUTED_VALUE"""),47801.0)</f>
        <v>47801</v>
      </c>
      <c r="U26" s="6" t="str">
        <f>IFERROR(__xludf.DUMMYFUNCTION("""COMPUTED_VALUE"""),"Berlaku")</f>
        <v>Berlaku</v>
      </c>
      <c r="V26" s="31">
        <f>IFERROR(__xludf.DUMMYFUNCTION("""COMPUTED_VALUE"""),46340.0)</f>
        <v>46340</v>
      </c>
      <c r="W26" s="6" t="str">
        <f>IFERROR(__xludf.DUMMYFUNCTION("""COMPUTED_VALUE"""),"Akan Habis")</f>
        <v>Akan Habis</v>
      </c>
      <c r="X26" s="31">
        <f>IFERROR(__xludf.DUMMYFUNCTION("""COMPUTED_VALUE"""),46337.0)</f>
        <v>46337</v>
      </c>
      <c r="Y26" s="6" t="str">
        <f>IFERROR(__xludf.DUMMYFUNCTION("""COMPUTED_VALUE"""),"Akan Habis")</f>
        <v>Akan Habis</v>
      </c>
      <c r="Z26" s="31">
        <f>IFERROR(__xludf.DUMMYFUNCTION("""COMPUTED_VALUE"""),46337.0)</f>
        <v>46337</v>
      </c>
      <c r="AA26" s="6" t="str">
        <f>IFERROR(__xludf.DUMMYFUNCTION("""COMPUTED_VALUE"""),"Berlaku")</f>
        <v>Berlaku</v>
      </c>
      <c r="AB26" s="31">
        <f>IFERROR(__xludf.DUMMYFUNCTION("""COMPUTED_VALUE"""),46724.0)</f>
        <v>46724</v>
      </c>
      <c r="AC26" s="6" t="str">
        <f>IFERROR(__xludf.DUMMYFUNCTION("""COMPUTED_VALUE"""),"Berlaku")</f>
        <v>Berlaku</v>
      </c>
      <c r="AD26" s="33">
        <f>IFERROR(__xludf.DUMMYFUNCTION("""COMPUTED_VALUE"""),46374.0)</f>
        <v>46374</v>
      </c>
      <c r="AE26" s="6" t="str">
        <f>IFERROR(__xludf.DUMMYFUNCTION("""COMPUTED_VALUE"""),"Berlaku")</f>
        <v>Berlaku</v>
      </c>
      <c r="AF26" s="6" t="str">
        <f>IFERROR(__xludf.DUMMYFUNCTION("""COMPUTED_VALUE"""),"TUGU")</f>
        <v>TUGU</v>
      </c>
      <c r="AG26" s="6" t="str">
        <f>IFERROR(__xludf.DUMMYFUNCTION("""COMPUTED_VALUE"""),"AKTIF ")</f>
        <v>AKTIF </v>
      </c>
      <c r="AH26" s="6"/>
      <c r="AI26" s="6" t="str">
        <f>IFERROR(__xludf.DUMMYFUNCTION("""COMPUTED_VALUE"""),"Meremajakan MT E9457YB")</f>
        <v>Meremajakan MT E9457YB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hidden="1">
      <c r="A27" s="6">
        <f>IFERROR(__xludf.DUMMYFUNCTION("""COMPUTED_VALUE"""),37.0)</f>
        <v>37</v>
      </c>
      <c r="B27" s="6" t="str">
        <f>IFERROR(__xludf.DUMMYFUNCTION("""COMPUTED_VALUE"""),"N9086UI")</f>
        <v>N9086UI</v>
      </c>
      <c r="C27" s="6" t="str">
        <f>IFERROR(__xludf.DUMMYFUNCTION("""COMPUTED_VALUE"""),"8+8")</f>
        <v>8+8</v>
      </c>
      <c r="D27" s="6">
        <f>IFERROR(__xludf.DUMMYFUNCTION("""COMPUTED_VALUE"""),16.0)</f>
        <v>16</v>
      </c>
      <c r="E27" s="6" t="str">
        <f>IFERROR(__xludf.DUMMYFUNCTION("""COMPUTED_VALUE"""),"PT. SINAR WAHANA SURYA")</f>
        <v>PT. SINAR WAHANA SURYA</v>
      </c>
      <c r="F27" s="6">
        <f>IFERROR(__xludf.DUMMYFUNCTION("""COMPUTED_VALUE"""),2022.0)</f>
        <v>2022</v>
      </c>
      <c r="G27" s="6">
        <f>IFERROR(__xludf.DUMMYFUNCTION("""COMPUTED_VALUE"""),2023.0)</f>
        <v>2023</v>
      </c>
      <c r="H27" s="6">
        <f>IFERROR(__xludf.DUMMYFUNCTION("""COMPUTED_VALUE"""),4.0)</f>
        <v>4</v>
      </c>
      <c r="I27" s="6" t="str">
        <f>IFERROR(__xludf.DUMMYFUNCTION("""COMPUTED_VALUE"""),"CDE 250 6X2R WB4300MM E5 ABS M/T")</f>
        <v>CDE 250 6X2R WB4300MM E5 ABS M/T</v>
      </c>
      <c r="J27" s="6">
        <f>IFERROR(__xludf.DUMMYFUNCTION("""COMPUTED_VALUE"""),7698.0)</f>
        <v>7698</v>
      </c>
      <c r="K27" s="6" t="str">
        <f>IFERROR(__xludf.DUMMYFUNCTION("""COMPUTED_VALUE"""),"EURO 5")</f>
        <v>EURO 5</v>
      </c>
      <c r="L27" s="6" t="str">
        <f>IFERROR(__xludf.DUMMYFUNCTION("""COMPUTED_VALUE"""),"Standart")</f>
        <v>Standart</v>
      </c>
      <c r="M27" s="6" t="str">
        <f>IFERROR(__xludf.DUMMYFUNCTION("""COMPUTED_VALUE"""),"Aweco")</f>
        <v>Aweco</v>
      </c>
      <c r="N27" s="6">
        <f>IFERROR(__xludf.DUMMYFUNCTION("""COMPUTED_VALUE"""),2023.0)</f>
        <v>2023</v>
      </c>
      <c r="O27" s="6">
        <f>IFERROR(__xludf.DUMMYFUNCTION("""COMPUTED_VALUE"""),3.0)</f>
        <v>3</v>
      </c>
      <c r="P27" s="6" t="str">
        <f>IFERROR(__xludf.DUMMYFUNCTION("""COMPUTED_VALUE"""),"CS")</f>
        <v>CS</v>
      </c>
      <c r="Q27" s="6" t="str">
        <f>IFERROR(__xludf.DUMMYFUNCTION("""COMPUTED_VALUE"""),"UD TRUCKS")</f>
        <v>UD TRUCKS</v>
      </c>
      <c r="R27" s="6" t="str">
        <f>IFERROR(__xludf.DUMMYFUNCTION("""COMPUTED_VALUE"""),"GH8E583330C1P")</f>
        <v>GH8E583330C1P</v>
      </c>
      <c r="S27" s="6" t="str">
        <f>IFERROR(__xludf.DUMMYFUNCTION("""COMPUTED_VALUE"""),"MFFCDA30GNK820477")</f>
        <v>MFFCDA30GNK820477</v>
      </c>
      <c r="T27" s="31">
        <f>IFERROR(__xludf.DUMMYFUNCTION("""COMPUTED_VALUE"""),47102.0)</f>
        <v>47102</v>
      </c>
      <c r="U27" s="6" t="str">
        <f>IFERROR(__xludf.DUMMYFUNCTION("""COMPUTED_VALUE"""),"Berlaku")</f>
        <v>Berlaku</v>
      </c>
      <c r="V27" s="31">
        <f>IFERROR(__xludf.DUMMYFUNCTION("""COMPUTED_VALUE"""),46371.0)</f>
        <v>46371</v>
      </c>
      <c r="W27" s="6" t="str">
        <f>IFERROR(__xludf.DUMMYFUNCTION("""COMPUTED_VALUE"""),"Berlaku")</f>
        <v>Berlaku</v>
      </c>
      <c r="X27" s="31"/>
      <c r="Y27" s="6" t="str">
        <f>IFERROR(__xludf.DUMMYFUNCTION("""COMPUTED_VALUE"""),"Habis")</f>
        <v>Habis</v>
      </c>
      <c r="Z27" s="31">
        <f>IFERROR(__xludf.DUMMYFUNCTION("""COMPUTED_VALUE"""),46367.0)</f>
        <v>46367</v>
      </c>
      <c r="AA27" s="6" t="str">
        <f>IFERROR(__xludf.DUMMYFUNCTION("""COMPUTED_VALUE"""),"Berlaku")</f>
        <v>Berlaku</v>
      </c>
      <c r="AB27" s="31">
        <f>IFERROR(__xludf.DUMMYFUNCTION("""COMPUTED_VALUE"""),46765.0)</f>
        <v>46765</v>
      </c>
      <c r="AC27" s="6" t="str">
        <f>IFERROR(__xludf.DUMMYFUNCTION("""COMPUTED_VALUE"""),"Berlaku")</f>
        <v>Berlaku</v>
      </c>
      <c r="AD27" s="33">
        <f>IFERROR(__xludf.DUMMYFUNCTION("""COMPUTED_VALUE"""),46360.0)</f>
        <v>46360</v>
      </c>
      <c r="AE27" s="6" t="str">
        <f>IFERROR(__xludf.DUMMYFUNCTION("""COMPUTED_VALUE"""),"Berlaku")</f>
        <v>Berlaku</v>
      </c>
      <c r="AF27" s="6" t="str">
        <f>IFERROR(__xludf.DUMMYFUNCTION("""COMPUTED_VALUE"""),"TUGU (MANDIRI)")</f>
        <v>TUGU (MANDIRI)</v>
      </c>
      <c r="AG27" s="6" t="str">
        <f>IFERROR(__xludf.DUMMYFUNCTION("""COMPUTED_VALUE"""),"AKTIF ")</f>
        <v>AKTIF </v>
      </c>
      <c r="AH27" s="6"/>
      <c r="AI27" s="6" t="str">
        <f>IFERROR(__xludf.DUMMYFUNCTION("""COMPUTED_VALUE"""),"Menggantikan MT AA 8711 OF")</f>
        <v>Menggantikan MT AA 8711 OF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hidden="1">
      <c r="A28" s="6">
        <f>IFERROR(__xludf.DUMMYFUNCTION("""COMPUTED_VALUE"""),38.0)</f>
        <v>38</v>
      </c>
      <c r="B28" s="6" t="str">
        <f>IFERROR(__xludf.DUMMYFUNCTION("""COMPUTED_VALUE"""),"N9326UI")</f>
        <v>N9326UI</v>
      </c>
      <c r="C28" s="6" t="str">
        <f>IFERROR(__xludf.DUMMYFUNCTION("""COMPUTED_VALUE"""),"8+8")</f>
        <v>8+8</v>
      </c>
      <c r="D28" s="6">
        <f>IFERROR(__xludf.DUMMYFUNCTION("""COMPUTED_VALUE"""),16.0)</f>
        <v>16</v>
      </c>
      <c r="E28" s="6" t="str">
        <f>IFERROR(__xludf.DUMMYFUNCTION("""COMPUTED_VALUE"""),"PT. SINAR WAHANA SURYA")</f>
        <v>PT. SINAR WAHANA SURYA</v>
      </c>
      <c r="F28" s="6">
        <f>IFERROR(__xludf.DUMMYFUNCTION("""COMPUTED_VALUE"""),2022.0)</f>
        <v>2022</v>
      </c>
      <c r="G28" s="6">
        <f>IFERROR(__xludf.DUMMYFUNCTION("""COMPUTED_VALUE"""),2023.0)</f>
        <v>2023</v>
      </c>
      <c r="H28" s="6">
        <f>IFERROR(__xludf.DUMMYFUNCTION("""COMPUTED_VALUE"""),4.0)</f>
        <v>4</v>
      </c>
      <c r="I28" s="6" t="str">
        <f>IFERROR(__xludf.DUMMYFUNCTION("""COMPUTED_VALUE"""),"CDE 250 6X2R WB4300MM E5 ABS M/T")</f>
        <v>CDE 250 6X2R WB4300MM E5 ABS M/T</v>
      </c>
      <c r="J28" s="6">
        <f>IFERROR(__xludf.DUMMYFUNCTION("""COMPUTED_VALUE"""),7698.0)</f>
        <v>7698</v>
      </c>
      <c r="K28" s="6" t="str">
        <f>IFERROR(__xludf.DUMMYFUNCTION("""COMPUTED_VALUE"""),"EURO 5")</f>
        <v>EURO 5</v>
      </c>
      <c r="L28" s="6" t="str">
        <f>IFERROR(__xludf.DUMMYFUNCTION("""COMPUTED_VALUE"""),"Standart")</f>
        <v>Standart</v>
      </c>
      <c r="M28" s="6" t="str">
        <f>IFERROR(__xludf.DUMMYFUNCTION("""COMPUTED_VALUE"""),"Aweco")</f>
        <v>Aweco</v>
      </c>
      <c r="N28" s="6">
        <f>IFERROR(__xludf.DUMMYFUNCTION("""COMPUTED_VALUE"""),2023.0)</f>
        <v>2023</v>
      </c>
      <c r="O28" s="6">
        <f>IFERROR(__xludf.DUMMYFUNCTION("""COMPUTED_VALUE"""),3.0)</f>
        <v>3</v>
      </c>
      <c r="P28" s="6" t="str">
        <f>IFERROR(__xludf.DUMMYFUNCTION("""COMPUTED_VALUE"""),"CS")</f>
        <v>CS</v>
      </c>
      <c r="Q28" s="6" t="str">
        <f>IFERROR(__xludf.DUMMYFUNCTION("""COMPUTED_VALUE"""),"UD TRUCKS")</f>
        <v>UD TRUCKS</v>
      </c>
      <c r="R28" s="6" t="str">
        <f>IFERROR(__xludf.DUMMYFUNCTION("""COMPUTED_VALUE"""),"GHH8E585405C1P")</f>
        <v>GHH8E585405C1P</v>
      </c>
      <c r="S28" s="6" t="str">
        <f>IFERROR(__xludf.DUMMYFUNCTION("""COMPUTED_VALUE"""),"MFFCDA30GNK820478")</f>
        <v>MFFCDA30GNK820478</v>
      </c>
      <c r="T28" s="31">
        <f>IFERROR(__xludf.DUMMYFUNCTION("""COMPUTED_VALUE"""),47102.0)</f>
        <v>47102</v>
      </c>
      <c r="U28" s="6" t="str">
        <f>IFERROR(__xludf.DUMMYFUNCTION("""COMPUTED_VALUE"""),"Berlaku")</f>
        <v>Berlaku</v>
      </c>
      <c r="V28" s="31">
        <f>IFERROR(__xludf.DUMMYFUNCTION("""COMPUTED_VALUE"""),46371.0)</f>
        <v>46371</v>
      </c>
      <c r="W28" s="6" t="str">
        <f>IFERROR(__xludf.DUMMYFUNCTION("""COMPUTED_VALUE"""),"Berlaku")</f>
        <v>Berlaku</v>
      </c>
      <c r="X28" s="31"/>
      <c r="Y28" s="6" t="str">
        <f>IFERROR(__xludf.DUMMYFUNCTION("""COMPUTED_VALUE"""),"Habis")</f>
        <v>Habis</v>
      </c>
      <c r="Z28" s="31">
        <f>IFERROR(__xludf.DUMMYFUNCTION("""COMPUTED_VALUE"""),46367.0)</f>
        <v>46367</v>
      </c>
      <c r="AA28" s="6" t="str">
        <f>IFERROR(__xludf.DUMMYFUNCTION("""COMPUTED_VALUE"""),"Berlaku")</f>
        <v>Berlaku</v>
      </c>
      <c r="AB28" s="31">
        <f>IFERROR(__xludf.DUMMYFUNCTION("""COMPUTED_VALUE"""),46765.0)</f>
        <v>46765</v>
      </c>
      <c r="AC28" s="6" t="str">
        <f>IFERROR(__xludf.DUMMYFUNCTION("""COMPUTED_VALUE"""),"Berlaku")</f>
        <v>Berlaku</v>
      </c>
      <c r="AD28" s="33">
        <f>IFERROR(__xludf.DUMMYFUNCTION("""COMPUTED_VALUE"""),46360.0)</f>
        <v>46360</v>
      </c>
      <c r="AE28" s="6" t="str">
        <f>IFERROR(__xludf.DUMMYFUNCTION("""COMPUTED_VALUE"""),"Berlaku")</f>
        <v>Berlaku</v>
      </c>
      <c r="AF28" s="6" t="str">
        <f>IFERROR(__xludf.DUMMYFUNCTION("""COMPUTED_VALUE"""),"TUGU (MANDIRI)")</f>
        <v>TUGU (MANDIRI)</v>
      </c>
      <c r="AG28" s="6" t="str">
        <f>IFERROR(__xludf.DUMMYFUNCTION("""COMPUTED_VALUE"""),"AKTIF ")</f>
        <v>AKTIF </v>
      </c>
      <c r="AH28" s="6"/>
      <c r="AI28" s="6" t="str">
        <f>IFERROR(__xludf.DUMMYFUNCTION("""COMPUTED_VALUE"""),"Menggantikan MT AA 8710 OF")</f>
        <v>Menggantikan MT AA 8710 OF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hidden="1">
      <c r="A29" s="6">
        <f>IFERROR(__xludf.DUMMYFUNCTION("""COMPUTED_VALUE"""),39.0)</f>
        <v>39</v>
      </c>
      <c r="B29" s="6" t="str">
        <f>IFERROR(__xludf.DUMMYFUNCTION("""COMPUTED_VALUE"""),"N8533UG")</f>
        <v>N8533UG</v>
      </c>
      <c r="C29" s="6" t="str">
        <f>IFERROR(__xludf.DUMMYFUNCTION("""COMPUTED_VALUE"""),"8+8")</f>
        <v>8+8</v>
      </c>
      <c r="D29" s="6">
        <f>IFERROR(__xludf.DUMMYFUNCTION("""COMPUTED_VALUE"""),16.0)</f>
        <v>16</v>
      </c>
      <c r="E29" s="6" t="str">
        <f>IFERROR(__xludf.DUMMYFUNCTION("""COMPUTED_VALUE"""),"PT. SINAR WAHANA SURYA")</f>
        <v>PT. SINAR WAHANA SURYA</v>
      </c>
      <c r="F29" s="6">
        <f>IFERROR(__xludf.DUMMYFUNCTION("""COMPUTED_VALUE"""),2022.0)</f>
        <v>2022</v>
      </c>
      <c r="G29" s="6">
        <f>IFERROR(__xludf.DUMMYFUNCTION("""COMPUTED_VALUE"""),2024.0)</f>
        <v>2024</v>
      </c>
      <c r="H29" s="6">
        <f>IFERROR(__xludf.DUMMYFUNCTION("""COMPUTED_VALUE"""),4.0)</f>
        <v>4</v>
      </c>
      <c r="I29" s="6" t="str">
        <f>IFERROR(__xludf.DUMMYFUNCTION("""COMPUTED_VALUE"""),"CDE 250 6X2R W84300MM E5 ABS M/T")</f>
        <v>CDE 250 6X2R W84300MM E5 ABS M/T</v>
      </c>
      <c r="J29" s="6">
        <f>IFERROR(__xludf.DUMMYFUNCTION("""COMPUTED_VALUE"""),7698.0)</f>
        <v>7698</v>
      </c>
      <c r="K29" s="6" t="str">
        <f>IFERROR(__xludf.DUMMYFUNCTION("""COMPUTED_VALUE"""),"EURO 5")</f>
        <v>EURO 5</v>
      </c>
      <c r="L29" s="6" t="str">
        <f>IFERROR(__xludf.DUMMYFUNCTION("""COMPUTED_VALUE"""),"Standart")</f>
        <v>Standart</v>
      </c>
      <c r="M29" s="6" t="str">
        <f>IFERROR(__xludf.DUMMYFUNCTION("""COMPUTED_VALUE"""),"Aweco")</f>
        <v>Aweco</v>
      </c>
      <c r="N29" s="6">
        <f>IFERROR(__xludf.DUMMYFUNCTION("""COMPUTED_VALUE"""),2024.0)</f>
        <v>2024</v>
      </c>
      <c r="O29" s="6">
        <f>IFERROR(__xludf.DUMMYFUNCTION("""COMPUTED_VALUE"""),2.0)</f>
        <v>2</v>
      </c>
      <c r="P29" s="6" t="str">
        <f>IFERROR(__xludf.DUMMYFUNCTION("""COMPUTED_VALUE"""),"CS")</f>
        <v>CS</v>
      </c>
      <c r="Q29" s="6" t="str">
        <f>IFERROR(__xludf.DUMMYFUNCTION("""COMPUTED_VALUE"""),"UD TRUCKS")</f>
        <v>UD TRUCKS</v>
      </c>
      <c r="R29" s="6" t="str">
        <f>IFERROR(__xludf.DUMMYFUNCTION("""COMPUTED_VALUE"""),"GH8E583332C1P")</f>
        <v>GH8E583332C1P</v>
      </c>
      <c r="S29" s="6" t="str">
        <f>IFERROR(__xludf.DUMMYFUNCTION("""COMPUTED_VALUE"""),"MFFCDA30GNK820485")</f>
        <v>MFFCDA30GNK820485</v>
      </c>
      <c r="T29" s="31">
        <f>IFERROR(__xludf.DUMMYFUNCTION("""COMPUTED_VALUE"""),47213.0)</f>
        <v>47213</v>
      </c>
      <c r="U29" s="6" t="str">
        <f>IFERROR(__xludf.DUMMYFUNCTION("""COMPUTED_VALUE"""),"Berlaku")</f>
        <v>Berlaku</v>
      </c>
      <c r="V29" s="31">
        <f>IFERROR(__xludf.DUMMYFUNCTION("""COMPUTED_VALUE"""),46482.0)</f>
        <v>46482</v>
      </c>
      <c r="W29" s="6" t="str">
        <f>IFERROR(__xludf.DUMMYFUNCTION("""COMPUTED_VALUE"""),"Berlaku")</f>
        <v>Berlaku</v>
      </c>
      <c r="X29" s="31"/>
      <c r="Y29" s="6" t="str">
        <f>IFERROR(__xludf.DUMMYFUNCTION("""COMPUTED_VALUE"""),"Habis")</f>
        <v>Habis</v>
      </c>
      <c r="Z29" s="31">
        <f>IFERROR(__xludf.DUMMYFUNCTION("""COMPUTED_VALUE"""),46305.0)</f>
        <v>46305</v>
      </c>
      <c r="AA29" s="6" t="str">
        <f>IFERROR(__xludf.DUMMYFUNCTION("""COMPUTED_VALUE"""),"Akan Habis")</f>
        <v>Akan Habis</v>
      </c>
      <c r="AB29" s="31">
        <f>IFERROR(__xludf.DUMMYFUNCTION("""COMPUTED_VALUE"""),46893.0)</f>
        <v>46893</v>
      </c>
      <c r="AC29" s="6" t="str">
        <f>IFERROR(__xludf.DUMMYFUNCTION("""COMPUTED_VALUE"""),"Berlaku")</f>
        <v>Berlaku</v>
      </c>
      <c r="AD29" s="33">
        <f>IFERROR(__xludf.DUMMYFUNCTION("""COMPUTED_VALUE"""),46304.0)</f>
        <v>46304</v>
      </c>
      <c r="AE29" s="6" t="str">
        <f>IFERROR(__xludf.DUMMYFUNCTION("""COMPUTED_VALUE"""),"Akan Habis")</f>
        <v>Akan Habis</v>
      </c>
      <c r="AF29" s="6" t="str">
        <f>IFERROR(__xludf.DUMMYFUNCTION("""COMPUTED_VALUE"""),"TUGU (MANDIRI)")</f>
        <v>TUGU (MANDIRI)</v>
      </c>
      <c r="AG29" s="6" t="str">
        <f>IFERROR(__xludf.DUMMYFUNCTION("""COMPUTED_VALUE"""),"AKTIF ")</f>
        <v>AKTIF </v>
      </c>
      <c r="AH29" s="6"/>
      <c r="AI29" s="6" t="str">
        <f>IFERROR(__xludf.DUMMYFUNCTION("""COMPUTED_VALUE"""),"AA1958EF milik PT Tanah Putih TIDAK DIREMAJAKAN (8 kl)")</f>
        <v>AA1958EF milik PT Tanah Putih TIDAK DIREMAJAKAN (8 kl)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hidden="1">
      <c r="A30" s="6">
        <f>IFERROR(__xludf.DUMMYFUNCTION("""COMPUTED_VALUE"""),40.0)</f>
        <v>40</v>
      </c>
      <c r="B30" s="6" t="str">
        <f>IFERROR(__xludf.DUMMYFUNCTION("""COMPUTED_VALUE"""),"N9369UI")</f>
        <v>N9369UI</v>
      </c>
      <c r="C30" s="6" t="str">
        <f>IFERROR(__xludf.DUMMYFUNCTION("""COMPUTED_VALUE"""),"8+8+8")</f>
        <v>8+8+8</v>
      </c>
      <c r="D30" s="6">
        <f>IFERROR(__xludf.DUMMYFUNCTION("""COMPUTED_VALUE"""),24.0)</f>
        <v>24</v>
      </c>
      <c r="E30" s="6" t="str">
        <f>IFERROR(__xludf.DUMMYFUNCTION("""COMPUTED_VALUE"""),"PT. SINAR WAHANA SURYA")</f>
        <v>PT. SINAR WAHANA SURYA</v>
      </c>
      <c r="F30" s="6">
        <f>IFERROR(__xludf.DUMMYFUNCTION("""COMPUTED_VALUE"""),2023.0)</f>
        <v>2023</v>
      </c>
      <c r="G30" s="6">
        <f>IFERROR(__xludf.DUMMYFUNCTION("""COMPUTED_VALUE"""),2024.0)</f>
        <v>2024</v>
      </c>
      <c r="H30" s="6">
        <f>IFERROR(__xludf.DUMMYFUNCTION("""COMPUTED_VALUE"""),3.0)</f>
        <v>3</v>
      </c>
      <c r="I30" s="6" t="str">
        <f>IFERROR(__xludf.DUMMYFUNCTION("""COMPUTED_VALUE"""),"GKE 280 4X2T WB3500MM E5 ABS M/T")</f>
        <v>GKE 280 4X2T WB3500MM E5 ABS M/T</v>
      </c>
      <c r="J30" s="6">
        <f>IFERROR(__xludf.DUMMYFUNCTION("""COMPUTED_VALUE"""),7698.0)</f>
        <v>7698</v>
      </c>
      <c r="K30" s="6" t="str">
        <f>IFERROR(__xludf.DUMMYFUNCTION("""COMPUTED_VALUE"""),"EURO 5")</f>
        <v>EURO 5</v>
      </c>
      <c r="L30" s="6" t="str">
        <f>IFERROR(__xludf.DUMMYFUNCTION("""COMPUTED_VALUE"""),"Standart")</f>
        <v>Standart</v>
      </c>
      <c r="M30" s="6" t="str">
        <f>IFERROR(__xludf.DUMMYFUNCTION("""COMPUTED_VALUE"""),"Aweco")</f>
        <v>Aweco</v>
      </c>
      <c r="N30" s="6">
        <f>IFERROR(__xludf.DUMMYFUNCTION("""COMPUTED_VALUE"""),2024.0)</f>
        <v>2024</v>
      </c>
      <c r="O30" s="6">
        <f>IFERROR(__xludf.DUMMYFUNCTION("""COMPUTED_VALUE"""),2.0)</f>
        <v>2</v>
      </c>
      <c r="P30" s="6" t="str">
        <f>IFERROR(__xludf.DUMMYFUNCTION("""COMPUTED_VALUE"""),"AA")</f>
        <v>AA</v>
      </c>
      <c r="Q30" s="6" t="str">
        <f>IFERROR(__xludf.DUMMYFUNCTION("""COMPUTED_VALUE"""),"UD TRUCKS")</f>
        <v>UD TRUCKS</v>
      </c>
      <c r="R30" s="6" t="str">
        <f>IFERROR(__xludf.DUMMYFUNCTION("""COMPUTED_VALUE"""),"GH8E615245C1P")</f>
        <v>GH8E615245C1P</v>
      </c>
      <c r="S30" s="6" t="str">
        <f>IFERROR(__xludf.DUMMYFUNCTION("""COMPUTED_VALUE"""),"MFFGKZ50CPK824652")</f>
        <v>MFFGKZ50CPK824652</v>
      </c>
      <c r="T30" s="31">
        <f>IFERROR(__xludf.DUMMYFUNCTION("""COMPUTED_VALUE"""),47213.0)</f>
        <v>47213</v>
      </c>
      <c r="U30" s="6" t="str">
        <f>IFERROR(__xludf.DUMMYFUNCTION("""COMPUTED_VALUE"""),"Berlaku")</f>
        <v>Berlaku</v>
      </c>
      <c r="V30" s="31">
        <f>IFERROR(__xludf.DUMMYFUNCTION("""COMPUTED_VALUE"""),46482.0)</f>
        <v>46482</v>
      </c>
      <c r="W30" s="6" t="str">
        <f>IFERROR(__xludf.DUMMYFUNCTION("""COMPUTED_VALUE"""),"Berlaku")</f>
        <v>Berlaku</v>
      </c>
      <c r="X30" s="31">
        <f>IFERROR(__xludf.DUMMYFUNCTION("""COMPUTED_VALUE"""),46305.0)</f>
        <v>46305</v>
      </c>
      <c r="Y30" s="6" t="str">
        <f>IFERROR(__xludf.DUMMYFUNCTION("""COMPUTED_VALUE"""),"Akan Habis")</f>
        <v>Akan Habis</v>
      </c>
      <c r="Z30" s="31">
        <f>IFERROR(__xludf.DUMMYFUNCTION("""COMPUTED_VALUE"""),46305.0)</f>
        <v>46305</v>
      </c>
      <c r="AA30" s="6" t="str">
        <f>IFERROR(__xludf.DUMMYFUNCTION("""COMPUTED_VALUE"""),"Akan Habis")</f>
        <v>Akan Habis</v>
      </c>
      <c r="AB30" s="31">
        <f>IFERROR(__xludf.DUMMYFUNCTION("""COMPUTED_VALUE"""),46885.0)</f>
        <v>46885</v>
      </c>
      <c r="AC30" s="6" t="str">
        <f>IFERROR(__xludf.DUMMYFUNCTION("""COMPUTED_VALUE"""),"Berlaku")</f>
        <v>Berlaku</v>
      </c>
      <c r="AD30" s="33">
        <f>IFERROR(__xludf.DUMMYFUNCTION("""COMPUTED_VALUE"""),46304.0)</f>
        <v>46304</v>
      </c>
      <c r="AE30" s="6" t="str">
        <f>IFERROR(__xludf.DUMMYFUNCTION("""COMPUTED_VALUE"""),"Akan Habis")</f>
        <v>Akan Habis</v>
      </c>
      <c r="AF30" s="6" t="str">
        <f>IFERROR(__xludf.DUMMYFUNCTION("""COMPUTED_VALUE"""),"TUGU (MANDIRI)")</f>
        <v>TUGU (MANDIRI)</v>
      </c>
      <c r="AG30" s="6" t="str">
        <f>IFERROR(__xludf.DUMMYFUNCTION("""COMPUTED_VALUE"""),"AKTIF ")</f>
        <v>AKTIF </v>
      </c>
      <c r="AH30" s="6"/>
      <c r="AI30" s="6" t="str">
        <f>IFERROR(__xludf.DUMMYFUNCTION("""COMPUTED_VALUE"""),"AA8717OF TIDAK DIREMAJAKAN (NO POL LAMA AA1878EF) milik PT Tanah Putih")</f>
        <v>AA8717OF TIDAK DIREMAJAKAN (NO POL LAMA AA1878EF) milik PT Tanah Putih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hidden="1">
      <c r="A31" s="6">
        <f>IFERROR(__xludf.DUMMYFUNCTION("""COMPUTED_VALUE"""),41.0)</f>
        <v>41</v>
      </c>
      <c r="B31" s="6" t="str">
        <f>IFERROR(__xludf.DUMMYFUNCTION("""COMPUTED_VALUE"""),"N9657UI")</f>
        <v>N9657UI</v>
      </c>
      <c r="C31" s="6" t="str">
        <f>IFERROR(__xludf.DUMMYFUNCTION("""COMPUTED_VALUE"""),"8+8+8")</f>
        <v>8+8+8</v>
      </c>
      <c r="D31" s="6">
        <f>IFERROR(__xludf.DUMMYFUNCTION("""COMPUTED_VALUE"""),24.0)</f>
        <v>24</v>
      </c>
      <c r="E31" s="6" t="str">
        <f>IFERROR(__xludf.DUMMYFUNCTION("""COMPUTED_VALUE"""),"PT. SINAR WAHANA SURYA")</f>
        <v>PT. SINAR WAHANA SURYA</v>
      </c>
      <c r="F31" s="6">
        <f>IFERROR(__xludf.DUMMYFUNCTION("""COMPUTED_VALUE"""),2023.0)</f>
        <v>2023</v>
      </c>
      <c r="G31" s="6">
        <f>IFERROR(__xludf.DUMMYFUNCTION("""COMPUTED_VALUE"""),2024.0)</f>
        <v>2024</v>
      </c>
      <c r="H31" s="6">
        <f>IFERROR(__xludf.DUMMYFUNCTION("""COMPUTED_VALUE"""),3.0)</f>
        <v>3</v>
      </c>
      <c r="I31" s="6" t="str">
        <f>IFERROR(__xludf.DUMMYFUNCTION("""COMPUTED_VALUE"""),"GKE 280 4X2T WB3500MM E5 ABS M/T")</f>
        <v>GKE 280 4X2T WB3500MM E5 ABS M/T</v>
      </c>
      <c r="J31" s="6">
        <f>IFERROR(__xludf.DUMMYFUNCTION("""COMPUTED_VALUE"""),7698.0)</f>
        <v>7698</v>
      </c>
      <c r="K31" s="6" t="str">
        <f>IFERROR(__xludf.DUMMYFUNCTION("""COMPUTED_VALUE"""),"EURO 5")</f>
        <v>EURO 5</v>
      </c>
      <c r="L31" s="6" t="str">
        <f>IFERROR(__xludf.DUMMYFUNCTION("""COMPUTED_VALUE"""),"Standart")</f>
        <v>Standart</v>
      </c>
      <c r="M31" s="6" t="str">
        <f>IFERROR(__xludf.DUMMYFUNCTION("""COMPUTED_VALUE"""),"Aweco")</f>
        <v>Aweco</v>
      </c>
      <c r="N31" s="6">
        <f>IFERROR(__xludf.DUMMYFUNCTION("""COMPUTED_VALUE"""),2024.0)</f>
        <v>2024</v>
      </c>
      <c r="O31" s="6">
        <f>IFERROR(__xludf.DUMMYFUNCTION("""COMPUTED_VALUE"""),2.0)</f>
        <v>2</v>
      </c>
      <c r="P31" s="6" t="str">
        <f>IFERROR(__xludf.DUMMYFUNCTION("""COMPUTED_VALUE"""),"AA")</f>
        <v>AA</v>
      </c>
      <c r="Q31" s="6" t="str">
        <f>IFERROR(__xludf.DUMMYFUNCTION("""COMPUTED_VALUE"""),"UD TRUCKS")</f>
        <v>UD TRUCKS</v>
      </c>
      <c r="R31" s="6" t="str">
        <f>IFERROR(__xludf.DUMMYFUNCTION("""COMPUTED_VALUE"""),"GH8E614660C1P")</f>
        <v>GH8E614660C1P</v>
      </c>
      <c r="S31" s="6" t="str">
        <f>IFERROR(__xludf.DUMMYFUNCTION("""COMPUTED_VALUE"""),"MFFGKZ50CPK824657")</f>
        <v>MFFGKZ50CPK824657</v>
      </c>
      <c r="T31" s="31">
        <f>IFERROR(__xludf.DUMMYFUNCTION("""COMPUTED_VALUE"""),47225.0)</f>
        <v>47225</v>
      </c>
      <c r="U31" s="6" t="str">
        <f>IFERROR(__xludf.DUMMYFUNCTION("""COMPUTED_VALUE"""),"Berlaku")</f>
        <v>Berlaku</v>
      </c>
      <c r="V31" s="31">
        <f>IFERROR(__xludf.DUMMYFUNCTION("""COMPUTED_VALUE"""),46482.0)</f>
        <v>46482</v>
      </c>
      <c r="W31" s="6" t="str">
        <f>IFERROR(__xludf.DUMMYFUNCTION("""COMPUTED_VALUE"""),"Berlaku")</f>
        <v>Berlaku</v>
      </c>
      <c r="X31" s="31">
        <f>IFERROR(__xludf.DUMMYFUNCTION("""COMPUTED_VALUE"""),46317.0)</f>
        <v>46317</v>
      </c>
      <c r="Y31" s="6" t="str">
        <f>IFERROR(__xludf.DUMMYFUNCTION("""COMPUTED_VALUE"""),"Akan Habis")</f>
        <v>Akan Habis</v>
      </c>
      <c r="Z31" s="31">
        <f>IFERROR(__xludf.DUMMYFUNCTION("""COMPUTED_VALUE"""),46317.0)</f>
        <v>46317</v>
      </c>
      <c r="AA31" s="6" t="str">
        <f>IFERROR(__xludf.DUMMYFUNCTION("""COMPUTED_VALUE"""),"Berlaku")</f>
        <v>Berlaku</v>
      </c>
      <c r="AB31" s="31">
        <f>IFERROR(__xludf.DUMMYFUNCTION("""COMPUTED_VALUE"""),46941.0)</f>
        <v>46941</v>
      </c>
      <c r="AC31" s="6" t="str">
        <f>IFERROR(__xludf.DUMMYFUNCTION("""COMPUTED_VALUE"""),"Berlaku")</f>
        <v>Berlaku</v>
      </c>
      <c r="AD31" s="33">
        <f>IFERROR(__xludf.DUMMYFUNCTION("""COMPUTED_VALUE"""),46340.0)</f>
        <v>46340</v>
      </c>
      <c r="AE31" s="6" t="str">
        <f>IFERROR(__xludf.DUMMYFUNCTION("""COMPUTED_VALUE"""),"Berlaku")</f>
        <v>Berlaku</v>
      </c>
      <c r="AF31" s="6" t="str">
        <f>IFERROR(__xludf.DUMMYFUNCTION("""COMPUTED_VALUE"""),"TUGU (MANDIRI)")</f>
        <v>TUGU (MANDIRI)</v>
      </c>
      <c r="AG31" s="6" t="str">
        <f>IFERROR(__xludf.DUMMYFUNCTION("""COMPUTED_VALUE"""),"AKTIF ")</f>
        <v>AKTIF </v>
      </c>
      <c r="AH31" s="6"/>
      <c r="AI31" s="6" t="str">
        <f>IFERROR(__xludf.DUMMYFUNCTION("""COMPUTED_VALUE"""),"AA1938 DF milik PT Tanah Putih TIDAK DIREMAJAKAN")</f>
        <v>AA1938 DF milik PT Tanah Putih TIDAK DIREMAJAKAN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hidden="1">
      <c r="A32" s="6">
        <f>IFERROR(__xludf.DUMMYFUNCTION("""COMPUTED_VALUE"""),42.0)</f>
        <v>42</v>
      </c>
      <c r="B32" s="6" t="str">
        <f>IFERROR(__xludf.DUMMYFUNCTION("""COMPUTED_VALUE"""),"N9405UH")</f>
        <v>N9405UH</v>
      </c>
      <c r="C32" s="6" t="str">
        <f>IFERROR(__xludf.DUMMYFUNCTION("""COMPUTED_VALUE"""),"8+8")</f>
        <v>8+8</v>
      </c>
      <c r="D32" s="6">
        <f>IFERROR(__xludf.DUMMYFUNCTION("""COMPUTED_VALUE"""),16.0)</f>
        <v>16</v>
      </c>
      <c r="E32" s="6" t="str">
        <f>IFERROR(__xludf.DUMMYFUNCTION("""COMPUTED_VALUE"""),"PT. DHARMA CITRA ENERGY")</f>
        <v>PT. DHARMA CITRA ENERGY</v>
      </c>
      <c r="F32" s="6">
        <f>IFERROR(__xludf.DUMMYFUNCTION("""COMPUTED_VALUE"""),2022.0)</f>
        <v>2022</v>
      </c>
      <c r="G32" s="6">
        <f>IFERROR(__xludf.DUMMYFUNCTION("""COMPUTED_VALUE"""),2023.0)</f>
        <v>2023</v>
      </c>
      <c r="H32" s="6">
        <f>IFERROR(__xludf.DUMMYFUNCTION("""COMPUTED_VALUE"""),4.0)</f>
        <v>4</v>
      </c>
      <c r="I32" s="6" t="str">
        <f>IFERROR(__xludf.DUMMYFUNCTION("""COMPUTED_VALUE"""),"CDE 250 6X2R WB4300MM E5 ABS M/T")</f>
        <v>CDE 250 6X2R WB4300MM E5 ABS M/T</v>
      </c>
      <c r="J32" s="6">
        <f>IFERROR(__xludf.DUMMYFUNCTION("""COMPUTED_VALUE"""),7698.0)</f>
        <v>7698</v>
      </c>
      <c r="K32" s="6" t="str">
        <f>IFERROR(__xludf.DUMMYFUNCTION("""COMPUTED_VALUE"""),"EURO 5")</f>
        <v>EURO 5</v>
      </c>
      <c r="L32" s="6" t="str">
        <f>IFERROR(__xludf.DUMMYFUNCTION("""COMPUTED_VALUE"""),"Standart")</f>
        <v>Standart</v>
      </c>
      <c r="M32" s="6" t="str">
        <f>IFERROR(__xludf.DUMMYFUNCTION("""COMPUTED_VALUE"""),"Aweco")</f>
        <v>Aweco</v>
      </c>
      <c r="N32" s="6">
        <f>IFERROR(__xludf.DUMMYFUNCTION("""COMPUTED_VALUE"""),2023.0)</f>
        <v>2023</v>
      </c>
      <c r="O32" s="6">
        <f>IFERROR(__xludf.DUMMYFUNCTION("""COMPUTED_VALUE"""),3.0)</f>
        <v>3</v>
      </c>
      <c r="P32" s="6" t="str">
        <f>IFERROR(__xludf.DUMMYFUNCTION("""COMPUTED_VALUE"""),"CS")</f>
        <v>CS</v>
      </c>
      <c r="Q32" s="6" t="str">
        <f>IFERROR(__xludf.DUMMYFUNCTION("""COMPUTED_VALUE"""),"UD TRUCKS")</f>
        <v>UD TRUCKS</v>
      </c>
      <c r="R32" s="6" t="str">
        <f>IFERROR(__xludf.DUMMYFUNCTION("""COMPUTED_VALUE"""),"GH8E582147C1P")</f>
        <v>GH8E582147C1P</v>
      </c>
      <c r="S32" s="6" t="str">
        <f>IFERROR(__xludf.DUMMYFUNCTION("""COMPUTED_VALUE"""),"MFFCDA30GNK820182")</f>
        <v>MFFCDA30GNK820182</v>
      </c>
      <c r="T32" s="31">
        <f>IFERROR(__xludf.DUMMYFUNCTION("""COMPUTED_VALUE"""),47102.0)</f>
        <v>47102</v>
      </c>
      <c r="U32" s="6" t="str">
        <f>IFERROR(__xludf.DUMMYFUNCTION("""COMPUTED_VALUE"""),"Berlaku")</f>
        <v>Berlaku</v>
      </c>
      <c r="V32" s="31">
        <f>IFERROR(__xludf.DUMMYFUNCTION("""COMPUTED_VALUE"""),46371.0)</f>
        <v>46371</v>
      </c>
      <c r="W32" s="6" t="str">
        <f>IFERROR(__xludf.DUMMYFUNCTION("""COMPUTED_VALUE"""),"Berlaku")</f>
        <v>Berlaku</v>
      </c>
      <c r="X32" s="31"/>
      <c r="Y32" s="6" t="str">
        <f>IFERROR(__xludf.DUMMYFUNCTION("""COMPUTED_VALUE"""),"Habis")</f>
        <v>Habis</v>
      </c>
      <c r="Z32" s="31">
        <f>IFERROR(__xludf.DUMMYFUNCTION("""COMPUTED_VALUE"""),46367.0)</f>
        <v>46367</v>
      </c>
      <c r="AA32" s="6" t="str">
        <f>IFERROR(__xludf.DUMMYFUNCTION("""COMPUTED_VALUE"""),"Berlaku")</f>
        <v>Berlaku</v>
      </c>
      <c r="AB32" s="31">
        <f>IFERROR(__xludf.DUMMYFUNCTION("""COMPUTED_VALUE"""),46767.0)</f>
        <v>46767</v>
      </c>
      <c r="AC32" s="6" t="str">
        <f>IFERROR(__xludf.DUMMYFUNCTION("""COMPUTED_VALUE"""),"Berlaku")</f>
        <v>Berlaku</v>
      </c>
      <c r="AD32" s="33">
        <f>IFERROR(__xludf.DUMMYFUNCTION("""COMPUTED_VALUE"""),46360.0)</f>
        <v>46360</v>
      </c>
      <c r="AE32" s="6" t="str">
        <f>IFERROR(__xludf.DUMMYFUNCTION("""COMPUTED_VALUE"""),"Berlaku")</f>
        <v>Berlaku</v>
      </c>
      <c r="AF32" s="6" t="str">
        <f>IFERROR(__xludf.DUMMYFUNCTION("""COMPUTED_VALUE"""),"TUGU (MANDIRI)")</f>
        <v>TUGU (MANDIRI)</v>
      </c>
      <c r="AG32" s="6" t="str">
        <f>IFERROR(__xludf.DUMMYFUNCTION("""COMPUTED_VALUE"""),"AKTIF ")</f>
        <v>AKTIF </v>
      </c>
      <c r="AH32" s="6"/>
      <c r="AI32" s="6" t="str">
        <f>IFERROR(__xludf.DUMMYFUNCTION("""COMPUTED_VALUE"""),"Menggantikan MT AA 8712 OF")</f>
        <v>Menggantikan MT AA 8712 OF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hidden="1">
      <c r="A33" s="6">
        <f>IFERROR(__xludf.DUMMYFUNCTION("""COMPUTED_VALUE"""),43.0)</f>
        <v>43</v>
      </c>
      <c r="B33" s="6" t="str">
        <f>IFERROR(__xludf.DUMMYFUNCTION("""COMPUTED_VALUE"""),"N9865UJ")</f>
        <v>N9865UJ</v>
      </c>
      <c r="C33" s="6" t="str">
        <f>IFERROR(__xludf.DUMMYFUNCTION("""COMPUTED_VALUE"""),"8+8")</f>
        <v>8+8</v>
      </c>
      <c r="D33" s="6">
        <f>IFERROR(__xludf.DUMMYFUNCTION("""COMPUTED_VALUE"""),16.0)</f>
        <v>16</v>
      </c>
      <c r="E33" s="6" t="str">
        <f>IFERROR(__xludf.DUMMYFUNCTION("""COMPUTED_VALUE"""),"PT. DHARMA CITRA ENERGY")</f>
        <v>PT. DHARMA CITRA ENERGY</v>
      </c>
      <c r="F33" s="6">
        <f>IFERROR(__xludf.DUMMYFUNCTION("""COMPUTED_VALUE"""),2022.0)</f>
        <v>2022</v>
      </c>
      <c r="G33" s="6">
        <f>IFERROR(__xludf.DUMMYFUNCTION("""COMPUTED_VALUE"""),2024.0)</f>
        <v>2024</v>
      </c>
      <c r="H33" s="6">
        <f>IFERROR(__xludf.DUMMYFUNCTION("""COMPUTED_VALUE"""),4.0)</f>
        <v>4</v>
      </c>
      <c r="I33" s="6" t="str">
        <f>IFERROR(__xludf.DUMMYFUNCTION("""COMPUTED_VALUE"""),"CDE 250 6X2R W84300MM E5 ABS M/T")</f>
        <v>CDE 250 6X2R W84300MM E5 ABS M/T</v>
      </c>
      <c r="J33" s="6">
        <f>IFERROR(__xludf.DUMMYFUNCTION("""COMPUTED_VALUE"""),7698.0)</f>
        <v>7698</v>
      </c>
      <c r="K33" s="6" t="str">
        <f>IFERROR(__xludf.DUMMYFUNCTION("""COMPUTED_VALUE"""),"EURO 5")</f>
        <v>EURO 5</v>
      </c>
      <c r="L33" s="6" t="str">
        <f>IFERROR(__xludf.DUMMYFUNCTION("""COMPUTED_VALUE"""),"Standart")</f>
        <v>Standart</v>
      </c>
      <c r="M33" s="6" t="str">
        <f>IFERROR(__xludf.DUMMYFUNCTION("""COMPUTED_VALUE"""),"Aweco")</f>
        <v>Aweco</v>
      </c>
      <c r="N33" s="6">
        <f>IFERROR(__xludf.DUMMYFUNCTION("""COMPUTED_VALUE"""),2024.0)</f>
        <v>2024</v>
      </c>
      <c r="O33" s="6">
        <f>IFERROR(__xludf.DUMMYFUNCTION("""COMPUTED_VALUE"""),2.0)</f>
        <v>2</v>
      </c>
      <c r="P33" s="6" t="str">
        <f>IFERROR(__xludf.DUMMYFUNCTION("""COMPUTED_VALUE"""),"CS")</f>
        <v>CS</v>
      </c>
      <c r="Q33" s="6" t="str">
        <f>IFERROR(__xludf.DUMMYFUNCTION("""COMPUTED_VALUE"""),"UD TRUCKS")</f>
        <v>UD TRUCKS</v>
      </c>
      <c r="R33" s="6" t="str">
        <f>IFERROR(__xludf.DUMMYFUNCTION("""COMPUTED_VALUE"""),"GH8E582150C1P")</f>
        <v>GH8E582150C1P</v>
      </c>
      <c r="S33" s="6" t="str">
        <f>IFERROR(__xludf.DUMMYFUNCTION("""COMPUTED_VALUE"""),"MFFCDA30GNK820179")</f>
        <v>MFFCDA30GNK820179</v>
      </c>
      <c r="T33" s="31">
        <f>IFERROR(__xludf.DUMMYFUNCTION("""COMPUTED_VALUE"""),47213.0)</f>
        <v>47213</v>
      </c>
      <c r="U33" s="6" t="str">
        <f>IFERROR(__xludf.DUMMYFUNCTION("""COMPUTED_VALUE"""),"Berlaku")</f>
        <v>Berlaku</v>
      </c>
      <c r="V33" s="31">
        <f>IFERROR(__xludf.DUMMYFUNCTION("""COMPUTED_VALUE"""),46482.0)</f>
        <v>46482</v>
      </c>
      <c r="W33" s="6" t="str">
        <f>IFERROR(__xludf.DUMMYFUNCTION("""COMPUTED_VALUE"""),"Berlaku")</f>
        <v>Berlaku</v>
      </c>
      <c r="X33" s="31"/>
      <c r="Y33" s="6" t="str">
        <f>IFERROR(__xludf.DUMMYFUNCTION("""COMPUTED_VALUE"""),"Habis")</f>
        <v>Habis</v>
      </c>
      <c r="Z33" s="31">
        <f>IFERROR(__xludf.DUMMYFUNCTION("""COMPUTED_VALUE"""),46314.0)</f>
        <v>46314</v>
      </c>
      <c r="AA33" s="6" t="str">
        <f>IFERROR(__xludf.DUMMYFUNCTION("""COMPUTED_VALUE"""),"Akan Habis")</f>
        <v>Akan Habis</v>
      </c>
      <c r="AB33" s="31">
        <f>IFERROR(__xludf.DUMMYFUNCTION("""COMPUTED_VALUE"""),46894.0)</f>
        <v>46894</v>
      </c>
      <c r="AC33" s="6" t="str">
        <f>IFERROR(__xludf.DUMMYFUNCTION("""COMPUTED_VALUE"""),"Berlaku")</f>
        <v>Berlaku</v>
      </c>
      <c r="AD33" s="33">
        <f>IFERROR(__xludf.DUMMYFUNCTION("""COMPUTED_VALUE"""),46304.0)</f>
        <v>46304</v>
      </c>
      <c r="AE33" s="6" t="str">
        <f>IFERROR(__xludf.DUMMYFUNCTION("""COMPUTED_VALUE"""),"Akan Habis")</f>
        <v>Akan Habis</v>
      </c>
      <c r="AF33" s="6" t="str">
        <f>IFERROR(__xludf.DUMMYFUNCTION("""COMPUTED_VALUE"""),"TUGU (MANDIRI)")</f>
        <v>TUGU (MANDIRI)</v>
      </c>
      <c r="AG33" s="6" t="str">
        <f>IFERROR(__xludf.DUMMYFUNCTION("""COMPUTED_VALUE"""),"AKTIF ")</f>
        <v>AKTIF </v>
      </c>
      <c r="AH33" s="6"/>
      <c r="AI33" s="6" t="str">
        <f>IFERROR(__xludf.DUMMYFUNCTION("""COMPUTED_VALUE"""),"AA8719OF milik PT Tanah Putih TIDAK DIREMAJAKAN (NO POL LAMA AA1858EF)")</f>
        <v>AA8719OF milik PT Tanah Putih TIDAK DIREMAJAKAN (NO POL LAMA AA1858EF)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hidden="1">
      <c r="A34" s="6">
        <f>IFERROR(__xludf.DUMMYFUNCTION("""COMPUTED_VALUE"""),45.0)</f>
        <v>45</v>
      </c>
      <c r="B34" s="6" t="str">
        <f>IFERROR(__xludf.DUMMYFUNCTION("""COMPUTED_VALUE"""),"N8641UH")</f>
        <v>N8641UH</v>
      </c>
      <c r="C34" s="6" t="str">
        <f>IFERROR(__xludf.DUMMYFUNCTION("""COMPUTED_VALUE"""),"4+4")</f>
        <v>4+4</v>
      </c>
      <c r="D34" s="6">
        <f>IFERROR(__xludf.DUMMYFUNCTION("""COMPUTED_VALUE"""),8.0)</f>
        <v>8</v>
      </c>
      <c r="E34" s="6" t="str">
        <f>IFERROR(__xludf.DUMMYFUNCTION("""COMPUTED_VALUE"""),"PT. DHARMA CITRA ENERGY")</f>
        <v>PT. DHARMA CITRA ENERGY</v>
      </c>
      <c r="F34" s="6">
        <f>IFERROR(__xludf.DUMMYFUNCTION("""COMPUTED_VALUE"""),2022.0)</f>
        <v>2022</v>
      </c>
      <c r="G34" s="6">
        <f>IFERROR(__xludf.DUMMYFUNCTION("""COMPUTED_VALUE"""),2024.0)</f>
        <v>2024</v>
      </c>
      <c r="H34" s="6">
        <f>IFERROR(__xludf.DUMMYFUNCTION("""COMPUTED_VALUE"""),4.0)</f>
        <v>4</v>
      </c>
      <c r="I34" s="6" t="str">
        <f>IFERROR(__xludf.DUMMYFUNCTION("""COMPUTED_VALUE"""),"CKE250 4X2R WB4600MM E5")</f>
        <v>CKE250 4X2R WB4600MM E5</v>
      </c>
      <c r="J34" s="6">
        <f>IFERROR(__xludf.DUMMYFUNCTION("""COMPUTED_VALUE"""),7698.0)</f>
        <v>7698</v>
      </c>
      <c r="K34" s="6" t="str">
        <f>IFERROR(__xludf.DUMMYFUNCTION("""COMPUTED_VALUE"""),"EURO 5")</f>
        <v>EURO 5</v>
      </c>
      <c r="L34" s="6" t="str">
        <f>IFERROR(__xludf.DUMMYFUNCTION("""COMPUTED_VALUE"""),"Standart")</f>
        <v>Standart</v>
      </c>
      <c r="M34" s="6" t="str">
        <f>IFERROR(__xludf.DUMMYFUNCTION("""COMPUTED_VALUE"""),"Aweco")</f>
        <v>Aweco</v>
      </c>
      <c r="N34" s="6">
        <f>IFERROR(__xludf.DUMMYFUNCTION("""COMPUTED_VALUE"""),2024.0)</f>
        <v>2024</v>
      </c>
      <c r="O34" s="6">
        <f>IFERROR(__xludf.DUMMYFUNCTION("""COMPUTED_VALUE"""),2.0)</f>
        <v>2</v>
      </c>
      <c r="P34" s="6" t="str">
        <f>IFERROR(__xludf.DUMMYFUNCTION("""COMPUTED_VALUE"""),"CS")</f>
        <v>CS</v>
      </c>
      <c r="Q34" s="6" t="str">
        <f>IFERROR(__xludf.DUMMYFUNCTION("""COMPUTED_VALUE"""),"UD TRUCKS")</f>
        <v>UD TRUCKS</v>
      </c>
      <c r="R34" s="6" t="str">
        <f>IFERROR(__xludf.DUMMYFUNCTION("""COMPUTED_VALUE"""),"GH8E596448C1P")</f>
        <v>GH8E596448C1P</v>
      </c>
      <c r="S34" s="6" t="str">
        <f>IFERROR(__xludf.DUMMYFUNCTION("""COMPUTED_VALUE"""),"JPCZA30A5PTO36998")</f>
        <v>JPCZA30A5PTO36998</v>
      </c>
      <c r="T34" s="31">
        <f>IFERROR(__xludf.DUMMYFUNCTION("""COMPUTED_VALUE"""),47253.0)</f>
        <v>47253</v>
      </c>
      <c r="U34" s="6" t="str">
        <f>IFERROR(__xludf.DUMMYFUNCTION("""COMPUTED_VALUE"""),"Berlaku")</f>
        <v>Berlaku</v>
      </c>
      <c r="V34" s="31">
        <f>IFERROR(__xludf.DUMMYFUNCTION("""COMPUTED_VALUE"""),46522.0)</f>
        <v>46522</v>
      </c>
      <c r="W34" s="6" t="str">
        <f>IFERROR(__xludf.DUMMYFUNCTION("""COMPUTED_VALUE"""),"Berlaku")</f>
        <v>Berlaku</v>
      </c>
      <c r="X34" s="31"/>
      <c r="Y34" s="6" t="str">
        <f>IFERROR(__xludf.DUMMYFUNCTION("""COMPUTED_VALUE"""),"Habis")</f>
        <v>Habis</v>
      </c>
      <c r="Z34" s="31">
        <f>IFERROR(__xludf.DUMMYFUNCTION("""COMPUTED_VALUE"""),46367.0)</f>
        <v>46367</v>
      </c>
      <c r="AA34" s="6" t="str">
        <f>IFERROR(__xludf.DUMMYFUNCTION("""COMPUTED_VALUE"""),"Berlaku")</f>
        <v>Berlaku</v>
      </c>
      <c r="AB34" s="31">
        <f>IFERROR(__xludf.DUMMYFUNCTION("""COMPUTED_VALUE"""),46923.0)</f>
        <v>46923</v>
      </c>
      <c r="AC34" s="6" t="str">
        <f>IFERROR(__xludf.DUMMYFUNCTION("""COMPUTED_VALUE"""),"Berlaku")</f>
        <v>Berlaku</v>
      </c>
      <c r="AD34" s="33">
        <f>IFERROR(__xludf.DUMMYFUNCTION("""COMPUTED_VALUE"""),46340.0)</f>
        <v>46340</v>
      </c>
      <c r="AE34" s="6" t="str">
        <f>IFERROR(__xludf.DUMMYFUNCTION("""COMPUTED_VALUE"""),"Berlaku")</f>
        <v>Berlaku</v>
      </c>
      <c r="AF34" s="6" t="str">
        <f>IFERROR(__xludf.DUMMYFUNCTION("""COMPUTED_VALUE"""),"TUGU (MANDIRI)")</f>
        <v>TUGU (MANDIRI)</v>
      </c>
      <c r="AG34" s="6" t="str">
        <f>IFERROR(__xludf.DUMMYFUNCTION("""COMPUTED_VALUE"""),"AKTIF ")</f>
        <v>AKTIF </v>
      </c>
      <c r="AH34" s="6"/>
      <c r="AI34" s="6" t="str">
        <f>IFERROR(__xludf.DUMMYFUNCTION("""COMPUTED_VALUE"""),"AA1936DF TIDAK DIREMAJAKAN milik PT Tanah Putih")</f>
        <v>AA1936DF TIDAK DIREMAJAKAN milik PT Tanah Putih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hidden="1">
      <c r="A35" s="6">
        <f>IFERROR(__xludf.DUMMYFUNCTION("""COMPUTED_VALUE"""),47.0)</f>
        <v>47</v>
      </c>
      <c r="B35" s="6" t="str">
        <f>IFERROR(__xludf.DUMMYFUNCTION("""COMPUTED_VALUE"""),"N8021UEA")</f>
        <v>N8021UEA</v>
      </c>
      <c r="C35" s="6" t="str">
        <f>IFERROR(__xludf.DUMMYFUNCTION("""COMPUTED_VALUE"""),"8+8")</f>
        <v>8+8</v>
      </c>
      <c r="D35" s="6">
        <f>IFERROR(__xludf.DUMMYFUNCTION("""COMPUTED_VALUE"""),16.0)</f>
        <v>16</v>
      </c>
      <c r="E35" s="6" t="str">
        <f>IFERROR(__xludf.DUMMYFUNCTION("""COMPUTED_VALUE"""),"PT. DHARMA CITRA ENERGY")</f>
        <v>PT. DHARMA CITRA ENERGY</v>
      </c>
      <c r="F35" s="6">
        <f>IFERROR(__xludf.DUMMYFUNCTION("""COMPUTED_VALUE"""),2023.0)</f>
        <v>2023</v>
      </c>
      <c r="G35" s="6">
        <f>IFERROR(__xludf.DUMMYFUNCTION("""COMPUTED_VALUE"""),2025.0)</f>
        <v>2025</v>
      </c>
      <c r="H35" s="6">
        <f>IFERROR(__xludf.DUMMYFUNCTION("""COMPUTED_VALUE"""),3.0)</f>
        <v>3</v>
      </c>
      <c r="I35" s="6" t="str">
        <f>IFERROR(__xludf.DUMMYFUNCTION("""COMPUTED_VALUE"""),"CA1250P26K2L7T3E6A80")</f>
        <v>CA1250P26K2L7T3E6A80</v>
      </c>
      <c r="J35" s="6">
        <f>IFERROR(__xludf.DUMMYFUNCTION("""COMPUTED_VALUE"""),7700.0)</f>
        <v>7700</v>
      </c>
      <c r="K35" s="6" t="str">
        <f>IFERROR(__xludf.DUMMYFUNCTION("""COMPUTED_VALUE"""),"EURO 5")</f>
        <v>EURO 5</v>
      </c>
      <c r="L35" s="6" t="str">
        <f>IFERROR(__xludf.DUMMYFUNCTION("""COMPUTED_VALUE"""),"Standart")</f>
        <v>Standart</v>
      </c>
      <c r="M35" s="6" t="str">
        <f>IFERROR(__xludf.DUMMYFUNCTION("""COMPUTED_VALUE"""),"Aweco")</f>
        <v>Aweco</v>
      </c>
      <c r="N35" s="6">
        <f>IFERROR(__xludf.DUMMYFUNCTION("""COMPUTED_VALUE"""),2025.0)</f>
        <v>2025</v>
      </c>
      <c r="O35" s="6">
        <f>IFERROR(__xludf.DUMMYFUNCTION("""COMPUTED_VALUE"""),1.0)</f>
        <v>1</v>
      </c>
      <c r="P35" s="6" t="str">
        <f>IFERROR(__xludf.DUMMYFUNCTION("""COMPUTED_VALUE"""),"CS")</f>
        <v>CS</v>
      </c>
      <c r="Q35" s="6" t="str">
        <f>IFERROR(__xludf.DUMMYFUNCTION("""COMPUTED_VALUE"""),"FAW")</f>
        <v>FAW</v>
      </c>
      <c r="R35" s="6" t="str">
        <f>IFERROR(__xludf.DUMMYFUNCTION("""COMPUTED_VALUE"""),"CA6DL129E553993424")</f>
        <v>CA6DL129E553993424</v>
      </c>
      <c r="S35" s="6" t="str">
        <f>IFERROR(__xludf.DUMMYFUNCTION("""COMPUTED_VALUE"""),"LFNDRUMN6PAD32237")</f>
        <v>LFNDRUMN6PAD32237</v>
      </c>
      <c r="T35" s="31">
        <f>IFERROR(__xludf.DUMMYFUNCTION("""COMPUTED_VALUE"""),47596.0)</f>
        <v>47596</v>
      </c>
      <c r="U35" s="6" t="str">
        <f>IFERROR(__xludf.DUMMYFUNCTION("""COMPUTED_VALUE"""),"Berlaku")</f>
        <v>Berlaku</v>
      </c>
      <c r="V35" s="31">
        <f>IFERROR(__xludf.DUMMYFUNCTION("""COMPUTED_VALUE"""),46500.0)</f>
        <v>46500</v>
      </c>
      <c r="W35" s="6" t="str">
        <f>IFERROR(__xludf.DUMMYFUNCTION("""COMPUTED_VALUE"""),"Berlaku")</f>
        <v>Berlaku</v>
      </c>
      <c r="X35" s="31"/>
      <c r="Y35" s="6" t="str">
        <f>IFERROR(__xludf.DUMMYFUNCTION("""COMPUTED_VALUE"""),"Habis")</f>
        <v>Habis</v>
      </c>
      <c r="Z35" s="31">
        <f>IFERROR(__xludf.DUMMYFUNCTION("""COMPUTED_VALUE"""),46337.0)</f>
        <v>46337</v>
      </c>
      <c r="AA35" s="6" t="str">
        <f>IFERROR(__xludf.DUMMYFUNCTION("""COMPUTED_VALUE"""),"Berlaku")</f>
        <v>Berlaku</v>
      </c>
      <c r="AB35" s="31">
        <f>IFERROR(__xludf.DUMMYFUNCTION("""COMPUTED_VALUE"""),46542.0)</f>
        <v>46542</v>
      </c>
      <c r="AC35" s="6" t="str">
        <f>IFERROR(__xludf.DUMMYFUNCTION("""COMPUTED_VALUE"""),"Berlaku")</f>
        <v>Berlaku</v>
      </c>
      <c r="AD35" s="33">
        <f>IFERROR(__xludf.DUMMYFUNCTION("""COMPUTED_VALUE"""),46347.0)</f>
        <v>46347</v>
      </c>
      <c r="AE35" s="6" t="str">
        <f>IFERROR(__xludf.DUMMYFUNCTION("""COMPUTED_VALUE"""),"Berlaku")</f>
        <v>Berlaku</v>
      </c>
      <c r="AF35" s="6" t="str">
        <f>IFERROR(__xludf.DUMMYFUNCTION("""COMPUTED_VALUE"""),"ASWATA (MANDIRI)")</f>
        <v>ASWATA (MANDIRI)</v>
      </c>
      <c r="AG35" s="6" t="str">
        <f>IFERROR(__xludf.DUMMYFUNCTION("""COMPUTED_VALUE"""),"AKTIF ")</f>
        <v>AKTIF </v>
      </c>
      <c r="AH35" s="6"/>
      <c r="AI35" s="6" t="str">
        <f>IFERROR(__xludf.DUMMYFUNCTION("""COMPUTED_VALUE"""),"Meremajakan R1871AT dri PT Gelora")</f>
        <v>Meremajakan R1871AT dri PT Gelora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hidden="1">
      <c r="A36" s="6">
        <f>IFERROR(__xludf.DUMMYFUNCTION("""COMPUTED_VALUE"""),48.0)</f>
        <v>48</v>
      </c>
      <c r="B36" s="6" t="str">
        <f>IFERROR(__xludf.DUMMYFUNCTION("""COMPUTED_VALUE"""),"N8054UEA")</f>
        <v>N8054UEA</v>
      </c>
      <c r="C36" s="6" t="str">
        <f>IFERROR(__xludf.DUMMYFUNCTION("""COMPUTED_VALUE"""),"8+8")</f>
        <v>8+8</v>
      </c>
      <c r="D36" s="6">
        <f>IFERROR(__xludf.DUMMYFUNCTION("""COMPUTED_VALUE"""),16.0)</f>
        <v>16</v>
      </c>
      <c r="E36" s="6" t="str">
        <f>IFERROR(__xludf.DUMMYFUNCTION("""COMPUTED_VALUE"""),"PT. DHARMA CITRA ENERGY")</f>
        <v>PT. DHARMA CITRA ENERGY</v>
      </c>
      <c r="F36" s="6">
        <f>IFERROR(__xludf.DUMMYFUNCTION("""COMPUTED_VALUE"""),2024.0)</f>
        <v>2024</v>
      </c>
      <c r="G36" s="6">
        <f>IFERROR(__xludf.DUMMYFUNCTION("""COMPUTED_VALUE"""),2025.0)</f>
        <v>2025</v>
      </c>
      <c r="H36" s="6">
        <f>IFERROR(__xludf.DUMMYFUNCTION("""COMPUTED_VALUE"""),2.0)</f>
        <v>2</v>
      </c>
      <c r="I36" s="6" t="str">
        <f>IFERROR(__xludf.DUMMYFUNCTION("""COMPUTED_VALUE"""),"CA1250P26K2L7T3E6A80")</f>
        <v>CA1250P26K2L7T3E6A80</v>
      </c>
      <c r="J36" s="6">
        <f>IFERROR(__xludf.DUMMYFUNCTION("""COMPUTED_VALUE"""),6600.0)</f>
        <v>6600</v>
      </c>
      <c r="K36" s="6" t="str">
        <f>IFERROR(__xludf.DUMMYFUNCTION("""COMPUTED_VALUE"""),"EURO 5")</f>
        <v>EURO 5</v>
      </c>
      <c r="L36" s="6" t="str">
        <f>IFERROR(__xludf.DUMMYFUNCTION("""COMPUTED_VALUE"""),"Standart")</f>
        <v>Standart</v>
      </c>
      <c r="M36" s="6" t="str">
        <f>IFERROR(__xludf.DUMMYFUNCTION("""COMPUTED_VALUE"""),"Geluran Adikarya")</f>
        <v>Geluran Adikarya</v>
      </c>
      <c r="N36" s="6">
        <f>IFERROR(__xludf.DUMMYFUNCTION("""COMPUTED_VALUE"""),2025.0)</f>
        <v>2025</v>
      </c>
      <c r="O36" s="6">
        <f>IFERROR(__xludf.DUMMYFUNCTION("""COMPUTED_VALUE"""),1.0)</f>
        <v>1</v>
      </c>
      <c r="P36" s="6" t="str">
        <f>IFERROR(__xludf.DUMMYFUNCTION("""COMPUTED_VALUE"""),"CS")</f>
        <v>CS</v>
      </c>
      <c r="Q36" s="6" t="str">
        <f>IFERROR(__xludf.DUMMYFUNCTION("""COMPUTED_VALUE"""),"FAW")</f>
        <v>FAW</v>
      </c>
      <c r="R36" s="6" t="str">
        <f>IFERROR(__xludf.DUMMYFUNCTION("""COMPUTED_VALUE"""),"CA6DLD24E554034600")</f>
        <v>CA6DLD24E554034600</v>
      </c>
      <c r="S36" s="6" t="str">
        <f>IFERROR(__xludf.DUMMYFUNCTION("""COMPUTED_VALUE"""),"LFNCRULN5RAC95018")</f>
        <v>LFNCRULN5RAC95018</v>
      </c>
      <c r="T36" s="31">
        <f>IFERROR(__xludf.DUMMYFUNCTION("""COMPUTED_VALUE"""),47720.0)</f>
        <v>47720</v>
      </c>
      <c r="U36" s="6" t="str">
        <f>IFERROR(__xludf.DUMMYFUNCTION("""COMPUTED_VALUE"""),"Berlaku")</f>
        <v>Berlaku</v>
      </c>
      <c r="V36" s="31">
        <f>IFERROR(__xludf.DUMMYFUNCTION("""COMPUTED_VALUE"""),46624.0)</f>
        <v>46624</v>
      </c>
      <c r="W36" s="6" t="str">
        <f>IFERROR(__xludf.DUMMYFUNCTION("""COMPUTED_VALUE"""),"Berlaku")</f>
        <v>Berlaku</v>
      </c>
      <c r="X36" s="31"/>
      <c r="Y36" s="6" t="str">
        <f>IFERROR(__xludf.DUMMYFUNCTION("""COMPUTED_VALUE"""),"Habis")</f>
        <v>Habis</v>
      </c>
      <c r="Z36" s="31">
        <f>IFERROR(__xludf.DUMMYFUNCTION("""COMPUTED_VALUE"""),46456.0)</f>
        <v>46456</v>
      </c>
      <c r="AA36" s="6" t="str">
        <f>IFERROR(__xludf.DUMMYFUNCTION("""COMPUTED_VALUE"""),"Berlaku")</f>
        <v>Berlaku</v>
      </c>
      <c r="AB36" s="31">
        <f>IFERROR(__xludf.DUMMYFUNCTION("""COMPUTED_VALUE"""),46668.0)</f>
        <v>46668</v>
      </c>
      <c r="AC36" s="6" t="str">
        <f>IFERROR(__xludf.DUMMYFUNCTION("""COMPUTED_VALUE"""),"Berlaku")</f>
        <v>Berlaku</v>
      </c>
      <c r="AD36" s="33">
        <f>IFERROR(__xludf.DUMMYFUNCTION("""COMPUTED_VALUE"""),46293.0)</f>
        <v>46293</v>
      </c>
      <c r="AE36" s="6" t="str">
        <f>IFERROR(__xludf.DUMMYFUNCTION("""COMPUTED_VALUE"""),"Habis")</f>
        <v>Habis</v>
      </c>
      <c r="AF36" s="6" t="str">
        <f>IFERROR(__xludf.DUMMYFUNCTION("""COMPUTED_VALUE"""),"ASWATA (MANDIRI)")</f>
        <v>ASWATA (MANDIRI)</v>
      </c>
      <c r="AG36" s="6" t="str">
        <f>IFERROR(__xludf.DUMMYFUNCTION("""COMPUTED_VALUE"""),"AKTIF ")</f>
        <v>AKTIF </v>
      </c>
      <c r="AH36" s="6"/>
      <c r="AI36" s="6" t="str">
        <f>IFERROR(__xludf.DUMMYFUNCTION("""COMPUTED_VALUE"""),"Meremajakan MT R 1889 GM Milik PT Katraco Putra Selaras")</f>
        <v>Meremajakan MT R 1889 GM Milik PT Katraco Putra Selaras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hidden="1">
      <c r="A37" s="6">
        <f>IFERROR(__xludf.DUMMYFUNCTION("""COMPUTED_VALUE"""),49.0)</f>
        <v>49</v>
      </c>
      <c r="B37" s="6" t="str">
        <f>IFERROR(__xludf.DUMMYFUNCTION("""COMPUTED_VALUE"""),"R9839BR")</f>
        <v>R9839BR</v>
      </c>
      <c r="C37" s="6" t="str">
        <f>IFERROR(__xludf.DUMMYFUNCTION("""COMPUTED_VALUE"""),"8+8")</f>
        <v>8+8</v>
      </c>
      <c r="D37" s="6">
        <f>IFERROR(__xludf.DUMMYFUNCTION("""COMPUTED_VALUE"""),16.0)</f>
        <v>16</v>
      </c>
      <c r="E37" s="6" t="str">
        <f>IFERROR(__xludf.DUMMYFUNCTION("""COMPUTED_VALUE"""),"PT. SATU HATI")</f>
        <v>PT. SATU HATI</v>
      </c>
      <c r="F37" s="6">
        <f>IFERROR(__xludf.DUMMYFUNCTION("""COMPUTED_VALUE"""),2022.0)</f>
        <v>2022</v>
      </c>
      <c r="G37" s="6">
        <f>IFERROR(__xludf.DUMMYFUNCTION("""COMPUTED_VALUE"""),2022.0)</f>
        <v>2022</v>
      </c>
      <c r="H37" s="6">
        <f>IFERROR(__xludf.DUMMYFUNCTION("""COMPUTED_VALUE"""),4.0)</f>
        <v>4</v>
      </c>
      <c r="I37" s="6" t="str">
        <f>IFERROR(__xludf.DUMMYFUNCTION("""COMPUTED_VALUE"""),"FL280JT2A-XGJ")</f>
        <v>FL280JT2A-XGJ</v>
      </c>
      <c r="J37" s="6">
        <f>IFERROR(__xludf.DUMMYFUNCTION("""COMPUTED_VALUE"""),7684.0)</f>
        <v>7684</v>
      </c>
      <c r="K37" s="6" t="str">
        <f>IFERROR(__xludf.DUMMYFUNCTION("""COMPUTED_VALUE"""),"EURO 4")</f>
        <v>EURO 4</v>
      </c>
      <c r="L37" s="6" t="str">
        <f>IFERROR(__xludf.DUMMYFUNCTION("""COMPUTED_VALUE"""),"Standart")</f>
        <v>Standart</v>
      </c>
      <c r="M37" s="6" t="str">
        <f>IFERROR(__xludf.DUMMYFUNCTION("""COMPUTED_VALUE"""),"Aweco")</f>
        <v>Aweco</v>
      </c>
      <c r="N37" s="6">
        <f>IFERROR(__xludf.DUMMYFUNCTION("""COMPUTED_VALUE"""),2022.0)</f>
        <v>2022</v>
      </c>
      <c r="O37" s="6">
        <f>IFERROR(__xludf.DUMMYFUNCTION("""COMPUTED_VALUE"""),4.0)</f>
        <v>4</v>
      </c>
      <c r="P37" s="6" t="str">
        <f>IFERROR(__xludf.DUMMYFUNCTION("""COMPUTED_VALUE"""),"CS")</f>
        <v>CS</v>
      </c>
      <c r="Q37" s="6" t="str">
        <f>IFERROR(__xludf.DUMMYFUNCTION("""COMPUTED_VALUE"""),"HINO")</f>
        <v>HINO</v>
      </c>
      <c r="R37" s="6" t="str">
        <f>IFERROR(__xludf.DUMMYFUNCTION("""COMPUTED_VALUE"""),"J08EWDJ10975")</f>
        <v>J08EWDJ10975</v>
      </c>
      <c r="S37" s="6" t="str">
        <f>IFERROR(__xludf.DUMMYFUNCTION("""COMPUTED_VALUE"""),"MJEFL8JT2NJX1004")</f>
        <v>MJEFL8JT2NJX1004</v>
      </c>
      <c r="T37" s="31">
        <f>IFERROR(__xludf.DUMMYFUNCTION("""COMPUTED_VALUE"""),46693.0)</f>
        <v>46693</v>
      </c>
      <c r="U37" s="6" t="str">
        <f>IFERROR(__xludf.DUMMYFUNCTION("""COMPUTED_VALUE"""),"Berlaku")</f>
        <v>Berlaku</v>
      </c>
      <c r="V37" s="31">
        <f>IFERROR(__xludf.DUMMYFUNCTION("""COMPUTED_VALUE"""),46693.0)</f>
        <v>46693</v>
      </c>
      <c r="W37" s="6" t="str">
        <f>IFERROR(__xludf.DUMMYFUNCTION("""COMPUTED_VALUE"""),"Berlaku")</f>
        <v>Berlaku</v>
      </c>
      <c r="X37" s="31"/>
      <c r="Y37" s="6" t="str">
        <f>IFERROR(__xludf.DUMMYFUNCTION("""COMPUTED_VALUE"""),"Habis")</f>
        <v>Habis</v>
      </c>
      <c r="Z37" s="31">
        <f>IFERROR(__xludf.DUMMYFUNCTION("""COMPUTED_VALUE"""),46453.0)</f>
        <v>46453</v>
      </c>
      <c r="AA37" s="6" t="str">
        <f>IFERROR(__xludf.DUMMYFUNCTION("""COMPUTED_VALUE"""),"Berlaku")</f>
        <v>Berlaku</v>
      </c>
      <c r="AB37" s="31">
        <f>IFERROR(__xludf.DUMMYFUNCTION("""COMPUTED_VALUE"""),46962.0)</f>
        <v>46962</v>
      </c>
      <c r="AC37" s="6" t="str">
        <f>IFERROR(__xludf.DUMMYFUNCTION("""COMPUTED_VALUE"""),"Berlaku")</f>
        <v>Berlaku</v>
      </c>
      <c r="AD37" s="33">
        <f>IFERROR(__xludf.DUMMYFUNCTION("""COMPUTED_VALUE"""),46439.0)</f>
        <v>46439</v>
      </c>
      <c r="AE37" s="6" t="str">
        <f>IFERROR(__xludf.DUMMYFUNCTION("""COMPUTED_VALUE"""),"Berlaku")</f>
        <v>Berlaku</v>
      </c>
      <c r="AF37" s="6" t="str">
        <f>IFERROR(__xludf.DUMMYFUNCTION("""COMPUTED_VALUE"""),"TUGU")</f>
        <v>TUGU</v>
      </c>
      <c r="AG37" s="6" t="str">
        <f>IFERROR(__xludf.DUMMYFUNCTION("""COMPUTED_VALUE"""),"AKTIF ")</f>
        <v>AKTIF </v>
      </c>
      <c r="AH37" s="6"/>
      <c r="AI37" s="6" t="str">
        <f>IFERROR(__xludf.DUMMYFUNCTION("""COMPUTED_VALUE"""),"No pol lama R8772BR yang afkir dan diremajakan")</f>
        <v>No pol lama R8772BR yang afkir dan diremajakan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hidden="1">
      <c r="A38" s="6">
        <f>IFERROR(__xludf.DUMMYFUNCTION("""COMPUTED_VALUE"""),52.0)</f>
        <v>52</v>
      </c>
      <c r="B38" s="6" t="str">
        <f>IFERROR(__xludf.DUMMYFUNCTION("""COMPUTED_VALUE"""),"R9674B")</f>
        <v>R9674B</v>
      </c>
      <c r="C38" s="6" t="str">
        <f>IFERROR(__xludf.DUMMYFUNCTION("""COMPUTED_VALUE"""),"8+8")</f>
        <v>8+8</v>
      </c>
      <c r="D38" s="6">
        <f>IFERROR(__xludf.DUMMYFUNCTION("""COMPUTED_VALUE"""),16.0)</f>
        <v>16</v>
      </c>
      <c r="E38" s="6" t="str">
        <f>IFERROR(__xludf.DUMMYFUNCTION("""COMPUTED_VALUE"""),"PT. SERAYU MITRA JAYA")</f>
        <v>PT. SERAYU MITRA JAYA</v>
      </c>
      <c r="F38" s="6">
        <f>IFERROR(__xludf.DUMMYFUNCTION("""COMPUTED_VALUE"""),2022.0)</f>
        <v>2022</v>
      </c>
      <c r="G38" s="6">
        <f>IFERROR(__xludf.DUMMYFUNCTION("""COMPUTED_VALUE"""),2022.0)</f>
        <v>2022</v>
      </c>
      <c r="H38" s="6">
        <f>IFERROR(__xludf.DUMMYFUNCTION("""COMPUTED_VALUE"""),4.0)</f>
        <v>4</v>
      </c>
      <c r="I38" s="6" t="str">
        <f>IFERROR(__xludf.DUMMYFUNCTION("""COMPUTED_VALUE"""),"CDE 250 6x2R WB4300MM E5 ABS M/T")</f>
        <v>CDE 250 6x2R WB4300MM E5 ABS M/T</v>
      </c>
      <c r="J38" s="6">
        <f>IFERROR(__xludf.DUMMYFUNCTION("""COMPUTED_VALUE"""),7698.0)</f>
        <v>7698</v>
      </c>
      <c r="K38" s="6" t="str">
        <f>IFERROR(__xludf.DUMMYFUNCTION("""COMPUTED_VALUE"""),"EURO 5")</f>
        <v>EURO 5</v>
      </c>
      <c r="L38" s="6" t="str">
        <f>IFERROR(__xludf.DUMMYFUNCTION("""COMPUTED_VALUE"""),"Standart")</f>
        <v>Standart</v>
      </c>
      <c r="M38" s="6" t="str">
        <f>IFERROR(__xludf.DUMMYFUNCTION("""COMPUTED_VALUE"""),"Geluran Adikarya")</f>
        <v>Geluran Adikarya</v>
      </c>
      <c r="N38" s="6">
        <f>IFERROR(__xludf.DUMMYFUNCTION("""COMPUTED_VALUE"""),2022.0)</f>
        <v>2022</v>
      </c>
      <c r="O38" s="6">
        <f>IFERROR(__xludf.DUMMYFUNCTION("""COMPUTED_VALUE"""),4.0)</f>
        <v>4</v>
      </c>
      <c r="P38" s="6" t="str">
        <f>IFERROR(__xludf.DUMMYFUNCTION("""COMPUTED_VALUE"""),"CS")</f>
        <v>CS</v>
      </c>
      <c r="Q38" s="6" t="str">
        <f>IFERROR(__xludf.DUMMYFUNCTION("""COMPUTED_VALUE"""),"UD TRUCKS")</f>
        <v>UD TRUCKS</v>
      </c>
      <c r="R38" s="6" t="str">
        <f>IFERROR(__xludf.DUMMYFUNCTION("""COMPUTED_VALUE"""),"GH8E569526C1P")</f>
        <v>GH8E569526C1P</v>
      </c>
      <c r="S38" s="6" t="str">
        <f>IFERROR(__xludf.DUMMYFUNCTION("""COMPUTED_VALUE"""),"MFFCDA30GNK818519")</f>
        <v>MFFCDA30GNK818519</v>
      </c>
      <c r="T38" s="31">
        <f>IFERROR(__xludf.DUMMYFUNCTION("""COMPUTED_VALUE"""),46705.0)</f>
        <v>46705</v>
      </c>
      <c r="U38" s="6" t="str">
        <f>IFERROR(__xludf.DUMMYFUNCTION("""COMPUTED_VALUE"""),"Berlaku")</f>
        <v>Berlaku</v>
      </c>
      <c r="V38" s="31">
        <f>IFERROR(__xludf.DUMMYFUNCTION("""COMPUTED_VALUE"""),46340.0)</f>
        <v>46340</v>
      </c>
      <c r="W38" s="6" t="str">
        <f>IFERROR(__xludf.DUMMYFUNCTION("""COMPUTED_VALUE"""),"Akan Habis")</f>
        <v>Akan Habis</v>
      </c>
      <c r="X38" s="31"/>
      <c r="Y38" s="6" t="str">
        <f>IFERROR(__xludf.DUMMYFUNCTION("""COMPUTED_VALUE"""),"Habis")</f>
        <v>Habis</v>
      </c>
      <c r="Z38" s="31">
        <f>IFERROR(__xludf.DUMMYFUNCTION("""COMPUTED_VALUE"""),46330.0)</f>
        <v>46330</v>
      </c>
      <c r="AA38" s="6" t="str">
        <f>IFERROR(__xludf.DUMMYFUNCTION("""COMPUTED_VALUE"""),"Berlaku")</f>
        <v>Berlaku</v>
      </c>
      <c r="AB38" s="31">
        <f>IFERROR(__xludf.DUMMYFUNCTION("""COMPUTED_VALUE"""),46648.0)</f>
        <v>46648</v>
      </c>
      <c r="AC38" s="6" t="str">
        <f>IFERROR(__xludf.DUMMYFUNCTION("""COMPUTED_VALUE"""),"Berlaku")</f>
        <v>Berlaku</v>
      </c>
      <c r="AD38" s="33">
        <f>IFERROR(__xludf.DUMMYFUNCTION("""COMPUTED_VALUE"""),46340.0)</f>
        <v>46340</v>
      </c>
      <c r="AE38" s="6" t="str">
        <f>IFERROR(__xludf.DUMMYFUNCTION("""COMPUTED_VALUE"""),"Berlaku")</f>
        <v>Berlaku</v>
      </c>
      <c r="AF38" s="6" t="str">
        <f>IFERROR(__xludf.DUMMYFUNCTION("""COMPUTED_VALUE"""),"TUGU")</f>
        <v>TUGU</v>
      </c>
      <c r="AG38" s="6" t="str">
        <f>IFERROR(__xludf.DUMMYFUNCTION("""COMPUTED_VALUE"""),"AKTIF ")</f>
        <v>AKTIF </v>
      </c>
      <c r="AH38" s="6"/>
      <c r="AI38" s="6" t="str">
        <f>IFERROR(__xludf.DUMMYFUNCTION("""COMPUTED_VALUE"""),"Menggantikan MT R9029DT (PERUBAHAN NO POL R1848EK) PT Gelora")</f>
        <v>Menggantikan MT R9029DT (PERUBAHAN NO POL R1848EK) PT Gelora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>
      <c r="A39" s="6">
        <f>IFERROR(__xludf.DUMMYFUNCTION("""COMPUTED_VALUE"""),53.0)</f>
        <v>53</v>
      </c>
      <c r="B39" s="6" t="str">
        <f>IFERROR(__xludf.DUMMYFUNCTION("""COMPUTED_VALUE"""),"R9675B")</f>
        <v>R9675B</v>
      </c>
      <c r="C39" s="6" t="str">
        <f>IFERROR(__xludf.DUMMYFUNCTION("""COMPUTED_VALUE"""),"8+8")</f>
        <v>8+8</v>
      </c>
      <c r="D39" s="6">
        <f>IFERROR(__xludf.DUMMYFUNCTION("""COMPUTED_VALUE"""),16.0)</f>
        <v>16</v>
      </c>
      <c r="E39" s="6" t="str">
        <f>IFERROR(__xludf.DUMMYFUNCTION("""COMPUTED_VALUE"""),"PT. SERAYU MITRA JAYA")</f>
        <v>PT. SERAYU MITRA JAYA</v>
      </c>
      <c r="F39" s="6">
        <f>IFERROR(__xludf.DUMMYFUNCTION("""COMPUTED_VALUE"""),2022.0)</f>
        <v>2022</v>
      </c>
      <c r="G39" s="6">
        <f>IFERROR(__xludf.DUMMYFUNCTION("""COMPUTED_VALUE"""),2022.0)</f>
        <v>2022</v>
      </c>
      <c r="H39" s="6">
        <f>IFERROR(__xludf.DUMMYFUNCTION("""COMPUTED_VALUE"""),4.0)</f>
        <v>4</v>
      </c>
      <c r="I39" s="6" t="str">
        <f>IFERROR(__xludf.DUMMYFUNCTION("""COMPUTED_VALUE"""),"CDE 250 6x2R WB4300MM E5 ABS M/T")</f>
        <v>CDE 250 6x2R WB4300MM E5 ABS M/T</v>
      </c>
      <c r="J39" s="6">
        <f>IFERROR(__xludf.DUMMYFUNCTION("""COMPUTED_VALUE"""),7698.0)</f>
        <v>7698</v>
      </c>
      <c r="K39" s="6" t="str">
        <f>IFERROR(__xludf.DUMMYFUNCTION("""COMPUTED_VALUE"""),"EURO 5")</f>
        <v>EURO 5</v>
      </c>
      <c r="L39" s="6" t="str">
        <f>IFERROR(__xludf.DUMMYFUNCTION("""COMPUTED_VALUE"""),"Standart")</f>
        <v>Standart</v>
      </c>
      <c r="M39" s="6" t="str">
        <f>IFERROR(__xludf.DUMMYFUNCTION("""COMPUTED_VALUE"""),"Geluran Adikarya")</f>
        <v>Geluran Adikarya</v>
      </c>
      <c r="N39" s="6">
        <f>IFERROR(__xludf.DUMMYFUNCTION("""COMPUTED_VALUE"""),2022.0)</f>
        <v>2022</v>
      </c>
      <c r="O39" s="6">
        <f>IFERROR(__xludf.DUMMYFUNCTION("""COMPUTED_VALUE"""),4.0)</f>
        <v>4</v>
      </c>
      <c r="P39" s="6" t="str">
        <f>IFERROR(__xludf.DUMMYFUNCTION("""COMPUTED_VALUE"""),"CS")</f>
        <v>CS</v>
      </c>
      <c r="Q39" s="6" t="str">
        <f>IFERROR(__xludf.DUMMYFUNCTION("""COMPUTED_VALUE"""),"UD TRUCKS")</f>
        <v>UD TRUCKS</v>
      </c>
      <c r="R39" s="6" t="str">
        <f>IFERROR(__xludf.DUMMYFUNCTION("""COMPUTED_VALUE"""),"GH8E569522C1P")</f>
        <v>GH8E569522C1P</v>
      </c>
      <c r="S39" s="6" t="str">
        <f>IFERROR(__xludf.DUMMYFUNCTION("""COMPUTED_VALUE"""),"MFFCDA30GNK818520")</f>
        <v>MFFCDA30GNK818520</v>
      </c>
      <c r="T39" s="31">
        <f>IFERROR(__xludf.DUMMYFUNCTION("""COMPUTED_VALUE"""),46706.0)</f>
        <v>46706</v>
      </c>
      <c r="U39" s="6" t="str">
        <f>IFERROR(__xludf.DUMMYFUNCTION("""COMPUTED_VALUE"""),"Berlaku")</f>
        <v>Berlaku</v>
      </c>
      <c r="V39" s="31">
        <f>IFERROR(__xludf.DUMMYFUNCTION("""COMPUTED_VALUE"""),46341.0)</f>
        <v>46341</v>
      </c>
      <c r="W39" s="6" t="str">
        <f>IFERROR(__xludf.DUMMYFUNCTION("""COMPUTED_VALUE"""),"Akan Habis")</f>
        <v>Akan Habis</v>
      </c>
      <c r="X39" s="31"/>
      <c r="Y39" s="6" t="str">
        <f>IFERROR(__xludf.DUMMYFUNCTION("""COMPUTED_VALUE"""),"Habis")</f>
        <v>Habis</v>
      </c>
      <c r="Z39" s="31">
        <f>IFERROR(__xludf.DUMMYFUNCTION("""COMPUTED_VALUE"""),46330.0)</f>
        <v>46330</v>
      </c>
      <c r="AA39" s="6" t="str">
        <f>IFERROR(__xludf.DUMMYFUNCTION("""COMPUTED_VALUE"""),"Berlaku")</f>
        <v>Berlaku</v>
      </c>
      <c r="AB39" s="31">
        <f>IFERROR(__xludf.DUMMYFUNCTION("""COMPUTED_VALUE"""),46339.0)</f>
        <v>46339</v>
      </c>
      <c r="AC39" s="6" t="str">
        <f>IFERROR(__xludf.DUMMYFUNCTION("""COMPUTED_VALUE"""),"Akan Habis")</f>
        <v>Akan Habis</v>
      </c>
      <c r="AD39" s="33">
        <f>IFERROR(__xludf.DUMMYFUNCTION("""COMPUTED_VALUE"""),46340.0)</f>
        <v>46340</v>
      </c>
      <c r="AE39" s="6" t="str">
        <f>IFERROR(__xludf.DUMMYFUNCTION("""COMPUTED_VALUE"""),"Berlaku")</f>
        <v>Berlaku</v>
      </c>
      <c r="AF39" s="6" t="str">
        <f>IFERROR(__xludf.DUMMYFUNCTION("""COMPUTED_VALUE"""),"TUGU")</f>
        <v>TUGU</v>
      </c>
      <c r="AG39" s="6" t="str">
        <f>IFERROR(__xludf.DUMMYFUNCTION("""COMPUTED_VALUE"""),"AKTIF ")</f>
        <v>AKTIF </v>
      </c>
      <c r="AH39" s="6"/>
      <c r="AI39" s="6" t="str">
        <f>IFERROR(__xludf.DUMMYFUNCTION("""COMPUTED_VALUE"""),"No pol lama R 1883 CK yang afkir dan diremajakan")</f>
        <v>No pol lama R 1883 CK yang afkir dan diremajakan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>
      <c r="A40" s="6">
        <f>IFERROR(__xludf.DUMMYFUNCTION("""COMPUTED_VALUE"""),54.0)</f>
        <v>54</v>
      </c>
      <c r="B40" s="6" t="str">
        <f>IFERROR(__xludf.DUMMYFUNCTION("""COMPUTED_VALUE"""),"R8114K")</f>
        <v>R8114K</v>
      </c>
      <c r="C40" s="6" t="str">
        <f>IFERROR(__xludf.DUMMYFUNCTION("""COMPUTED_VALUE"""),"8+8")</f>
        <v>8+8</v>
      </c>
      <c r="D40" s="6">
        <f>IFERROR(__xludf.DUMMYFUNCTION("""COMPUTED_VALUE"""),16.0)</f>
        <v>16</v>
      </c>
      <c r="E40" s="6" t="str">
        <f>IFERROR(__xludf.DUMMYFUNCTION("""COMPUTED_VALUE"""),"PT. SERAYU MITRA JAYA")</f>
        <v>PT. SERAYU MITRA JAYA</v>
      </c>
      <c r="F40" s="6">
        <f>IFERROR(__xludf.DUMMYFUNCTION("""COMPUTED_VALUE"""),2023.0)</f>
        <v>2023</v>
      </c>
      <c r="G40" s="6">
        <f>IFERROR(__xludf.DUMMYFUNCTION("""COMPUTED_VALUE"""),2024.0)</f>
        <v>2024</v>
      </c>
      <c r="H40" s="6">
        <f>IFERROR(__xludf.DUMMYFUNCTION("""COMPUTED_VALUE"""),3.0)</f>
        <v>3</v>
      </c>
      <c r="I40" s="6" t="str">
        <f>IFERROR(__xludf.DUMMYFUNCTION("""COMPUTED_VALUE"""),"FVM34U-NDYIN4 (TRONTON) 6X2 MT")</f>
        <v>FVM34U-NDYIN4 (TRONTON) 6X2 MT</v>
      </c>
      <c r="J40" s="6">
        <f>IFERROR(__xludf.DUMMYFUNCTION("""COMPUTED_VALUE"""),7790.0)</f>
        <v>7790</v>
      </c>
      <c r="K40" s="6" t="str">
        <f>IFERROR(__xludf.DUMMYFUNCTION("""COMPUTED_VALUE"""),"EURO 4")</f>
        <v>EURO 4</v>
      </c>
      <c r="L40" s="6" t="str">
        <f>IFERROR(__xludf.DUMMYFUNCTION("""COMPUTED_VALUE"""),"Standart")</f>
        <v>Standart</v>
      </c>
      <c r="M40" s="6" t="str">
        <f>IFERROR(__xludf.DUMMYFUNCTION("""COMPUTED_VALUE"""),"Geluran Adikarya")</f>
        <v>Geluran Adikarya</v>
      </c>
      <c r="N40" s="6">
        <f>IFERROR(__xludf.DUMMYFUNCTION("""COMPUTED_VALUE"""),2024.0)</f>
        <v>2024</v>
      </c>
      <c r="O40" s="6">
        <f>IFERROR(__xludf.DUMMYFUNCTION("""COMPUTED_VALUE"""),2.0)</f>
        <v>2</v>
      </c>
      <c r="P40" s="6" t="str">
        <f>IFERROR(__xludf.DUMMYFUNCTION("""COMPUTED_VALUE"""),"CS")</f>
        <v>CS</v>
      </c>
      <c r="Q40" s="6" t="str">
        <f>IFERROR(__xludf.DUMMYFUNCTION("""COMPUTED_VALUE"""),"ISUZU")</f>
        <v>ISUZU</v>
      </c>
      <c r="R40" s="6" t="str">
        <f>IFERROR(__xludf.DUMMYFUNCTION("""COMPUTED_VALUE"""),"6HK1F105741")</f>
        <v>6HK1F105741</v>
      </c>
      <c r="S40" s="6" t="str">
        <f>IFERROR(__xludf.DUMMYFUNCTION("""COMPUTED_VALUE"""),"MHCFVM34NPJ000154")</f>
        <v>MHCFVM34NPJ000154</v>
      </c>
      <c r="T40" s="31">
        <f>IFERROR(__xludf.DUMMYFUNCTION("""COMPUTED_VALUE"""),47358.0)</f>
        <v>47358</v>
      </c>
      <c r="U40" s="6" t="str">
        <f>IFERROR(__xludf.DUMMYFUNCTION("""COMPUTED_VALUE"""),"Berlaku")</f>
        <v>Berlaku</v>
      </c>
      <c r="V40" s="31">
        <f>IFERROR(__xludf.DUMMYFUNCTION("""COMPUTED_VALUE"""),46627.0)</f>
        <v>46627</v>
      </c>
      <c r="W40" s="6" t="str">
        <f>IFERROR(__xludf.DUMMYFUNCTION("""COMPUTED_VALUE"""),"Berlaku")</f>
        <v>Berlaku</v>
      </c>
      <c r="X40" s="31"/>
      <c r="Y40" s="6" t="str">
        <f>IFERROR(__xludf.DUMMYFUNCTION("""COMPUTED_VALUE"""),"Habis")</f>
        <v>Habis</v>
      </c>
      <c r="Z40" s="31">
        <f>IFERROR(__xludf.DUMMYFUNCTION("""COMPUTED_VALUE"""),46301.0)</f>
        <v>46301</v>
      </c>
      <c r="AA40" s="6" t="str">
        <f>IFERROR(__xludf.DUMMYFUNCTION("""COMPUTED_VALUE"""),"Habis dalam 7-1 Hari")</f>
        <v>Habis dalam 7-1 Hari</v>
      </c>
      <c r="AB40" s="31">
        <f>IFERROR(__xludf.DUMMYFUNCTION("""COMPUTED_VALUE"""),46318.0)</f>
        <v>46318</v>
      </c>
      <c r="AC40" s="6" t="str">
        <f>IFERROR(__xludf.DUMMYFUNCTION("""COMPUTED_VALUE"""),"Akan Habis")</f>
        <v>Akan Habis</v>
      </c>
      <c r="AD40" s="33">
        <f>IFERROR(__xludf.DUMMYFUNCTION("""COMPUTED_VALUE"""),46293.0)</f>
        <v>46293</v>
      </c>
      <c r="AE40" s="6" t="str">
        <f>IFERROR(__xludf.DUMMYFUNCTION("""COMPUTED_VALUE"""),"Habis")</f>
        <v>Habis</v>
      </c>
      <c r="AF40" s="6" t="str">
        <f>IFERROR(__xludf.DUMMYFUNCTION("""COMPUTED_VALUE"""),"TUGU")</f>
        <v>TUGU</v>
      </c>
      <c r="AG40" s="6" t="str">
        <f>IFERROR(__xludf.DUMMYFUNCTION("""COMPUTED_VALUE"""),"AKTIF ")</f>
        <v>AKTIF </v>
      </c>
      <c r="AH40" s="6"/>
      <c r="AI40" s="6" t="str">
        <f>IFERROR(__xludf.DUMMYFUNCTION("""COMPUTED_VALUE"""),"Menggantikan MT R 1870 AT ex PT Gelora")</f>
        <v>Menggantikan MT R 1870 AT ex PT Gelora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hidden="1">
      <c r="A41" s="6">
        <f>IFERROR(__xludf.DUMMYFUNCTION("""COMPUTED_VALUE"""),55.0)</f>
        <v>55</v>
      </c>
      <c r="B41" s="6" t="str">
        <f>IFERROR(__xludf.DUMMYFUNCTION("""COMPUTED_VALUE"""),"R9564B")</f>
        <v>R9564B</v>
      </c>
      <c r="C41" s="6" t="str">
        <f>IFERROR(__xludf.DUMMYFUNCTION("""COMPUTED_VALUE"""),"8+8+8")</f>
        <v>8+8+8</v>
      </c>
      <c r="D41" s="6">
        <f>IFERROR(__xludf.DUMMYFUNCTION("""COMPUTED_VALUE"""),24.0)</f>
        <v>24</v>
      </c>
      <c r="E41" s="6" t="str">
        <f>IFERROR(__xludf.DUMMYFUNCTION("""COMPUTED_VALUE"""),"PT. SERAYU MITRA JAYA")</f>
        <v>PT. SERAYU MITRA JAYA</v>
      </c>
      <c r="F41" s="6">
        <f>IFERROR(__xludf.DUMMYFUNCTION("""COMPUTED_VALUE"""),2022.0)</f>
        <v>2022</v>
      </c>
      <c r="G41" s="6">
        <f>IFERROR(__xludf.DUMMYFUNCTION("""COMPUTED_VALUE"""),2022.0)</f>
        <v>2022</v>
      </c>
      <c r="H41" s="6">
        <f>IFERROR(__xludf.DUMMYFUNCTION("""COMPUTED_VALUE"""),4.0)</f>
        <v>4</v>
      </c>
      <c r="I41" s="6" t="str">
        <f>IFERROR(__xludf.DUMMYFUNCTION("""COMPUTED_VALUE"""),"GKE 280 4X2T WB35OOMM E5 ABS M/T 9564-B")</f>
        <v>GKE 280 4X2T WB35OOMM E5 ABS M/T 9564-B</v>
      </c>
      <c r="J41" s="6">
        <f>IFERROR(__xludf.DUMMYFUNCTION("""COMPUTED_VALUE"""),7698.0)</f>
        <v>7698</v>
      </c>
      <c r="K41" s="6" t="str">
        <f>IFERROR(__xludf.DUMMYFUNCTION("""COMPUTED_VALUE"""),"EURO 5")</f>
        <v>EURO 5</v>
      </c>
      <c r="L41" s="6" t="str">
        <f>IFERROR(__xludf.DUMMYFUNCTION("""COMPUTED_VALUE"""),"Standart")</f>
        <v>Standart</v>
      </c>
      <c r="M41" s="6" t="str">
        <f>IFERROR(__xludf.DUMMYFUNCTION("""COMPUTED_VALUE"""),"Aweco")</f>
        <v>Aweco</v>
      </c>
      <c r="N41" s="6">
        <f>IFERROR(__xludf.DUMMYFUNCTION("""COMPUTED_VALUE"""),2012.0)</f>
        <v>2012</v>
      </c>
      <c r="O41" s="6">
        <f>IFERROR(__xludf.DUMMYFUNCTION("""COMPUTED_VALUE"""),14.0)</f>
        <v>14</v>
      </c>
      <c r="P41" s="6" t="str">
        <f>IFERROR(__xludf.DUMMYFUNCTION("""COMPUTED_VALUE"""),"AA")</f>
        <v>AA</v>
      </c>
      <c r="Q41" s="6" t="str">
        <f>IFERROR(__xludf.DUMMYFUNCTION("""COMPUTED_VALUE"""),"UD TRUCKS")</f>
        <v>UD TRUCKS</v>
      </c>
      <c r="R41" s="6" t="str">
        <f>IFERROR(__xludf.DUMMYFUNCTION("""COMPUTED_VALUE"""),"GH8E56657OC1P")</f>
        <v>GH8E56657OC1P</v>
      </c>
      <c r="S41" s="6" t="str">
        <f>IFERROR(__xludf.DUMMYFUNCTION("""COMPUTED_VALUE"""),"MFFGKZ5OCNK81820")</f>
        <v>MFFGKZ5OCNK81820</v>
      </c>
      <c r="T41" s="31">
        <f>IFERROR(__xludf.DUMMYFUNCTION("""COMPUTED_VALUE"""),46659.0)</f>
        <v>46659</v>
      </c>
      <c r="U41" s="6" t="str">
        <f>IFERROR(__xludf.DUMMYFUNCTION("""COMPUTED_VALUE"""),"Berlaku")</f>
        <v>Berlaku</v>
      </c>
      <c r="V41" s="31">
        <f>IFERROR(__xludf.DUMMYFUNCTION("""COMPUTED_VALUE"""),46659.0)</f>
        <v>46659</v>
      </c>
      <c r="W41" s="6" t="str">
        <f>IFERROR(__xludf.DUMMYFUNCTION("""COMPUTED_VALUE"""),"Berlaku")</f>
        <v>Berlaku</v>
      </c>
      <c r="X41" s="31">
        <f>IFERROR(__xludf.DUMMYFUNCTION("""COMPUTED_VALUE"""),46330.0)</f>
        <v>46330</v>
      </c>
      <c r="Y41" s="6" t="str">
        <f>IFERROR(__xludf.DUMMYFUNCTION("""COMPUTED_VALUE"""),"Akan Habis")</f>
        <v>Akan Habis</v>
      </c>
      <c r="Z41" s="31">
        <f>IFERROR(__xludf.DUMMYFUNCTION("""COMPUTED_VALUE"""),46330.0)</f>
        <v>46330</v>
      </c>
      <c r="AA41" s="6" t="str">
        <f>IFERROR(__xludf.DUMMYFUNCTION("""COMPUTED_VALUE"""),"Berlaku")</f>
        <v>Berlaku</v>
      </c>
      <c r="AB41" s="31">
        <f>IFERROR(__xludf.DUMMYFUNCTION("""COMPUTED_VALUE"""),46694.0)</f>
        <v>46694</v>
      </c>
      <c r="AC41" s="6" t="str">
        <f>IFERROR(__xludf.DUMMYFUNCTION("""COMPUTED_VALUE"""),"Berlaku")</f>
        <v>Berlaku</v>
      </c>
      <c r="AD41" s="33">
        <f>IFERROR(__xludf.DUMMYFUNCTION("""COMPUTED_VALUE"""),46332.0)</f>
        <v>46332</v>
      </c>
      <c r="AE41" s="6" t="str">
        <f>IFERROR(__xludf.DUMMYFUNCTION("""COMPUTED_VALUE"""),"Berlaku")</f>
        <v>Berlaku</v>
      </c>
      <c r="AF41" s="6" t="str">
        <f>IFERROR(__xludf.DUMMYFUNCTION("""COMPUTED_VALUE"""),"TUGU")</f>
        <v>TUGU</v>
      </c>
      <c r="AG41" s="6" t="str">
        <f>IFERROR(__xludf.DUMMYFUNCTION("""COMPUTED_VALUE"""),"AKTIF ")</f>
        <v>AKTIF </v>
      </c>
      <c r="AH41" s="6"/>
      <c r="AI41" s="6" t="str">
        <f>IFERROR(__xludf.DUMMYFUNCTION("""COMPUTED_VALUE"""),"Menggantikan MT AA 8713 OF PT Tanah Putih")</f>
        <v>Menggantikan MT AA 8713 OF PT Tanah Putih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hidden="1">
      <c r="A42" s="6">
        <f>IFERROR(__xludf.DUMMYFUNCTION("""COMPUTED_VALUE"""),56.0)</f>
        <v>56</v>
      </c>
      <c r="B42" s="6" t="str">
        <f>IFERROR(__xludf.DUMMYFUNCTION("""COMPUTED_VALUE"""),"AA8860OF")</f>
        <v>AA8860OF</v>
      </c>
      <c r="C42" s="6" t="str">
        <f>IFERROR(__xludf.DUMMYFUNCTION("""COMPUTED_VALUE"""),"8+8")</f>
        <v>8+8</v>
      </c>
      <c r="D42" s="6">
        <f>IFERROR(__xludf.DUMMYFUNCTION("""COMPUTED_VALUE"""),16.0)</f>
        <v>16</v>
      </c>
      <c r="E42" s="6" t="str">
        <f>IFERROR(__xludf.DUMMYFUNCTION("""COMPUTED_VALUE"""),"PT. TANAH PUTIH")</f>
        <v>PT. TANAH PUTIH</v>
      </c>
      <c r="F42" s="6">
        <f>IFERROR(__xludf.DUMMYFUNCTION("""COMPUTED_VALUE"""),2023.0)</f>
        <v>2023</v>
      </c>
      <c r="G42" s="6">
        <f>IFERROR(__xludf.DUMMYFUNCTION("""COMPUTED_VALUE"""),2023.0)</f>
        <v>2023</v>
      </c>
      <c r="H42" s="6">
        <f>IFERROR(__xludf.DUMMYFUNCTION("""COMPUTED_VALUE"""),3.0)</f>
        <v>3</v>
      </c>
      <c r="I42" s="6" t="str">
        <f>IFERROR(__xludf.DUMMYFUNCTION("""COMPUTED_VALUE"""),"FVM34U-NDYIN4 (TRONTON) 6X2 MT")</f>
        <v>FVM34U-NDYIN4 (TRONTON) 6X2 MT</v>
      </c>
      <c r="J42" s="6">
        <f>IFERROR(__xludf.DUMMYFUNCTION("""COMPUTED_VALUE"""),7790.0)</f>
        <v>7790</v>
      </c>
      <c r="K42" s="6" t="str">
        <f>IFERROR(__xludf.DUMMYFUNCTION("""COMPUTED_VALUE"""),"EURO 4")</f>
        <v>EURO 4</v>
      </c>
      <c r="L42" s="6" t="str">
        <f>IFERROR(__xludf.DUMMYFUNCTION("""COMPUTED_VALUE"""),"Standart")</f>
        <v>Standart</v>
      </c>
      <c r="M42" s="6" t="str">
        <f>IFERROR(__xludf.DUMMYFUNCTION("""COMPUTED_VALUE"""),"Aweco")</f>
        <v>Aweco</v>
      </c>
      <c r="N42" s="6">
        <f>IFERROR(__xludf.DUMMYFUNCTION("""COMPUTED_VALUE"""),2023.0)</f>
        <v>2023</v>
      </c>
      <c r="O42" s="6">
        <f>IFERROR(__xludf.DUMMYFUNCTION("""COMPUTED_VALUE"""),3.0)</f>
        <v>3</v>
      </c>
      <c r="P42" s="6" t="str">
        <f>IFERROR(__xludf.DUMMYFUNCTION("""COMPUTED_VALUE"""),"CS")</f>
        <v>CS</v>
      </c>
      <c r="Q42" s="6" t="str">
        <f>IFERROR(__xludf.DUMMYFUNCTION("""COMPUTED_VALUE"""),"ISUZU")</f>
        <v>ISUZU</v>
      </c>
      <c r="R42" s="6" t="str">
        <f>IFERROR(__xludf.DUMMYFUNCTION("""COMPUTED_VALUE"""),"6HK1F102289")</f>
        <v>6HK1F102289</v>
      </c>
      <c r="S42" s="6" t="str">
        <f>IFERROR(__xludf.DUMMYFUNCTION("""COMPUTED_VALUE"""),"MHCFVM34NNJ000103")</f>
        <v>MHCFVM34NNJ000103</v>
      </c>
      <c r="T42" s="31">
        <f>IFERROR(__xludf.DUMMYFUNCTION("""COMPUTED_VALUE"""),46924.0)</f>
        <v>46924</v>
      </c>
      <c r="U42" s="6" t="str">
        <f>IFERROR(__xludf.DUMMYFUNCTION("""COMPUTED_VALUE"""),"Berlaku")</f>
        <v>Berlaku</v>
      </c>
      <c r="V42" s="31">
        <f>IFERROR(__xludf.DUMMYFUNCTION("""COMPUTED_VALUE"""),46558.0)</f>
        <v>46558</v>
      </c>
      <c r="W42" s="6" t="str">
        <f>IFERROR(__xludf.DUMMYFUNCTION("""COMPUTED_VALUE"""),"Berlaku")</f>
        <v>Berlaku</v>
      </c>
      <c r="X42" s="31"/>
      <c r="Y42" s="6" t="str">
        <f>IFERROR(__xludf.DUMMYFUNCTION("""COMPUTED_VALUE"""),"Habis")</f>
        <v>Habis</v>
      </c>
      <c r="Z42" s="31">
        <f>IFERROR(__xludf.DUMMYFUNCTION("""COMPUTED_VALUE"""),46346.0)</f>
        <v>46346</v>
      </c>
      <c r="AA42" s="6" t="str">
        <f>IFERROR(__xludf.DUMMYFUNCTION("""COMPUTED_VALUE"""),"Berlaku")</f>
        <v>Berlaku</v>
      </c>
      <c r="AB42" s="31">
        <f>IFERROR(__xludf.DUMMYFUNCTION("""COMPUTED_VALUE"""),46563.0)</f>
        <v>46563</v>
      </c>
      <c r="AC42" s="6" t="str">
        <f>IFERROR(__xludf.DUMMYFUNCTION("""COMPUTED_VALUE"""),"Berlaku")</f>
        <v>Berlaku</v>
      </c>
      <c r="AD42" s="33">
        <f>IFERROR(__xludf.DUMMYFUNCTION("""COMPUTED_VALUE"""),46340.0)</f>
        <v>46340</v>
      </c>
      <c r="AE42" s="6" t="str">
        <f>IFERROR(__xludf.DUMMYFUNCTION("""COMPUTED_VALUE"""),"Berlaku")</f>
        <v>Berlaku</v>
      </c>
      <c r="AF42" s="6" t="str">
        <f>IFERROR(__xludf.DUMMYFUNCTION("""COMPUTED_VALUE"""),"TUGU")</f>
        <v>TUGU</v>
      </c>
      <c r="AG42" s="6" t="str">
        <f>IFERROR(__xludf.DUMMYFUNCTION("""COMPUTED_VALUE"""),"AKTIF ")</f>
        <v>AKTIF </v>
      </c>
      <c r="AH42" s="6"/>
      <c r="AI42" s="6" t="str">
        <f>IFERROR(__xludf.DUMMYFUNCTION("""COMPUTED_VALUE"""),"No pol lama AA1814FP yang afkir dan diremajakan PT Tanah Putih")</f>
        <v>No pol lama AA1814FP yang afkir dan diremajakan PT Tanah Putih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hidden="1">
      <c r="A43" s="6">
        <f>IFERROR(__xludf.DUMMYFUNCTION("""COMPUTED_VALUE"""),58.0)</f>
        <v>58</v>
      </c>
      <c r="B43" s="6" t="str">
        <f>IFERROR(__xludf.DUMMYFUNCTION("""COMPUTED_VALUE"""),"H9390OF")</f>
        <v>H9390OF</v>
      </c>
      <c r="C43" s="6" t="str">
        <f>IFERROR(__xludf.DUMMYFUNCTION("""COMPUTED_VALUE"""),"8+8")</f>
        <v>8+8</v>
      </c>
      <c r="D43" s="6">
        <f>IFERROR(__xludf.DUMMYFUNCTION("""COMPUTED_VALUE"""),16.0)</f>
        <v>16</v>
      </c>
      <c r="E43" s="6" t="str">
        <f>IFERROR(__xludf.DUMMYFUNCTION("""COMPUTED_VALUE"""),"PT. ADHI BUANA PERSADA")</f>
        <v>PT. ADHI BUANA PERSADA</v>
      </c>
      <c r="F43" s="6">
        <f>IFERROR(__xludf.DUMMYFUNCTION("""COMPUTED_VALUE"""),2023.0)</f>
        <v>2023</v>
      </c>
      <c r="G43" s="6">
        <f>IFERROR(__xludf.DUMMYFUNCTION("""COMPUTED_VALUE"""),2023.0)</f>
        <v>2023</v>
      </c>
      <c r="H43" s="6">
        <f>IFERROR(__xludf.DUMMYFUNCTION("""COMPUTED_VALUE"""),3.0)</f>
        <v>3</v>
      </c>
      <c r="I43" s="6" t="str">
        <f>IFERROR(__xludf.DUMMYFUNCTION("""COMPUTED_VALUE"""),"FL8JN2A-PGJ (6X2) M/T")</f>
        <v>FL8JN2A-PGJ (6X2) M/T</v>
      </c>
      <c r="J43" s="6">
        <f>IFERROR(__xludf.DUMMYFUNCTION("""COMPUTED_VALUE"""),7684.0)</f>
        <v>7684</v>
      </c>
      <c r="K43" s="6" t="str">
        <f>IFERROR(__xludf.DUMMYFUNCTION("""COMPUTED_VALUE"""),"EURO 4")</f>
        <v>EURO 4</v>
      </c>
      <c r="L43" s="6" t="str">
        <f>IFERROR(__xludf.DUMMYFUNCTION("""COMPUTED_VALUE"""),"Standart")</f>
        <v>Standart</v>
      </c>
      <c r="M43" s="6" t="str">
        <f>IFERROR(__xludf.DUMMYFUNCTION("""COMPUTED_VALUE"""),"Aweco")</f>
        <v>Aweco</v>
      </c>
      <c r="N43" s="6">
        <f>IFERROR(__xludf.DUMMYFUNCTION("""COMPUTED_VALUE"""),2023.0)</f>
        <v>2023</v>
      </c>
      <c r="O43" s="6">
        <f>IFERROR(__xludf.DUMMYFUNCTION("""COMPUTED_VALUE"""),3.0)</f>
        <v>3</v>
      </c>
      <c r="P43" s="6" t="str">
        <f>IFERROR(__xludf.DUMMYFUNCTION("""COMPUTED_VALUE"""),"CS")</f>
        <v>CS</v>
      </c>
      <c r="Q43" s="6" t="str">
        <f>IFERROR(__xludf.DUMMYFUNCTION("""COMPUTED_VALUE"""),"HINO")</f>
        <v>HINO</v>
      </c>
      <c r="R43" s="6" t="str">
        <f>IFERROR(__xludf.DUMMYFUNCTION("""COMPUTED_VALUE"""),"J08EWEJ16890")</f>
        <v>J08EWEJ16890</v>
      </c>
      <c r="S43" s="6" t="str">
        <f>IFERROR(__xludf.DUMMYFUNCTION("""COMPUTED_VALUE"""),"MJEFL8JN2PJP10613")</f>
        <v>MJEFL8JN2PJP10613</v>
      </c>
      <c r="T43" s="31">
        <f>IFERROR(__xludf.DUMMYFUNCTION("""COMPUTED_VALUE"""),47071.0)</f>
        <v>47071</v>
      </c>
      <c r="U43" s="6" t="str">
        <f>IFERROR(__xludf.DUMMYFUNCTION("""COMPUTED_VALUE"""),"Berlaku")</f>
        <v>Berlaku</v>
      </c>
      <c r="V43" s="31">
        <f>IFERROR(__xludf.DUMMYFUNCTION("""COMPUTED_VALUE"""),46340.0)</f>
        <v>46340</v>
      </c>
      <c r="W43" s="6" t="str">
        <f>IFERROR(__xludf.DUMMYFUNCTION("""COMPUTED_VALUE"""),"Akan Habis")</f>
        <v>Akan Habis</v>
      </c>
      <c r="X43" s="31"/>
      <c r="Y43" s="6" t="str">
        <f>IFERROR(__xludf.DUMMYFUNCTION("""COMPUTED_VALUE"""),"Habis")</f>
        <v>Habis</v>
      </c>
      <c r="Z43" s="31">
        <f>IFERROR(__xludf.DUMMYFUNCTION("""COMPUTED_VALUE"""),46333.0)</f>
        <v>46333</v>
      </c>
      <c r="AA43" s="6" t="str">
        <f>IFERROR(__xludf.DUMMYFUNCTION("""COMPUTED_VALUE"""),"Berlaku")</f>
        <v>Berlaku</v>
      </c>
      <c r="AB43" s="31">
        <f>IFERROR(__xludf.DUMMYFUNCTION("""COMPUTED_VALUE"""),46711.0)</f>
        <v>46711</v>
      </c>
      <c r="AC43" s="6" t="str">
        <f>IFERROR(__xludf.DUMMYFUNCTION("""COMPUTED_VALUE"""),"Berlaku")</f>
        <v>Berlaku</v>
      </c>
      <c r="AD43" s="33">
        <f>IFERROR(__xludf.DUMMYFUNCTION("""COMPUTED_VALUE"""),46340.0)</f>
        <v>46340</v>
      </c>
      <c r="AE43" s="6" t="str">
        <f>IFERROR(__xludf.DUMMYFUNCTION("""COMPUTED_VALUE"""),"Berlaku")</f>
        <v>Berlaku</v>
      </c>
      <c r="AF43" s="6" t="str">
        <f>IFERROR(__xludf.DUMMYFUNCTION("""COMPUTED_VALUE"""),"TUGU")</f>
        <v>TUGU</v>
      </c>
      <c r="AG43" s="6" t="str">
        <f>IFERROR(__xludf.DUMMYFUNCTION("""COMPUTED_VALUE"""),"AKTIF ")</f>
        <v>AKTIF </v>
      </c>
      <c r="AH43" s="6"/>
      <c r="AI43" s="6" t="str">
        <f>IFERROR(__xludf.DUMMYFUNCTION("""COMPUTED_VALUE"""),"Menggantikan MT AA1804AP milik PT Tanah Putih")</f>
        <v>Menggantikan MT AA1804AP milik PT Tanah Putih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hidden="1">
      <c r="A44" s="6">
        <f>IFERROR(__xludf.DUMMYFUNCTION("""COMPUTED_VALUE"""),59.0)</f>
        <v>59</v>
      </c>
      <c r="B44" s="6" t="str">
        <f>IFERROR(__xludf.DUMMYFUNCTION("""COMPUTED_VALUE"""),"H9391OF")</f>
        <v>H9391OF</v>
      </c>
      <c r="C44" s="6" t="str">
        <f>IFERROR(__xludf.DUMMYFUNCTION("""COMPUTED_VALUE"""),"8+8")</f>
        <v>8+8</v>
      </c>
      <c r="D44" s="6">
        <f>IFERROR(__xludf.DUMMYFUNCTION("""COMPUTED_VALUE"""),16.0)</f>
        <v>16</v>
      </c>
      <c r="E44" s="6" t="str">
        <f>IFERROR(__xludf.DUMMYFUNCTION("""COMPUTED_VALUE"""),"PT. ADHI BUANA PERSADA")</f>
        <v>PT. ADHI BUANA PERSADA</v>
      </c>
      <c r="F44" s="6">
        <f>IFERROR(__xludf.DUMMYFUNCTION("""COMPUTED_VALUE"""),2023.0)</f>
        <v>2023</v>
      </c>
      <c r="G44" s="6">
        <f>IFERROR(__xludf.DUMMYFUNCTION("""COMPUTED_VALUE"""),2023.0)</f>
        <v>2023</v>
      </c>
      <c r="H44" s="6">
        <f>IFERROR(__xludf.DUMMYFUNCTION("""COMPUTED_VALUE"""),3.0)</f>
        <v>3</v>
      </c>
      <c r="I44" s="6" t="str">
        <f>IFERROR(__xludf.DUMMYFUNCTION("""COMPUTED_VALUE"""),"FL8JN2A-PGJ (6X2) M/T")</f>
        <v>FL8JN2A-PGJ (6X2) M/T</v>
      </c>
      <c r="J44" s="6">
        <f>IFERROR(__xludf.DUMMYFUNCTION("""COMPUTED_VALUE"""),7684.0)</f>
        <v>7684</v>
      </c>
      <c r="K44" s="6" t="str">
        <f>IFERROR(__xludf.DUMMYFUNCTION("""COMPUTED_VALUE"""),"EURO 4")</f>
        <v>EURO 4</v>
      </c>
      <c r="L44" s="6" t="str">
        <f>IFERROR(__xludf.DUMMYFUNCTION("""COMPUTED_VALUE"""),"Standart")</f>
        <v>Standart</v>
      </c>
      <c r="M44" s="6" t="str">
        <f>IFERROR(__xludf.DUMMYFUNCTION("""COMPUTED_VALUE"""),"Aweco")</f>
        <v>Aweco</v>
      </c>
      <c r="N44" s="6">
        <f>IFERROR(__xludf.DUMMYFUNCTION("""COMPUTED_VALUE"""),2023.0)</f>
        <v>2023</v>
      </c>
      <c r="O44" s="6">
        <f>IFERROR(__xludf.DUMMYFUNCTION("""COMPUTED_VALUE"""),3.0)</f>
        <v>3</v>
      </c>
      <c r="P44" s="6" t="str">
        <f>IFERROR(__xludf.DUMMYFUNCTION("""COMPUTED_VALUE"""),"CS")</f>
        <v>CS</v>
      </c>
      <c r="Q44" s="6" t="str">
        <f>IFERROR(__xludf.DUMMYFUNCTION("""COMPUTED_VALUE"""),"HINO")</f>
        <v>HINO</v>
      </c>
      <c r="R44" s="6" t="str">
        <f>IFERROR(__xludf.DUMMYFUNCTION("""COMPUTED_VALUE"""),"J08EWEJ16893")</f>
        <v>J08EWEJ16893</v>
      </c>
      <c r="S44" s="6" t="str">
        <f>IFERROR(__xludf.DUMMYFUNCTION("""COMPUTED_VALUE"""),"MJEFL8JN2PJP10614")</f>
        <v>MJEFL8JN2PJP10614</v>
      </c>
      <c r="T44" s="31">
        <f>IFERROR(__xludf.DUMMYFUNCTION("""COMPUTED_VALUE"""),47071.0)</f>
        <v>47071</v>
      </c>
      <c r="U44" s="6" t="str">
        <f>IFERROR(__xludf.DUMMYFUNCTION("""COMPUTED_VALUE"""),"Berlaku")</f>
        <v>Berlaku</v>
      </c>
      <c r="V44" s="31">
        <f>IFERROR(__xludf.DUMMYFUNCTION("""COMPUTED_VALUE"""),46340.0)</f>
        <v>46340</v>
      </c>
      <c r="W44" s="6" t="str">
        <f>IFERROR(__xludf.DUMMYFUNCTION("""COMPUTED_VALUE"""),"Akan Habis")</f>
        <v>Akan Habis</v>
      </c>
      <c r="X44" s="31"/>
      <c r="Y44" s="6" t="str">
        <f>IFERROR(__xludf.DUMMYFUNCTION("""COMPUTED_VALUE"""),"Habis")</f>
        <v>Habis</v>
      </c>
      <c r="Z44" s="31">
        <f>IFERROR(__xludf.DUMMYFUNCTION("""COMPUTED_VALUE"""),46333.0)</f>
        <v>46333</v>
      </c>
      <c r="AA44" s="6" t="str">
        <f>IFERROR(__xludf.DUMMYFUNCTION("""COMPUTED_VALUE"""),"Berlaku")</f>
        <v>Berlaku</v>
      </c>
      <c r="AB44" s="31">
        <f>IFERROR(__xludf.DUMMYFUNCTION("""COMPUTED_VALUE"""),46526.0)</f>
        <v>46526</v>
      </c>
      <c r="AC44" s="6" t="str">
        <f>IFERROR(__xludf.DUMMYFUNCTION("""COMPUTED_VALUE"""),"Berlaku")</f>
        <v>Berlaku</v>
      </c>
      <c r="AD44" s="33">
        <f>IFERROR(__xludf.DUMMYFUNCTION("""COMPUTED_VALUE"""),46340.0)</f>
        <v>46340</v>
      </c>
      <c r="AE44" s="6" t="str">
        <f>IFERROR(__xludf.DUMMYFUNCTION("""COMPUTED_VALUE"""),"Berlaku")</f>
        <v>Berlaku</v>
      </c>
      <c r="AF44" s="6" t="str">
        <f>IFERROR(__xludf.DUMMYFUNCTION("""COMPUTED_VALUE"""),"TUGU")</f>
        <v>TUGU</v>
      </c>
      <c r="AG44" s="6" t="str">
        <f>IFERROR(__xludf.DUMMYFUNCTION("""COMPUTED_VALUE"""),"AKTIF ")</f>
        <v>AKTIF </v>
      </c>
      <c r="AH44" s="6"/>
      <c r="AI44" s="6" t="str">
        <f>IFERROR(__xludf.DUMMYFUNCTION("""COMPUTED_VALUE"""),"Menggantikan MT AA1940DF milik PT Tanah Putih")</f>
        <v>Menggantikan MT AA1940DF milik PT Tanah Putih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hidden="1">
      <c r="A45" s="6">
        <f>IFERROR(__xludf.DUMMYFUNCTION("""COMPUTED_VALUE"""),60.0)</f>
        <v>60</v>
      </c>
      <c r="B45" s="6" t="str">
        <f>IFERROR(__xludf.DUMMYFUNCTION("""COMPUTED_VALUE"""),"H9392OF")</f>
        <v>H9392OF</v>
      </c>
      <c r="C45" s="6" t="str">
        <f>IFERROR(__xludf.DUMMYFUNCTION("""COMPUTED_VALUE"""),"8+8")</f>
        <v>8+8</v>
      </c>
      <c r="D45" s="6">
        <f>IFERROR(__xludf.DUMMYFUNCTION("""COMPUTED_VALUE"""),16.0)</f>
        <v>16</v>
      </c>
      <c r="E45" s="6" t="str">
        <f>IFERROR(__xludf.DUMMYFUNCTION("""COMPUTED_VALUE"""),"PT. ADHI BUANA PERSADA")</f>
        <v>PT. ADHI BUANA PERSADA</v>
      </c>
      <c r="F45" s="6">
        <f>IFERROR(__xludf.DUMMYFUNCTION("""COMPUTED_VALUE"""),2023.0)</f>
        <v>2023</v>
      </c>
      <c r="G45" s="6">
        <f>IFERROR(__xludf.DUMMYFUNCTION("""COMPUTED_VALUE"""),2023.0)</f>
        <v>2023</v>
      </c>
      <c r="H45" s="6">
        <f>IFERROR(__xludf.DUMMYFUNCTION("""COMPUTED_VALUE"""),3.0)</f>
        <v>3</v>
      </c>
      <c r="I45" s="6" t="str">
        <f>IFERROR(__xludf.DUMMYFUNCTION("""COMPUTED_VALUE"""),"FL8JN2A-PGJ (6X2) M/T")</f>
        <v>FL8JN2A-PGJ (6X2) M/T</v>
      </c>
      <c r="J45" s="6">
        <f>IFERROR(__xludf.DUMMYFUNCTION("""COMPUTED_VALUE"""),7684.0)</f>
        <v>7684</v>
      </c>
      <c r="K45" s="6" t="str">
        <f>IFERROR(__xludf.DUMMYFUNCTION("""COMPUTED_VALUE"""),"EURO 4")</f>
        <v>EURO 4</v>
      </c>
      <c r="L45" s="6" t="str">
        <f>IFERROR(__xludf.DUMMYFUNCTION("""COMPUTED_VALUE"""),"Standart")</f>
        <v>Standart</v>
      </c>
      <c r="M45" s="6" t="str">
        <f>IFERROR(__xludf.DUMMYFUNCTION("""COMPUTED_VALUE"""),"Aweco")</f>
        <v>Aweco</v>
      </c>
      <c r="N45" s="6">
        <f>IFERROR(__xludf.DUMMYFUNCTION("""COMPUTED_VALUE"""),2023.0)</f>
        <v>2023</v>
      </c>
      <c r="O45" s="6">
        <f>IFERROR(__xludf.DUMMYFUNCTION("""COMPUTED_VALUE"""),3.0)</f>
        <v>3</v>
      </c>
      <c r="P45" s="6" t="str">
        <f>IFERROR(__xludf.DUMMYFUNCTION("""COMPUTED_VALUE"""),"CS")</f>
        <v>CS</v>
      </c>
      <c r="Q45" s="6" t="str">
        <f>IFERROR(__xludf.DUMMYFUNCTION("""COMPUTED_VALUE"""),"HINO")</f>
        <v>HINO</v>
      </c>
      <c r="R45" s="6" t="str">
        <f>IFERROR(__xludf.DUMMYFUNCTION("""COMPUTED_VALUE"""),"J08EWEJ16306")</f>
        <v>J08EWEJ16306</v>
      </c>
      <c r="S45" s="6" t="str">
        <f>IFERROR(__xludf.DUMMYFUNCTION("""COMPUTED_VALUE"""),"MJEFL8JN2PJP10541")</f>
        <v>MJEFL8JN2PJP10541</v>
      </c>
      <c r="T45" s="31">
        <f>IFERROR(__xludf.DUMMYFUNCTION("""COMPUTED_VALUE"""),47071.0)</f>
        <v>47071</v>
      </c>
      <c r="U45" s="6" t="str">
        <f>IFERROR(__xludf.DUMMYFUNCTION("""COMPUTED_VALUE"""),"Berlaku")</f>
        <v>Berlaku</v>
      </c>
      <c r="V45" s="31">
        <f>IFERROR(__xludf.DUMMYFUNCTION("""COMPUTED_VALUE"""),46340.0)</f>
        <v>46340</v>
      </c>
      <c r="W45" s="6" t="str">
        <f>IFERROR(__xludf.DUMMYFUNCTION("""COMPUTED_VALUE"""),"Akan Habis")</f>
        <v>Akan Habis</v>
      </c>
      <c r="X45" s="31"/>
      <c r="Y45" s="6" t="str">
        <f>IFERROR(__xludf.DUMMYFUNCTION("""COMPUTED_VALUE"""),"Habis")</f>
        <v>Habis</v>
      </c>
      <c r="Z45" s="31">
        <f>IFERROR(__xludf.DUMMYFUNCTION("""COMPUTED_VALUE"""),46333.0)</f>
        <v>46333</v>
      </c>
      <c r="AA45" s="6" t="str">
        <f>IFERROR(__xludf.DUMMYFUNCTION("""COMPUTED_VALUE"""),"Berlaku")</f>
        <v>Berlaku</v>
      </c>
      <c r="AB45" s="31">
        <f>IFERROR(__xludf.DUMMYFUNCTION("""COMPUTED_VALUE"""),46711.0)</f>
        <v>46711</v>
      </c>
      <c r="AC45" s="6" t="str">
        <f>IFERROR(__xludf.DUMMYFUNCTION("""COMPUTED_VALUE"""),"Berlaku")</f>
        <v>Berlaku</v>
      </c>
      <c r="AD45" s="33">
        <f>IFERROR(__xludf.DUMMYFUNCTION("""COMPUTED_VALUE"""),46340.0)</f>
        <v>46340</v>
      </c>
      <c r="AE45" s="6" t="str">
        <f>IFERROR(__xludf.DUMMYFUNCTION("""COMPUTED_VALUE"""),"Berlaku")</f>
        <v>Berlaku</v>
      </c>
      <c r="AF45" s="6" t="str">
        <f>IFERROR(__xludf.DUMMYFUNCTION("""COMPUTED_VALUE"""),"TUGU")</f>
        <v>TUGU</v>
      </c>
      <c r="AG45" s="6" t="str">
        <f>IFERROR(__xludf.DUMMYFUNCTION("""COMPUTED_VALUE"""),"AKTIF ")</f>
        <v>AKTIF </v>
      </c>
      <c r="AH45" s="6"/>
      <c r="AI45" s="6" t="str">
        <f>IFERROR(__xludf.DUMMYFUNCTION("""COMPUTED_VALUE"""),"Menggantikan MT AA1817FP milik PT Tanah Putih")</f>
        <v>Menggantikan MT AA1817FP milik PT Tanah Putih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hidden="1">
      <c r="A46" s="6">
        <f>IFERROR(__xludf.DUMMYFUNCTION("""COMPUTED_VALUE"""),63.0)</f>
        <v>63</v>
      </c>
      <c r="B46" s="6" t="str">
        <f>IFERROR(__xludf.DUMMYFUNCTION("""COMPUTED_VALUE"""),"H9155OF")</f>
        <v>H9155OF</v>
      </c>
      <c r="C46" s="6" t="str">
        <f>IFERROR(__xludf.DUMMYFUNCTION("""COMPUTED_VALUE"""),"8+8")</f>
        <v>8+8</v>
      </c>
      <c r="D46" s="6">
        <f>IFERROR(__xludf.DUMMYFUNCTION("""COMPUTED_VALUE"""),16.0)</f>
        <v>16</v>
      </c>
      <c r="E46" s="6" t="str">
        <f>IFERROR(__xludf.DUMMYFUNCTION("""COMPUTED_VALUE"""),"PT. LUMAS PRIMA")</f>
        <v>PT. LUMAS PRIMA</v>
      </c>
      <c r="F46" s="6">
        <f>IFERROR(__xludf.DUMMYFUNCTION("""COMPUTED_VALUE"""),2018.0)</f>
        <v>2018</v>
      </c>
      <c r="G46" s="6">
        <f>IFERROR(__xludf.DUMMYFUNCTION("""COMPUTED_VALUE"""),2018.0)</f>
        <v>2018</v>
      </c>
      <c r="H46" s="6">
        <f>IFERROR(__xludf.DUMMYFUNCTION("""COMPUTED_VALUE"""),8.0)</f>
        <v>8</v>
      </c>
      <c r="I46" s="6" t="str">
        <f>IFERROR(__xludf.DUMMYFUNCTION("""COMPUTED_VALUE"""),"FVM34Q")</f>
        <v>FVM34Q</v>
      </c>
      <c r="J46" s="6">
        <f>IFERROR(__xludf.DUMMYFUNCTION("""COMPUTED_VALUE"""),7790.0)</f>
        <v>7790</v>
      </c>
      <c r="K46" s="6" t="str">
        <f>IFERROR(__xludf.DUMMYFUNCTION("""COMPUTED_VALUE"""),"EURO 2")</f>
        <v>EURO 2</v>
      </c>
      <c r="L46" s="6" t="str">
        <f>IFERROR(__xludf.DUMMYFUNCTION("""COMPUTED_VALUE"""),"PTO")</f>
        <v>PTO</v>
      </c>
      <c r="M46" s="6" t="str">
        <f>IFERROR(__xludf.DUMMYFUNCTION("""COMPUTED_VALUE"""),"Geluran Adikarya")</f>
        <v>Geluran Adikarya</v>
      </c>
      <c r="N46" s="6">
        <f>IFERROR(__xludf.DUMMYFUNCTION("""COMPUTED_VALUE"""),2018.0)</f>
        <v>2018</v>
      </c>
      <c r="O46" s="6">
        <f>IFERROR(__xludf.DUMMYFUNCTION("""COMPUTED_VALUE"""),8.0)</f>
        <v>8</v>
      </c>
      <c r="P46" s="6" t="str">
        <f>IFERROR(__xludf.DUMMYFUNCTION("""COMPUTED_VALUE"""),"CS")</f>
        <v>CS</v>
      </c>
      <c r="Q46" s="6" t="str">
        <f>IFERROR(__xludf.DUMMYFUNCTION("""COMPUTED_VALUE"""),"ISUZU")</f>
        <v>ISUZU</v>
      </c>
      <c r="R46" s="6" t="str">
        <f>IFERROR(__xludf.DUMMYFUNCTION("""COMPUTED_VALUE"""),"6HK1F006667")</f>
        <v>6HK1F006667</v>
      </c>
      <c r="S46" s="6" t="str">
        <f>IFERROR(__xludf.DUMMYFUNCTION("""COMPUTED_VALUE"""),"MHCFVM341JJ000436")</f>
        <v>MHCFVM341JJ000436</v>
      </c>
      <c r="T46" s="31">
        <f>IFERROR(__xludf.DUMMYFUNCTION("""COMPUTED_VALUE"""),46999.0)</f>
        <v>46999</v>
      </c>
      <c r="U46" s="6" t="str">
        <f>IFERROR(__xludf.DUMMYFUNCTION("""COMPUTED_VALUE"""),"Berlaku")</f>
        <v>Berlaku</v>
      </c>
      <c r="V46" s="31">
        <f>IFERROR(__xludf.DUMMYFUNCTION("""COMPUTED_VALUE"""),46633.0)</f>
        <v>46633</v>
      </c>
      <c r="W46" s="6" t="str">
        <f>IFERROR(__xludf.DUMMYFUNCTION("""COMPUTED_VALUE"""),"Berlaku")</f>
        <v>Berlaku</v>
      </c>
      <c r="X46" s="31"/>
      <c r="Y46" s="6" t="str">
        <f>IFERROR(__xludf.DUMMYFUNCTION("""COMPUTED_VALUE"""),"Habis")</f>
        <v>Habis</v>
      </c>
      <c r="Z46" s="31">
        <f>IFERROR(__xludf.DUMMYFUNCTION("""COMPUTED_VALUE"""),46445.0)</f>
        <v>46445</v>
      </c>
      <c r="AA46" s="6" t="str">
        <f>IFERROR(__xludf.DUMMYFUNCTION("""COMPUTED_VALUE"""),"Berlaku")</f>
        <v>Berlaku</v>
      </c>
      <c r="AB46" s="31">
        <f>IFERROR(__xludf.DUMMYFUNCTION("""COMPUTED_VALUE"""),46648.0)</f>
        <v>46648</v>
      </c>
      <c r="AC46" s="6" t="str">
        <f>IFERROR(__xludf.DUMMYFUNCTION("""COMPUTED_VALUE"""),"Berlaku")</f>
        <v>Berlaku</v>
      </c>
      <c r="AD46" s="33">
        <f>IFERROR(__xludf.DUMMYFUNCTION("""COMPUTED_VALUE"""),46340.0)</f>
        <v>46340</v>
      </c>
      <c r="AE46" s="6" t="str">
        <f>IFERROR(__xludf.DUMMYFUNCTION("""COMPUTED_VALUE"""),"Berlaku")</f>
        <v>Berlaku</v>
      </c>
      <c r="AF46" s="6" t="str">
        <f>IFERROR(__xludf.DUMMYFUNCTION("""COMPUTED_VALUE"""),"TUGU")</f>
        <v>TUGU</v>
      </c>
      <c r="AG46" s="6" t="str">
        <f>IFERROR(__xludf.DUMMYFUNCTION("""COMPUTED_VALUE"""),"AKTIF ")</f>
        <v>AKTIF </v>
      </c>
      <c r="AH46" s="6"/>
      <c r="AI46" s="6" t="str">
        <f>IFERROR(__xludf.DUMMYFUNCTION("""COMPUTED_VALUE"""),"No pol lama H1429FA")</f>
        <v>No pol lama H1429FA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hidden="1">
      <c r="A47" s="6">
        <f>IFERROR(__xludf.DUMMYFUNCTION("""COMPUTED_VALUE"""),64.0)</f>
        <v>64</v>
      </c>
      <c r="B47" s="6" t="str">
        <f>IFERROR(__xludf.DUMMYFUNCTION("""COMPUTED_VALUE"""),"H9771OF")</f>
        <v>H9771OF</v>
      </c>
      <c r="C47" s="6" t="str">
        <f>IFERROR(__xludf.DUMMYFUNCTION("""COMPUTED_VALUE"""),"8+8")</f>
        <v>8+8</v>
      </c>
      <c r="D47" s="6">
        <f>IFERROR(__xludf.DUMMYFUNCTION("""COMPUTED_VALUE"""),16.0)</f>
        <v>16</v>
      </c>
      <c r="E47" s="6" t="str">
        <f>IFERROR(__xludf.DUMMYFUNCTION("""COMPUTED_VALUE"""),"PT. LUMAS BIRU MANDIRI")</f>
        <v>PT. LUMAS BIRU MANDIRI</v>
      </c>
      <c r="F47" s="6">
        <f>IFERROR(__xludf.DUMMYFUNCTION("""COMPUTED_VALUE"""),2023.0)</f>
        <v>2023</v>
      </c>
      <c r="G47" s="6">
        <f>IFERROR(__xludf.DUMMYFUNCTION("""COMPUTED_VALUE"""),2024.0)</f>
        <v>2024</v>
      </c>
      <c r="H47" s="6">
        <f>IFERROR(__xludf.DUMMYFUNCTION("""COMPUTED_VALUE"""),3.0)</f>
        <v>3</v>
      </c>
      <c r="I47" s="6" t="str">
        <f>IFERROR(__xludf.DUMMYFUNCTION("""COMPUTED_VALUE"""),"FL8JN2A-PGJ (6X2) M/T")</f>
        <v>FL8JN2A-PGJ (6X2) M/T</v>
      </c>
      <c r="J47" s="6">
        <f>IFERROR(__xludf.DUMMYFUNCTION("""COMPUTED_VALUE"""),7684.0)</f>
        <v>7684</v>
      </c>
      <c r="K47" s="6" t="str">
        <f>IFERROR(__xludf.DUMMYFUNCTION("""COMPUTED_VALUE"""),"EURO 4")</f>
        <v>EURO 4</v>
      </c>
      <c r="L47" s="6" t="str">
        <f>IFERROR(__xludf.DUMMYFUNCTION("""COMPUTED_VALUE"""),"Standart")</f>
        <v>Standart</v>
      </c>
      <c r="M47" s="6" t="str">
        <f>IFERROR(__xludf.DUMMYFUNCTION("""COMPUTED_VALUE"""),"Aweco")</f>
        <v>Aweco</v>
      </c>
      <c r="N47" s="6">
        <f>IFERROR(__xludf.DUMMYFUNCTION("""COMPUTED_VALUE"""),2023.0)</f>
        <v>2023</v>
      </c>
      <c r="O47" s="6">
        <f>IFERROR(__xludf.DUMMYFUNCTION("""COMPUTED_VALUE"""),3.0)</f>
        <v>3</v>
      </c>
      <c r="P47" s="6" t="str">
        <f>IFERROR(__xludf.DUMMYFUNCTION("""COMPUTED_VALUE"""),"CS")</f>
        <v>CS</v>
      </c>
      <c r="Q47" s="6" t="str">
        <f>IFERROR(__xludf.DUMMYFUNCTION("""COMPUTED_VALUE"""),"HINO")</f>
        <v>HINO</v>
      </c>
      <c r="R47" s="6" t="str">
        <f>IFERROR(__xludf.DUMMYFUNCTION("""COMPUTED_VALUE"""),"J08EWEJ17352")</f>
        <v>J08EWEJ17352</v>
      </c>
      <c r="S47" s="6" t="str">
        <f>IFERROR(__xludf.DUMMYFUNCTION("""COMPUTED_VALUE"""),"MJEFL8JN2PJP10693")</f>
        <v>MJEFL8JN2PJP10693</v>
      </c>
      <c r="T47" s="31">
        <f>IFERROR(__xludf.DUMMYFUNCTION("""COMPUTED_VALUE"""),47199.0)</f>
        <v>47199</v>
      </c>
      <c r="U47" s="6" t="str">
        <f>IFERROR(__xludf.DUMMYFUNCTION("""COMPUTED_VALUE"""),"Berlaku")</f>
        <v>Berlaku</v>
      </c>
      <c r="V47" s="31">
        <f>IFERROR(__xludf.DUMMYFUNCTION("""COMPUTED_VALUE"""),46468.0)</f>
        <v>46468</v>
      </c>
      <c r="W47" s="6" t="str">
        <f>IFERROR(__xludf.DUMMYFUNCTION("""COMPUTED_VALUE"""),"Berlaku")</f>
        <v>Berlaku</v>
      </c>
      <c r="X47" s="31"/>
      <c r="Y47" s="6" t="str">
        <f>IFERROR(__xludf.DUMMYFUNCTION("""COMPUTED_VALUE"""),"Habis")</f>
        <v>Habis</v>
      </c>
      <c r="Z47" s="31">
        <f>IFERROR(__xludf.DUMMYFUNCTION("""COMPUTED_VALUE"""),46304.0)</f>
        <v>46304</v>
      </c>
      <c r="AA47" s="6" t="str">
        <f>IFERROR(__xludf.DUMMYFUNCTION("""COMPUTED_VALUE"""),"Akan Habis")</f>
        <v>Akan Habis</v>
      </c>
      <c r="AB47" s="31">
        <f>IFERROR(__xludf.DUMMYFUNCTION("""COMPUTED_VALUE"""),47014.0)</f>
        <v>47014</v>
      </c>
      <c r="AC47" s="6" t="str">
        <f>IFERROR(__xludf.DUMMYFUNCTION("""COMPUTED_VALUE"""),"Berlaku")</f>
        <v>Berlaku</v>
      </c>
      <c r="AD47" s="33">
        <f>IFERROR(__xludf.DUMMYFUNCTION("""COMPUTED_VALUE"""),46304.0)</f>
        <v>46304</v>
      </c>
      <c r="AE47" s="6" t="str">
        <f>IFERROR(__xludf.DUMMYFUNCTION("""COMPUTED_VALUE"""),"Akan Habis")</f>
        <v>Akan Habis</v>
      </c>
      <c r="AF47" s="6" t="str">
        <f>IFERROR(__xludf.DUMMYFUNCTION("""COMPUTED_VALUE"""),"MANDIRI")</f>
        <v>MANDIRI</v>
      </c>
      <c r="AG47" s="6" t="str">
        <f>IFERROR(__xludf.DUMMYFUNCTION("""COMPUTED_VALUE"""),"AKTIF ")</f>
        <v>AKTIF </v>
      </c>
      <c r="AH47" s="6"/>
      <c r="AI47" s="6" t="str">
        <f>IFERROR(__xludf.DUMMYFUNCTION("""COMPUTED_VALUE"""),"Menggantikan mt no pol R9912CR (R1993DS PERUBAHAN NO POL (PERPANJANG PAJAK) PT Satu Hati tgl 22 Mei 2024 akan afkir dan tidak diremajakan (akan diremajakan oleh PT Lumas Biru Mandiri)")</f>
        <v>Menggantikan mt no pol R9912CR (R1993DS PERUBAHAN NO POL (PERPANJANG PAJAK) PT Satu Hati tgl 22 Mei 2024 akan afkir dan tidak diremajakan (akan diremajakan oleh PT Lumas Biru Mandiri)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hidden="1">
      <c r="A48" s="6">
        <f>IFERROR(__xludf.DUMMYFUNCTION("""COMPUTED_VALUE"""),65.0)</f>
        <v>65</v>
      </c>
      <c r="B48" s="6" t="str">
        <f>IFERROR(__xludf.DUMMYFUNCTION("""COMPUTED_VALUE"""),"H8481OH")</f>
        <v>H8481OH</v>
      </c>
      <c r="C48" s="6" t="str">
        <f>IFERROR(__xludf.DUMMYFUNCTION("""COMPUTED_VALUE"""),"8+8")</f>
        <v>8+8</v>
      </c>
      <c r="D48" s="6">
        <f>IFERROR(__xludf.DUMMYFUNCTION("""COMPUTED_VALUE"""),16.0)</f>
        <v>16</v>
      </c>
      <c r="E48" s="6" t="str">
        <f>IFERROR(__xludf.DUMMYFUNCTION("""COMPUTED_VALUE"""),"PT. LUMAS BIRU MANDIRI")</f>
        <v>PT. LUMAS BIRU MANDIRI</v>
      </c>
      <c r="F48" s="6">
        <f>IFERROR(__xludf.DUMMYFUNCTION("""COMPUTED_VALUE"""),2024.0)</f>
        <v>2024</v>
      </c>
      <c r="G48" s="6">
        <f>IFERROR(__xludf.DUMMYFUNCTION("""COMPUTED_VALUE"""),2024.0)</f>
        <v>2024</v>
      </c>
      <c r="H48" s="6">
        <f>IFERROR(__xludf.DUMMYFUNCTION("""COMPUTED_VALUE"""),2.0)</f>
        <v>2</v>
      </c>
      <c r="I48" s="6" t="str">
        <f>IFERROR(__xludf.DUMMYFUNCTION("""COMPUTED_VALUE"""),"FL8JN2A-PGJ (6X2) M/T")</f>
        <v>FL8JN2A-PGJ (6X2) M/T</v>
      </c>
      <c r="J48" s="6">
        <f>IFERROR(__xludf.DUMMYFUNCTION("""COMPUTED_VALUE"""),7684.0)</f>
        <v>7684</v>
      </c>
      <c r="K48" s="6" t="str">
        <f>IFERROR(__xludf.DUMMYFUNCTION("""COMPUTED_VALUE"""),"EURO 4")</f>
        <v>EURO 4</v>
      </c>
      <c r="L48" s="6" t="str">
        <f>IFERROR(__xludf.DUMMYFUNCTION("""COMPUTED_VALUE"""),"Standart")</f>
        <v>Standart</v>
      </c>
      <c r="M48" s="6" t="str">
        <f>IFERROR(__xludf.DUMMYFUNCTION("""COMPUTED_VALUE"""),"Meco")</f>
        <v>Meco</v>
      </c>
      <c r="N48" s="6">
        <f>IFERROR(__xludf.DUMMYFUNCTION("""COMPUTED_VALUE"""),2024.0)</f>
        <v>2024</v>
      </c>
      <c r="O48" s="6">
        <f>IFERROR(__xludf.DUMMYFUNCTION("""COMPUTED_VALUE"""),2.0)</f>
        <v>2</v>
      </c>
      <c r="P48" s="6" t="str">
        <f>IFERROR(__xludf.DUMMYFUNCTION("""COMPUTED_VALUE"""),"CS")</f>
        <v>CS</v>
      </c>
      <c r="Q48" s="6" t="str">
        <f>IFERROR(__xludf.DUMMYFUNCTION("""COMPUTED_VALUE"""),"HINO")</f>
        <v>HINO</v>
      </c>
      <c r="R48" s="6" t="str">
        <f>IFERROR(__xludf.DUMMYFUNCTION("""COMPUTED_VALUE"""),"J08EWEJ19776")</f>
        <v>J08EWEJ19776</v>
      </c>
      <c r="S48" s="6" t="str">
        <f>IFERROR(__xludf.DUMMYFUNCTION("""COMPUTED_VALUE"""),"MJEFL8JN2RJP10944")</f>
        <v>MJEFL8JN2RJP10944</v>
      </c>
      <c r="T48" s="31">
        <f>IFERROR(__xludf.DUMMYFUNCTION("""COMPUTED_VALUE"""),47360.0)</f>
        <v>47360</v>
      </c>
      <c r="U48" s="6" t="str">
        <f>IFERROR(__xludf.DUMMYFUNCTION("""COMPUTED_VALUE"""),"Berlaku")</f>
        <v>Berlaku</v>
      </c>
      <c r="V48" s="31">
        <f>IFERROR(__xludf.DUMMYFUNCTION("""COMPUTED_VALUE"""),46629.0)</f>
        <v>46629</v>
      </c>
      <c r="W48" s="6" t="str">
        <f>IFERROR(__xludf.DUMMYFUNCTION("""COMPUTED_VALUE"""),"Berlaku")</f>
        <v>Berlaku</v>
      </c>
      <c r="X48" s="31"/>
      <c r="Y48" s="6" t="str">
        <f>IFERROR(__xludf.DUMMYFUNCTION("""COMPUTED_VALUE"""),"Habis")</f>
        <v>Habis</v>
      </c>
      <c r="Z48" s="31">
        <f>IFERROR(__xludf.DUMMYFUNCTION("""COMPUTED_VALUE"""),46277.0)</f>
        <v>46277</v>
      </c>
      <c r="AA48" s="6" t="str">
        <f>IFERROR(__xludf.DUMMYFUNCTION("""COMPUTED_VALUE"""),"Habis")</f>
        <v>Habis</v>
      </c>
      <c r="AB48" s="31">
        <f>IFERROR(__xludf.DUMMYFUNCTION("""COMPUTED_VALUE"""),47007.0)</f>
        <v>47007</v>
      </c>
      <c r="AC48" s="6" t="str">
        <f>IFERROR(__xludf.DUMMYFUNCTION("""COMPUTED_VALUE"""),"Berlaku")</f>
        <v>Berlaku</v>
      </c>
      <c r="AD48" s="33">
        <f>IFERROR(__xludf.DUMMYFUNCTION("""COMPUTED_VALUE"""),46340.0)</f>
        <v>46340</v>
      </c>
      <c r="AE48" s="6" t="str">
        <f>IFERROR(__xludf.DUMMYFUNCTION("""COMPUTED_VALUE"""),"Berlaku")</f>
        <v>Berlaku</v>
      </c>
      <c r="AF48" s="6" t="str">
        <f>IFERROR(__xludf.DUMMYFUNCTION("""COMPUTED_VALUE"""),"MANDIRI")</f>
        <v>MANDIRI</v>
      </c>
      <c r="AG48" s="6" t="str">
        <f>IFERROR(__xludf.DUMMYFUNCTION("""COMPUTED_VALUE"""),"AKTIF ")</f>
        <v>AKTIF </v>
      </c>
      <c r="AH48" s="6"/>
      <c r="AI48" s="6" t="str">
        <f>IFERROR(__xludf.DUMMYFUNCTION("""COMPUTED_VALUE"""),"R1998DS PT SATU HATI TIDAK DIREMAJAKAN")</f>
        <v>R1998DS PT SATU HATI TIDAK DIREMAJAKAN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hidden="1">
      <c r="A49" s="6">
        <f>IFERROR(__xludf.DUMMYFUNCTION("""COMPUTED_VALUE"""),66.0)</f>
        <v>66</v>
      </c>
      <c r="B49" s="6" t="str">
        <f>IFERROR(__xludf.DUMMYFUNCTION("""COMPUTED_VALUE"""),"H8428OH")</f>
        <v>H8428OH</v>
      </c>
      <c r="C49" s="6" t="str">
        <f>IFERROR(__xludf.DUMMYFUNCTION("""COMPUTED_VALUE"""),"4+4")</f>
        <v>4+4</v>
      </c>
      <c r="D49" s="6">
        <f>IFERROR(__xludf.DUMMYFUNCTION("""COMPUTED_VALUE"""),8.0)</f>
        <v>8</v>
      </c>
      <c r="E49" s="6" t="str">
        <f>IFERROR(__xludf.DUMMYFUNCTION("""COMPUTED_VALUE"""),"PT. LUMAS BIRU MANDIRI")</f>
        <v>PT. LUMAS BIRU MANDIRI</v>
      </c>
      <c r="F49" s="6">
        <f>IFERROR(__xludf.DUMMYFUNCTION("""COMPUTED_VALUE"""),2024.0)</f>
        <v>2024</v>
      </c>
      <c r="G49" s="6">
        <f>IFERROR(__xludf.DUMMYFUNCTION("""COMPUTED_VALUE"""),2024.0)</f>
        <v>2024</v>
      </c>
      <c r="H49" s="6">
        <f>IFERROR(__xludf.DUMMYFUNCTION("""COMPUTED_VALUE"""),2.0)</f>
        <v>2</v>
      </c>
      <c r="I49" s="6" t="str">
        <f>IFERROR(__xludf.DUMMYFUNCTION("""COMPUTED_VALUE"""),"FIGHTER FM65FS HI GEAR (4X2) M/T")</f>
        <v>FIGHTER FM65FS HI GEAR (4X2) M/T</v>
      </c>
      <c r="J49" s="6">
        <f>IFERROR(__xludf.DUMMYFUNCTION("""COMPUTED_VALUE"""),7545.0)</f>
        <v>7545</v>
      </c>
      <c r="K49" s="6" t="str">
        <f>IFERROR(__xludf.DUMMYFUNCTION("""COMPUTED_VALUE"""),"EURO 4")</f>
        <v>EURO 4</v>
      </c>
      <c r="L49" s="6" t="str">
        <f>IFERROR(__xludf.DUMMYFUNCTION("""COMPUTED_VALUE"""),"Standart")</f>
        <v>Standart</v>
      </c>
      <c r="M49" s="6" t="str">
        <f>IFERROR(__xludf.DUMMYFUNCTION("""COMPUTED_VALUE"""),"Antika Raya")</f>
        <v>Antika Raya</v>
      </c>
      <c r="N49" s="6">
        <f>IFERROR(__xludf.DUMMYFUNCTION("""COMPUTED_VALUE"""),2024.0)</f>
        <v>2024</v>
      </c>
      <c r="O49" s="6">
        <f>IFERROR(__xludf.DUMMYFUNCTION("""COMPUTED_VALUE"""),2.0)</f>
        <v>2</v>
      </c>
      <c r="P49" s="6" t="str">
        <f>IFERROR(__xludf.DUMMYFUNCTION("""COMPUTED_VALUE"""),"CS")</f>
        <v>CS</v>
      </c>
      <c r="Q49" s="6" t="str">
        <f>IFERROR(__xludf.DUMMYFUNCTION("""COMPUTED_VALUE"""),"MITSUBISHI")</f>
        <v>MITSUBISHI</v>
      </c>
      <c r="R49" s="6" t="str">
        <f>IFERROR(__xludf.DUMMYFUNCTION("""COMPUTED_VALUE"""),"6M60305513")</f>
        <v>6M60305513</v>
      </c>
      <c r="S49" s="6" t="str">
        <f>IFERROR(__xludf.DUMMYFUNCTION("""COMPUTED_VALUE"""),"MHMFM65GARK000495")</f>
        <v>MHMFM65GARK000495</v>
      </c>
      <c r="T49" s="31">
        <f>IFERROR(__xludf.DUMMYFUNCTION("""COMPUTED_VALUE"""),47337.0)</f>
        <v>47337</v>
      </c>
      <c r="U49" s="6" t="str">
        <f>IFERROR(__xludf.DUMMYFUNCTION("""COMPUTED_VALUE"""),"Berlaku")</f>
        <v>Berlaku</v>
      </c>
      <c r="V49" s="31">
        <f>IFERROR(__xludf.DUMMYFUNCTION("""COMPUTED_VALUE"""),46606.0)</f>
        <v>46606</v>
      </c>
      <c r="W49" s="6" t="str">
        <f>IFERROR(__xludf.DUMMYFUNCTION("""COMPUTED_VALUE"""),"Berlaku")</f>
        <v>Berlaku</v>
      </c>
      <c r="X49" s="31"/>
      <c r="Y49" s="6" t="str">
        <f>IFERROR(__xludf.DUMMYFUNCTION("""COMPUTED_VALUE"""),"Habis")</f>
        <v>Habis</v>
      </c>
      <c r="Z49" s="31">
        <f>IFERROR(__xludf.DUMMYFUNCTION("""COMPUTED_VALUE"""),46449.0)</f>
        <v>46449</v>
      </c>
      <c r="AA49" s="6" t="str">
        <f>IFERROR(__xludf.DUMMYFUNCTION("""COMPUTED_VALUE"""),"Berlaku")</f>
        <v>Berlaku</v>
      </c>
      <c r="AB49" s="31">
        <f>IFERROR(__xludf.DUMMYFUNCTION("""COMPUTED_VALUE"""),46962.0)</f>
        <v>46962</v>
      </c>
      <c r="AC49" s="6" t="str">
        <f>IFERROR(__xludf.DUMMYFUNCTION("""COMPUTED_VALUE"""),"Berlaku")</f>
        <v>Berlaku</v>
      </c>
      <c r="AD49" s="33">
        <f>IFERROR(__xludf.DUMMYFUNCTION("""COMPUTED_VALUE"""),46302.0)</f>
        <v>46302</v>
      </c>
      <c r="AE49" s="6" t="str">
        <f>IFERROR(__xludf.DUMMYFUNCTION("""COMPUTED_VALUE"""),"Habis dalam 7-1 Hari")</f>
        <v>Habis dalam 7-1 Hari</v>
      </c>
      <c r="AF49" s="6" t="str">
        <f>IFERROR(__xludf.DUMMYFUNCTION("""COMPUTED_VALUE"""),"MANDIRI")</f>
        <v>MANDIRI</v>
      </c>
      <c r="AG49" s="6" t="str">
        <f>IFERROR(__xludf.DUMMYFUNCTION("""COMPUTED_VALUE"""),"AKTIF ")</f>
        <v>AKTIF </v>
      </c>
      <c r="AH49" s="6"/>
      <c r="AI49" s="6" t="str">
        <f>IFERROR(__xludf.DUMMYFUNCTION("""COMPUTED_VALUE"""),"AA1937DF TIDAK DIREMAJAKAN milik PT Tanah Putih")</f>
        <v>AA1937DF TIDAK DIREMAJAKAN milik PT Tanah Putih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hidden="1">
      <c r="A50" s="6">
        <f>IFERROR(__xludf.DUMMYFUNCTION("""COMPUTED_VALUE"""),67.0)</f>
        <v>67</v>
      </c>
      <c r="B50" s="6" t="str">
        <f>IFERROR(__xludf.DUMMYFUNCTION("""COMPUTED_VALUE"""),"H9536OH")</f>
        <v>H9536OH</v>
      </c>
      <c r="C50" s="6" t="str">
        <f>IFERROR(__xludf.DUMMYFUNCTION("""COMPUTED_VALUE"""),"8+8")</f>
        <v>8+8</v>
      </c>
      <c r="D50" s="6">
        <f>IFERROR(__xludf.DUMMYFUNCTION("""COMPUTED_VALUE"""),16.0)</f>
        <v>16</v>
      </c>
      <c r="E50" s="6" t="str">
        <f>IFERROR(__xludf.DUMMYFUNCTION("""COMPUTED_VALUE"""),"PT. LUMAS BIRU MANDIRI")</f>
        <v>PT. LUMAS BIRU MANDIRI</v>
      </c>
      <c r="F50" s="6">
        <f>IFERROR(__xludf.DUMMYFUNCTION("""COMPUTED_VALUE"""),2024.0)</f>
        <v>2024</v>
      </c>
      <c r="G50" s="6">
        <f>IFERROR(__xludf.DUMMYFUNCTION("""COMPUTED_VALUE"""),2024.0)</f>
        <v>2024</v>
      </c>
      <c r="H50" s="6">
        <f>IFERROR(__xludf.DUMMYFUNCTION("""COMPUTED_VALUE"""),2.0)</f>
        <v>2</v>
      </c>
      <c r="I50" s="6" t="str">
        <f>IFERROR(__xludf.DUMMYFUNCTION("""COMPUTED_VALUE"""),"FL8JN2A-PGJ (6X2)M/T TRONTON")</f>
        <v>FL8JN2A-PGJ (6X2)M/T TRONTON</v>
      </c>
      <c r="J50" s="6">
        <f>IFERROR(__xludf.DUMMYFUNCTION("""COMPUTED_VALUE"""),7684.0)</f>
        <v>7684</v>
      </c>
      <c r="K50" s="6" t="str">
        <f>IFERROR(__xludf.DUMMYFUNCTION("""COMPUTED_VALUE"""),"EURO 4")</f>
        <v>EURO 4</v>
      </c>
      <c r="L50" s="6" t="str">
        <f>IFERROR(__xludf.DUMMYFUNCTION("""COMPUTED_VALUE"""),"PTO")</f>
        <v>PTO</v>
      </c>
      <c r="M50" s="6" t="str">
        <f>IFERROR(__xludf.DUMMYFUNCTION("""COMPUTED_VALUE"""),"MECO")</f>
        <v>MECO</v>
      </c>
      <c r="N50" s="6">
        <f>IFERROR(__xludf.DUMMYFUNCTION("""COMPUTED_VALUE"""),2025.0)</f>
        <v>2025</v>
      </c>
      <c r="O50" s="6">
        <f>IFERROR(__xludf.DUMMYFUNCTION("""COMPUTED_VALUE"""),1.0)</f>
        <v>1</v>
      </c>
      <c r="P50" s="6" t="str">
        <f>IFERROR(__xludf.DUMMYFUNCTION("""COMPUTED_VALUE"""),"CS")</f>
        <v>CS</v>
      </c>
      <c r="Q50" s="6" t="str">
        <f>IFERROR(__xludf.DUMMYFUNCTION("""COMPUTED_VALUE"""),"HINO")</f>
        <v>HINO</v>
      </c>
      <c r="R50" s="6" t="str">
        <f>IFERROR(__xludf.DUMMYFUNCTION("""COMPUTED_VALUE"""),"J08EWEJ23732")</f>
        <v>J08EWEJ23732</v>
      </c>
      <c r="S50" s="6" t="str">
        <f>IFERROR(__xludf.DUMMYFUNCTION("""COMPUTED_VALUE"""),"MJEFL8JN2RJP11444")</f>
        <v>MJEFL8JN2RJP11444</v>
      </c>
      <c r="T50" s="31">
        <f>IFERROR(__xludf.DUMMYFUNCTION("""COMPUTED_VALUE"""),47673.0)</f>
        <v>47673</v>
      </c>
      <c r="U50" s="6" t="str">
        <f>IFERROR(__xludf.DUMMYFUNCTION("""COMPUTED_VALUE"""),"Berlaku")</f>
        <v>Berlaku</v>
      </c>
      <c r="V50" s="31">
        <f>IFERROR(__xludf.DUMMYFUNCTION("""COMPUTED_VALUE"""),46577.0)</f>
        <v>46577</v>
      </c>
      <c r="W50" s="6" t="str">
        <f>IFERROR(__xludf.DUMMYFUNCTION("""COMPUTED_VALUE"""),"Berlaku")</f>
        <v>Berlaku</v>
      </c>
      <c r="X50" s="31"/>
      <c r="Y50" s="6" t="str">
        <f>IFERROR(__xludf.DUMMYFUNCTION("""COMPUTED_VALUE"""),"Habis")</f>
        <v>Habis</v>
      </c>
      <c r="Z50" s="31">
        <f>IFERROR(__xludf.DUMMYFUNCTION("""COMPUTED_VALUE"""),46437.0)</f>
        <v>46437</v>
      </c>
      <c r="AA50" s="6" t="str">
        <f>IFERROR(__xludf.DUMMYFUNCTION("""COMPUTED_VALUE"""),"Berlaku")</f>
        <v>Berlaku</v>
      </c>
      <c r="AB50" s="31">
        <f>IFERROR(__xludf.DUMMYFUNCTION("""COMPUTED_VALUE"""),46625.0)</f>
        <v>46625</v>
      </c>
      <c r="AC50" s="6" t="str">
        <f>IFERROR(__xludf.DUMMYFUNCTION("""COMPUTED_VALUE"""),"Berlaku")</f>
        <v>Berlaku</v>
      </c>
      <c r="AD50" s="33">
        <f>IFERROR(__xludf.DUMMYFUNCTION("""COMPUTED_VALUE"""),46340.0)</f>
        <v>46340</v>
      </c>
      <c r="AE50" s="6" t="str">
        <f>IFERROR(__xludf.DUMMYFUNCTION("""COMPUTED_VALUE"""),"Berlaku")</f>
        <v>Berlaku</v>
      </c>
      <c r="AF50" s="6" t="str">
        <f>IFERROR(__xludf.DUMMYFUNCTION("""COMPUTED_VALUE"""),"MANDIRI")</f>
        <v>MANDIRI</v>
      </c>
      <c r="AG50" s="6" t="str">
        <f>IFERROR(__xludf.DUMMYFUNCTION("""COMPUTED_VALUE"""),"AKTIF ")</f>
        <v>AKTIF </v>
      </c>
      <c r="AH50" s="6"/>
      <c r="AI50" s="6" t="str">
        <f>IFERROR(__xludf.DUMMYFUNCTION("""COMPUTED_VALUE"""),"Nopol Lama B9141SFU")</f>
        <v>Nopol Lama B9141SFU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hidden="1">
      <c r="A51" s="6">
        <f>IFERROR(__xludf.DUMMYFUNCTION("""COMPUTED_VALUE"""),68.0)</f>
        <v>68</v>
      </c>
      <c r="B51" s="6" t="str">
        <f>IFERROR(__xludf.DUMMYFUNCTION("""COMPUTED_VALUE"""),"H9013OH")</f>
        <v>H9013OH</v>
      </c>
      <c r="C51" s="6" t="str">
        <f>IFERROR(__xludf.DUMMYFUNCTION("""COMPUTED_VALUE"""),"8+8")</f>
        <v>8+8</v>
      </c>
      <c r="D51" s="6">
        <f>IFERROR(__xludf.DUMMYFUNCTION("""COMPUTED_VALUE"""),16.0)</f>
        <v>16</v>
      </c>
      <c r="E51" s="6" t="str">
        <f>IFERROR(__xludf.DUMMYFUNCTION("""COMPUTED_VALUE"""),"PT. LUMAS BIRU MANDIRI")</f>
        <v>PT. LUMAS BIRU MANDIRI</v>
      </c>
      <c r="F51" s="6">
        <f>IFERROR(__xludf.DUMMYFUNCTION("""COMPUTED_VALUE"""),2024.0)</f>
        <v>2024</v>
      </c>
      <c r="G51" s="6">
        <f>IFERROR(__xludf.DUMMYFUNCTION("""COMPUTED_VALUE"""),2025.0)</f>
        <v>2025</v>
      </c>
      <c r="H51" s="6">
        <f>IFERROR(__xludf.DUMMYFUNCTION("""COMPUTED_VALUE"""),2.0)</f>
        <v>2</v>
      </c>
      <c r="I51" s="6" t="str">
        <f>IFERROR(__xludf.DUMMYFUNCTION("""COMPUTED_VALUE"""),"FM8JN2D-XGJ")</f>
        <v>FM8JN2D-XGJ</v>
      </c>
      <c r="J51" s="6">
        <f>IFERROR(__xludf.DUMMYFUNCTION("""COMPUTED_VALUE"""),7684.0)</f>
        <v>7684</v>
      </c>
      <c r="K51" s="6" t="str">
        <f>IFERROR(__xludf.DUMMYFUNCTION("""COMPUTED_VALUE"""),"EURO 4")</f>
        <v>EURO 4</v>
      </c>
      <c r="L51" s="6" t="str">
        <f>IFERROR(__xludf.DUMMYFUNCTION("""COMPUTED_VALUE"""),"Standart")</f>
        <v>Standart</v>
      </c>
      <c r="M51" s="6" t="str">
        <f>IFERROR(__xludf.DUMMYFUNCTION("""COMPUTED_VALUE"""),"Meco")</f>
        <v>Meco</v>
      </c>
      <c r="N51" s="6">
        <f>IFERROR(__xludf.DUMMYFUNCTION("""COMPUTED_VALUE"""),2025.0)</f>
        <v>2025</v>
      </c>
      <c r="O51" s="6">
        <f>IFERROR(__xludf.DUMMYFUNCTION("""COMPUTED_VALUE"""),1.0)</f>
        <v>1</v>
      </c>
      <c r="P51" s="6" t="str">
        <f>IFERROR(__xludf.DUMMYFUNCTION("""COMPUTED_VALUE"""),"AA")</f>
        <v>AA</v>
      </c>
      <c r="Q51" s="6" t="str">
        <f>IFERROR(__xludf.DUMMYFUNCTION("""COMPUTED_VALUE"""),"HINO")</f>
        <v>HINO</v>
      </c>
      <c r="R51" s="6" t="str">
        <f>IFERROR(__xludf.DUMMYFUNCTION("""COMPUTED_VALUE"""),"J08EWDJ42293")</f>
        <v>J08EWDJ42293</v>
      </c>
      <c r="S51" s="6" t="str">
        <f>IFERROR(__xludf.DUMMYFUNCTION("""COMPUTED_VALUE"""),"MJEFM8JN2RJX27440")</f>
        <v>MJEFM8JN2RJX27440</v>
      </c>
      <c r="T51" s="31">
        <f>IFERROR(__xludf.DUMMYFUNCTION("""COMPUTED_VALUE"""),47563.0)</f>
        <v>47563</v>
      </c>
      <c r="U51" s="6" t="str">
        <f>IFERROR(__xludf.DUMMYFUNCTION("""COMPUTED_VALUE"""),"Berlaku")</f>
        <v>Berlaku</v>
      </c>
      <c r="V51" s="31">
        <f>IFERROR(__xludf.DUMMYFUNCTION("""COMPUTED_VALUE"""),46467.0)</f>
        <v>46467</v>
      </c>
      <c r="W51" s="6" t="str">
        <f>IFERROR(__xludf.DUMMYFUNCTION("""COMPUTED_VALUE"""),"Berlaku")</f>
        <v>Berlaku</v>
      </c>
      <c r="X51" s="31"/>
      <c r="Y51" s="6" t="str">
        <f>IFERROR(__xludf.DUMMYFUNCTION("""COMPUTED_VALUE"""),"Habis")</f>
        <v>Habis</v>
      </c>
      <c r="Z51" s="31">
        <f>IFERROR(__xludf.DUMMYFUNCTION("""COMPUTED_VALUE"""),46449.0)</f>
        <v>46449</v>
      </c>
      <c r="AA51" s="6" t="str">
        <f>IFERROR(__xludf.DUMMYFUNCTION("""COMPUTED_VALUE"""),"Berlaku")</f>
        <v>Berlaku</v>
      </c>
      <c r="AB51" s="31">
        <f>IFERROR(__xludf.DUMMYFUNCTION("""COMPUTED_VALUE"""),46492.0)</f>
        <v>46492</v>
      </c>
      <c r="AC51" s="6" t="str">
        <f>IFERROR(__xludf.DUMMYFUNCTION("""COMPUTED_VALUE"""),"Berlaku")</f>
        <v>Berlaku</v>
      </c>
      <c r="AD51" s="33">
        <f>IFERROR(__xludf.DUMMYFUNCTION("""COMPUTED_VALUE"""),46302.0)</f>
        <v>46302</v>
      </c>
      <c r="AE51" s="6" t="str">
        <f>IFERROR(__xludf.DUMMYFUNCTION("""COMPUTED_VALUE"""),"Habis dalam 7-1 Hari")</f>
        <v>Habis dalam 7-1 Hari</v>
      </c>
      <c r="AF51" s="6" t="str">
        <f>IFERROR(__xludf.DUMMYFUNCTION("""COMPUTED_VALUE"""),"MANDIRI")</f>
        <v>MANDIRI</v>
      </c>
      <c r="AG51" s="6" t="str">
        <f>IFERROR(__xludf.DUMMYFUNCTION("""COMPUTED_VALUE"""),"AKTIF ")</f>
        <v>AKTIF </v>
      </c>
      <c r="AH51" s="6"/>
      <c r="AI51" s="6" t="str">
        <f>IFERROR(__xludf.DUMMYFUNCTION("""COMPUTED_VALUE"""),"Meremakajan MT milik double gardan 16 KL B 9506 SFU")</f>
        <v>Meremakajan MT milik double gardan 16 KL B 9506 SFU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hidden="1">
      <c r="A52" s="6">
        <f>IFERROR(__xludf.DUMMYFUNCTION("""COMPUTED_VALUE"""),69.0)</f>
        <v>69</v>
      </c>
      <c r="B52" s="6" t="str">
        <f>IFERROR(__xludf.DUMMYFUNCTION("""COMPUTED_VALUE"""),"G9534OA")</f>
        <v>G9534OA</v>
      </c>
      <c r="C52" s="6" t="str">
        <f>IFERROR(__xludf.DUMMYFUNCTION("""COMPUTED_VALUE"""),"8+8+8")</f>
        <v>8+8+8</v>
      </c>
      <c r="D52" s="6">
        <f>IFERROR(__xludf.DUMMYFUNCTION("""COMPUTED_VALUE"""),24.0)</f>
        <v>24</v>
      </c>
      <c r="E52" s="6" t="str">
        <f>IFERROR(__xludf.DUMMYFUNCTION("""COMPUTED_VALUE"""),"PT. MURNI ADHI DUKUH JAYA")</f>
        <v>PT. MURNI ADHI DUKUH JAYA</v>
      </c>
      <c r="F52" s="6">
        <f>IFERROR(__xludf.DUMMYFUNCTION("""COMPUTED_VALUE"""),2025.0)</f>
        <v>2025</v>
      </c>
      <c r="G52" s="6">
        <f>IFERROR(__xludf.DUMMYFUNCTION("""COMPUTED_VALUE"""),2026.0)</f>
        <v>2026</v>
      </c>
      <c r="H52" s="6">
        <f>IFERROR(__xludf.DUMMYFUNCTION("""COMPUTED_VALUE"""),1.0)</f>
        <v>1</v>
      </c>
      <c r="I52" s="6" t="str">
        <f>IFERROR(__xludf.DUMMYFUNCTION("""COMPUTED_VALUE"""),"SG8JF2B-XGJ M/T TRACTOR HEAD")</f>
        <v>SG8JF2B-XGJ M/T TRACTOR HEAD</v>
      </c>
      <c r="J52" s="6">
        <f>IFERROR(__xludf.DUMMYFUNCTION("""COMPUTED_VALUE"""),7684.0)</f>
        <v>7684</v>
      </c>
      <c r="K52" s="6" t="str">
        <f>IFERROR(__xludf.DUMMYFUNCTION("""COMPUTED_VALUE"""),"EURO 4")</f>
        <v>EURO 4</v>
      </c>
      <c r="L52" s="6" t="str">
        <f>IFERROR(__xludf.DUMMYFUNCTION("""COMPUTED_VALUE"""),"Standart")</f>
        <v>Standart</v>
      </c>
      <c r="M52" s="6" t="str">
        <f>IFERROR(__xludf.DUMMYFUNCTION("""COMPUTED_VALUE"""),"Geluran Adikarya")</f>
        <v>Geluran Adikarya</v>
      </c>
      <c r="N52" s="6">
        <f>IFERROR(__xludf.DUMMYFUNCTION("""COMPUTED_VALUE"""),2016.0)</f>
        <v>2016</v>
      </c>
      <c r="O52" s="6">
        <f>IFERROR(__xludf.DUMMYFUNCTION("""COMPUTED_VALUE"""),10.0)</f>
        <v>10</v>
      </c>
      <c r="P52" s="6" t="str">
        <f>IFERROR(__xludf.DUMMYFUNCTION("""COMPUTED_VALUE"""),"AA")</f>
        <v>AA</v>
      </c>
      <c r="Q52" s="6" t="str">
        <f>IFERROR(__xludf.DUMMYFUNCTION("""COMPUTED_VALUE"""),"HINO 500")</f>
        <v>HINO 500</v>
      </c>
      <c r="R52" s="6" t="str">
        <f>IFERROR(__xludf.DUMMYFUNCTION("""COMPUTED_VALUE"""),"J08EWDJ48244")</f>
        <v>J08EWDJ48244</v>
      </c>
      <c r="S52" s="6" t="str">
        <f>IFERROR(__xludf.DUMMYFUNCTION("""COMPUTED_VALUE"""),"MJESG8JF2SJX12436")</f>
        <v>MJESG8JF2SJX12436</v>
      </c>
      <c r="T52" s="31">
        <f>IFERROR(__xludf.DUMMYFUNCTION("""COMPUTED_VALUE"""),47937.0)</f>
        <v>47937</v>
      </c>
      <c r="U52" s="6" t="str">
        <f>IFERROR(__xludf.DUMMYFUNCTION("""COMPUTED_VALUE"""),"Berlaku")</f>
        <v>Berlaku</v>
      </c>
      <c r="V52" s="31">
        <f>IFERROR(__xludf.DUMMYFUNCTION("""COMPUTED_VALUE"""),46476.0)</f>
        <v>46476</v>
      </c>
      <c r="W52" s="6" t="str">
        <f>IFERROR(__xludf.DUMMYFUNCTION("""COMPUTED_VALUE"""),"Berlaku")</f>
        <v>Berlaku</v>
      </c>
      <c r="X52" s="31">
        <f>IFERROR(__xludf.DUMMYFUNCTION("""COMPUTED_VALUE"""),46301.0)</f>
        <v>46301</v>
      </c>
      <c r="Y52" s="6" t="str">
        <f>IFERROR(__xludf.DUMMYFUNCTION("""COMPUTED_VALUE"""),"Habis dalam 7-1 Hari")</f>
        <v>Habis dalam 7-1 Hari</v>
      </c>
      <c r="Z52" s="31">
        <f>IFERROR(__xludf.DUMMYFUNCTION("""COMPUTED_VALUE"""),46483.0)</f>
        <v>46483</v>
      </c>
      <c r="AA52" s="6" t="str">
        <f>IFERROR(__xludf.DUMMYFUNCTION("""COMPUTED_VALUE"""),"Berlaku")</f>
        <v>Berlaku</v>
      </c>
      <c r="AB52" s="31">
        <f>IFERROR(__xludf.DUMMYFUNCTION("""COMPUTED_VALUE"""),46856.0)</f>
        <v>46856</v>
      </c>
      <c r="AC52" s="6" t="str">
        <f>IFERROR(__xludf.DUMMYFUNCTION("""COMPUTED_VALUE"""),"Berlaku")</f>
        <v>Berlaku</v>
      </c>
      <c r="AD52" s="33">
        <f>IFERROR(__xludf.DUMMYFUNCTION("""COMPUTED_VALUE"""),46320.0)</f>
        <v>46320</v>
      </c>
      <c r="AE52" s="6" t="str">
        <f>IFERROR(__xludf.DUMMYFUNCTION("""COMPUTED_VALUE"""),"Berlaku")</f>
        <v>Berlaku</v>
      </c>
      <c r="AF52" s="6" t="str">
        <f>IFERROR(__xludf.DUMMYFUNCTION("""COMPUTED_VALUE"""),"TUGU")</f>
        <v>TUGU</v>
      </c>
      <c r="AG52" s="6" t="str">
        <f>IFERROR(__xludf.DUMMYFUNCTION("""COMPUTED_VALUE"""),"AKTIF ")</f>
        <v>AKTIF </v>
      </c>
      <c r="AH52" s="6"/>
      <c r="AI52" s="6" t="str">
        <f>IFERROR(__xludf.DUMMYFUNCTION("""COMPUTED_VALUE"""),"MEREMAJAKAN MT G9047OA")</f>
        <v>MEREMAJAKAN MT G9047OA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hidden="1">
      <c r="A53" s="6">
        <f>IFERROR(__xludf.DUMMYFUNCTION("""COMPUTED_VALUE"""),71.0)</f>
        <v>71</v>
      </c>
      <c r="B53" s="6" t="str">
        <f>IFERROR(__xludf.DUMMYFUNCTION("""COMPUTED_VALUE"""),"G9214OA")</f>
        <v>G9214OA</v>
      </c>
      <c r="C53" s="6" t="str">
        <f>IFERROR(__xludf.DUMMYFUNCTION("""COMPUTED_VALUE"""),"8+8+8")</f>
        <v>8+8+8</v>
      </c>
      <c r="D53" s="6">
        <f>IFERROR(__xludf.DUMMYFUNCTION("""COMPUTED_VALUE"""),24.0)</f>
        <v>24</v>
      </c>
      <c r="E53" s="6" t="str">
        <f>IFERROR(__xludf.DUMMYFUNCTION("""COMPUTED_VALUE"""),"PT. MURNI ADHI DUKUH JAYA")</f>
        <v>PT. MURNI ADHI DUKUH JAYA</v>
      </c>
      <c r="F53" s="6">
        <f>IFERROR(__xludf.DUMMYFUNCTION("""COMPUTED_VALUE"""),2022.0)</f>
        <v>2022</v>
      </c>
      <c r="G53" s="6">
        <f>IFERROR(__xludf.DUMMYFUNCTION("""COMPUTED_VALUE"""),2022.0)</f>
        <v>2022</v>
      </c>
      <c r="H53" s="6">
        <f>IFERROR(__xludf.DUMMYFUNCTION("""COMPUTED_VALUE"""),4.0)</f>
        <v>4</v>
      </c>
      <c r="I53" s="6" t="str">
        <f>IFERROR(__xludf.DUMMYFUNCTION("""COMPUTED_VALUE"""),"SG8JF2B-XGJ (4X2)")</f>
        <v>SG8JF2B-XGJ (4X2)</v>
      </c>
      <c r="J53" s="6">
        <f>IFERROR(__xludf.DUMMYFUNCTION("""COMPUTED_VALUE"""),7684.0)</f>
        <v>7684</v>
      </c>
      <c r="K53" s="6" t="str">
        <f>IFERROR(__xludf.DUMMYFUNCTION("""COMPUTED_VALUE"""),"EURO 4")</f>
        <v>EURO 4</v>
      </c>
      <c r="L53" s="6" t="str">
        <f>IFERROR(__xludf.DUMMYFUNCTION("""COMPUTED_VALUE"""),"Standart")</f>
        <v>Standart</v>
      </c>
      <c r="M53" s="6" t="str">
        <f>IFERROR(__xludf.DUMMYFUNCTION("""COMPUTED_VALUE"""),"Aweco")</f>
        <v>Aweco</v>
      </c>
      <c r="N53" s="6">
        <f>IFERROR(__xludf.DUMMYFUNCTION("""COMPUTED_VALUE"""),2012.0)</f>
        <v>2012</v>
      </c>
      <c r="O53" s="6">
        <f>IFERROR(__xludf.DUMMYFUNCTION("""COMPUTED_VALUE"""),14.0)</f>
        <v>14</v>
      </c>
      <c r="P53" s="6" t="str">
        <f>IFERROR(__xludf.DUMMYFUNCTION("""COMPUTED_VALUE"""),"AA")</f>
        <v>AA</v>
      </c>
      <c r="Q53" s="6" t="str">
        <f>IFERROR(__xludf.DUMMYFUNCTION("""COMPUTED_VALUE"""),"HINO 500")</f>
        <v>HINO 500</v>
      </c>
      <c r="R53" s="6" t="str">
        <f>IFERROR(__xludf.DUMMYFUNCTION("""COMPUTED_VALUE"""),"J08EWDJ10869")</f>
        <v>J08EWDJ10869</v>
      </c>
      <c r="S53" s="6" t="str">
        <f>IFERROR(__xludf.DUMMYFUNCTION("""COMPUTED_VALUE"""),"MJESG8JF2NJX10053")</f>
        <v>MJESG8JF2NJX10053</v>
      </c>
      <c r="T53" s="31">
        <f>IFERROR(__xludf.DUMMYFUNCTION("""COMPUTED_VALUE"""),46639.0)</f>
        <v>46639</v>
      </c>
      <c r="U53" s="6" t="str">
        <f>IFERROR(__xludf.DUMMYFUNCTION("""COMPUTED_VALUE"""),"Berlaku")</f>
        <v>Berlaku</v>
      </c>
      <c r="V53" s="31">
        <f>IFERROR(__xludf.DUMMYFUNCTION("""COMPUTED_VALUE"""),46639.0)</f>
        <v>46639</v>
      </c>
      <c r="W53" s="6" t="str">
        <f>IFERROR(__xludf.DUMMYFUNCTION("""COMPUTED_VALUE"""),"Berlaku")</f>
        <v>Berlaku</v>
      </c>
      <c r="X53" s="31">
        <f>IFERROR(__xludf.DUMMYFUNCTION("""COMPUTED_VALUE"""),46301.0)</f>
        <v>46301</v>
      </c>
      <c r="Y53" s="6" t="str">
        <f>IFERROR(__xludf.DUMMYFUNCTION("""COMPUTED_VALUE"""),"Habis dalam 7-1 Hari")</f>
        <v>Habis dalam 7-1 Hari</v>
      </c>
      <c r="Z53" s="31">
        <f>IFERROR(__xludf.DUMMYFUNCTION("""COMPUTED_VALUE"""),46301.0)</f>
        <v>46301</v>
      </c>
      <c r="AA53" s="6" t="str">
        <f>IFERROR(__xludf.DUMMYFUNCTION("""COMPUTED_VALUE"""),"Habis dalam 7-1 Hari")</f>
        <v>Habis dalam 7-1 Hari</v>
      </c>
      <c r="AB53" s="31">
        <f>IFERROR(__xludf.DUMMYFUNCTION("""COMPUTED_VALUE"""),47013.0)</f>
        <v>47013</v>
      </c>
      <c r="AC53" s="6" t="str">
        <f>IFERROR(__xludf.DUMMYFUNCTION("""COMPUTED_VALUE"""),"Berlaku")</f>
        <v>Berlaku</v>
      </c>
      <c r="AD53" s="33">
        <f>IFERROR(__xludf.DUMMYFUNCTION("""COMPUTED_VALUE"""),46304.0)</f>
        <v>46304</v>
      </c>
      <c r="AE53" s="6" t="str">
        <f>IFERROR(__xludf.DUMMYFUNCTION("""COMPUTED_VALUE"""),"Akan Habis")</f>
        <v>Akan Habis</v>
      </c>
      <c r="AF53" s="6" t="str">
        <f>IFERROR(__xludf.DUMMYFUNCTION("""COMPUTED_VALUE"""),"TUGU (MANDIRI)")</f>
        <v>TUGU (MANDIRI)</v>
      </c>
      <c r="AG53" s="6" t="str">
        <f>IFERROR(__xludf.DUMMYFUNCTION("""COMPUTED_VALUE"""),"AKTIF ")</f>
        <v>AKTIF 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hidden="1">
      <c r="A54" s="6">
        <f>IFERROR(__xludf.DUMMYFUNCTION("""COMPUTED_VALUE"""),72.0)</f>
        <v>72</v>
      </c>
      <c r="B54" s="6" t="str">
        <f>IFERROR(__xludf.DUMMYFUNCTION("""COMPUTED_VALUE"""),"AD8603OH")</f>
        <v>AD8603OH</v>
      </c>
      <c r="C54" s="6" t="str">
        <f>IFERROR(__xludf.DUMMYFUNCTION("""COMPUTED_VALUE"""),"8+8+8")</f>
        <v>8+8+8</v>
      </c>
      <c r="D54" s="6">
        <f>IFERROR(__xludf.DUMMYFUNCTION("""COMPUTED_VALUE"""),24.0)</f>
        <v>24</v>
      </c>
      <c r="E54" s="6" t="str">
        <f>IFERROR(__xludf.DUMMYFUNCTION("""COMPUTED_VALUE"""),"PT. KARYAMAS NIAGA MANUNGGAL JAYA")</f>
        <v>PT. KARYAMAS NIAGA MANUNGGAL JAYA</v>
      </c>
      <c r="F54" s="6">
        <f>IFERROR(__xludf.DUMMYFUNCTION("""COMPUTED_VALUE"""),2024.0)</f>
        <v>2024</v>
      </c>
      <c r="G54" s="6">
        <f>IFERROR(__xludf.DUMMYFUNCTION("""COMPUTED_VALUE"""),2025.0)</f>
        <v>2025</v>
      </c>
      <c r="H54" s="6">
        <f>IFERROR(__xludf.DUMMYFUNCTION("""COMPUTED_VALUE"""),2.0)</f>
        <v>2</v>
      </c>
      <c r="I54" s="6" t="str">
        <f>IFERROR(__xludf.DUMMYFUNCTION("""COMPUTED_VALUE"""),"GVR34U-JDYIN4")</f>
        <v>GVR34U-JDYIN4</v>
      </c>
      <c r="J54" s="6">
        <f>IFERROR(__xludf.DUMMYFUNCTION("""COMPUTED_VALUE"""),7790.0)</f>
        <v>7790</v>
      </c>
      <c r="K54" s="6" t="str">
        <f>IFERROR(__xludf.DUMMYFUNCTION("""COMPUTED_VALUE"""),"EURO 4")</f>
        <v>EURO 4</v>
      </c>
      <c r="L54" s="6" t="str">
        <f>IFERROR(__xludf.DUMMYFUNCTION("""COMPUTED_VALUE"""),"Standart")</f>
        <v>Standart</v>
      </c>
      <c r="M54" s="6" t="str">
        <f>IFERROR(__xludf.DUMMYFUNCTION("""COMPUTED_VALUE"""),"Antika Raya")</f>
        <v>Antika Raya</v>
      </c>
      <c r="N54" s="6">
        <f>IFERROR(__xludf.DUMMYFUNCTION("""COMPUTED_VALUE"""),2025.0)</f>
        <v>2025</v>
      </c>
      <c r="O54" s="6">
        <f>IFERROR(__xludf.DUMMYFUNCTION("""COMPUTED_VALUE"""),1.0)</f>
        <v>1</v>
      </c>
      <c r="P54" s="6" t="str">
        <f>IFERROR(__xludf.DUMMYFUNCTION("""COMPUTED_VALUE"""),"AA")</f>
        <v>AA</v>
      </c>
      <c r="Q54" s="6" t="str">
        <f>IFERROR(__xludf.DUMMYFUNCTION("""COMPUTED_VALUE"""),"ISUZU")</f>
        <v>ISUZU</v>
      </c>
      <c r="R54" s="6" t="str">
        <f>IFERROR(__xludf.DUMMYFUNCTION("""COMPUTED_VALUE"""),"6HK1F110090")</f>
        <v>6HK1F110090</v>
      </c>
      <c r="S54" s="6" t="str">
        <f>IFERROR(__xludf.DUMMYFUNCTION("""COMPUTED_VALUE"""),"MHCGVR34JRJ002409")</f>
        <v>MHCGVR34JRJ002409</v>
      </c>
      <c r="T54" s="31">
        <f>IFERROR(__xludf.DUMMYFUNCTION("""COMPUTED_VALUE"""),47645.0)</f>
        <v>47645</v>
      </c>
      <c r="U54" s="6" t="str">
        <f>IFERROR(__xludf.DUMMYFUNCTION("""COMPUTED_VALUE"""),"Berlaku")</f>
        <v>Berlaku</v>
      </c>
      <c r="V54" s="31">
        <f>IFERROR(__xludf.DUMMYFUNCTION("""COMPUTED_VALUE"""),46549.0)</f>
        <v>46549</v>
      </c>
      <c r="W54" s="6" t="str">
        <f>IFERROR(__xludf.DUMMYFUNCTION("""COMPUTED_VALUE"""),"Berlaku")</f>
        <v>Berlaku</v>
      </c>
      <c r="X54" s="31">
        <f>IFERROR(__xludf.DUMMYFUNCTION("""COMPUTED_VALUE"""),46364.0)</f>
        <v>46364</v>
      </c>
      <c r="Y54" s="6" t="str">
        <f>IFERROR(__xludf.DUMMYFUNCTION("""COMPUTED_VALUE"""),"Berlaku")</f>
        <v>Berlaku</v>
      </c>
      <c r="Z54" s="31">
        <f>IFERROR(__xludf.DUMMYFUNCTION("""COMPUTED_VALUE"""),46364.0)</f>
        <v>46364</v>
      </c>
      <c r="AA54" s="6" t="str">
        <f>IFERROR(__xludf.DUMMYFUNCTION("""COMPUTED_VALUE"""),"Berlaku")</f>
        <v>Berlaku</v>
      </c>
      <c r="AB54" s="31">
        <f>IFERROR(__xludf.DUMMYFUNCTION("""COMPUTED_VALUE"""),46576.0)</f>
        <v>46576</v>
      </c>
      <c r="AC54" s="6" t="str">
        <f>IFERROR(__xludf.DUMMYFUNCTION("""COMPUTED_VALUE"""),"Berlaku")</f>
        <v>Berlaku</v>
      </c>
      <c r="AD54" s="33">
        <f>IFERROR(__xludf.DUMMYFUNCTION("""COMPUTED_VALUE"""),46304.0)</f>
        <v>46304</v>
      </c>
      <c r="AE54" s="6" t="str">
        <f>IFERROR(__xludf.DUMMYFUNCTION("""COMPUTED_VALUE"""),"Akan Habis")</f>
        <v>Akan Habis</v>
      </c>
      <c r="AF54" s="6" t="str">
        <f>IFERROR(__xludf.DUMMYFUNCTION("""COMPUTED_VALUE"""),"SUNDAY (MANDIRI)")</f>
        <v>SUNDAY (MANDIRI)</v>
      </c>
      <c r="AG54" s="6" t="str">
        <f>IFERROR(__xludf.DUMMYFUNCTION("""COMPUTED_VALUE"""),"AKTIF ")</f>
        <v>AKTIF 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hidden="1">
      <c r="A55" s="6">
        <f>IFERROR(__xludf.DUMMYFUNCTION("""COMPUTED_VALUE"""),74.0)</f>
        <v>74</v>
      </c>
      <c r="B55" s="6" t="str">
        <f>IFERROR(__xludf.DUMMYFUNCTION("""COMPUTED_VALUE"""),"B9022SFV")</f>
        <v>B9022SFV</v>
      </c>
      <c r="C55" s="6" t="str">
        <f>IFERROR(__xludf.DUMMYFUNCTION("""COMPUTED_VALUE"""),"8+8")</f>
        <v>8+8</v>
      </c>
      <c r="D55" s="6">
        <f>IFERROR(__xludf.DUMMYFUNCTION("""COMPUTED_VALUE"""),16.0)</f>
        <v>16</v>
      </c>
      <c r="E55" s="6" t="str">
        <f>IFERROR(__xludf.DUMMYFUNCTION("""COMPUTED_VALUE"""),"PT. PERTAMINA PATRA NIAGA")</f>
        <v>PT. PERTAMINA PATRA NIAGA</v>
      </c>
      <c r="F55" s="6">
        <f>IFERROR(__xludf.DUMMYFUNCTION("""COMPUTED_VALUE"""),2017.0)</f>
        <v>2017</v>
      </c>
      <c r="G55" s="6">
        <f>IFERROR(__xludf.DUMMYFUNCTION("""COMPUTED_VALUE"""),2018.0)</f>
        <v>2018</v>
      </c>
      <c r="H55" s="6">
        <f>IFERROR(__xludf.DUMMYFUNCTION("""COMPUTED_VALUE"""),9.0)</f>
        <v>9</v>
      </c>
      <c r="I55" s="6" t="str">
        <f>IFERROR(__xludf.DUMMYFUNCTION("""COMPUTED_VALUE"""),"FL8JN1A-BGJ")</f>
        <v>FL8JN1A-BGJ</v>
      </c>
      <c r="J55" s="6">
        <f>IFERROR(__xludf.DUMMYFUNCTION("""COMPUTED_VALUE"""),7684.0)</f>
        <v>7684</v>
      </c>
      <c r="K55" s="6" t="str">
        <f>IFERROR(__xludf.DUMMYFUNCTION("""COMPUTED_VALUE"""),"EURO 2")</f>
        <v>EURO 2</v>
      </c>
      <c r="L55" s="6" t="str">
        <f>IFERROR(__xludf.DUMMYFUNCTION("""COMPUTED_VALUE"""),"PTO")</f>
        <v>PTO</v>
      </c>
      <c r="M55" s="6" t="str">
        <f>IFERROR(__xludf.DUMMYFUNCTION("""COMPUTED_VALUE"""),"Geluran Adikarya")</f>
        <v>Geluran Adikarya</v>
      </c>
      <c r="N55" s="6">
        <f>IFERROR(__xludf.DUMMYFUNCTION("""COMPUTED_VALUE"""),2017.0)</f>
        <v>2017</v>
      </c>
      <c r="O55" s="6">
        <f>IFERROR(__xludf.DUMMYFUNCTION("""COMPUTED_VALUE"""),9.0)</f>
        <v>9</v>
      </c>
      <c r="P55" s="6" t="str">
        <f>IFERROR(__xludf.DUMMYFUNCTION("""COMPUTED_VALUE"""),"CS")</f>
        <v>CS</v>
      </c>
      <c r="Q55" s="6" t="str">
        <f>IFERROR(__xludf.DUMMYFUNCTION("""COMPUTED_VALUE"""),"HINO")</f>
        <v>HINO</v>
      </c>
      <c r="R55" s="6" t="str">
        <f>IFERROR(__xludf.DUMMYFUNCTION("""COMPUTED_VALUE"""),"Jo8EUGJ59273")</f>
        <v>Jo8EUGJ59273</v>
      </c>
      <c r="S55" s="6" t="str">
        <f>IFERROR(__xludf.DUMMYFUNCTION("""COMPUTED_VALUE"""),"MJEFL8JN1HJB10879")</f>
        <v>MJEFL8JN1HJB10879</v>
      </c>
      <c r="T55" s="31">
        <f>IFERROR(__xludf.DUMMYFUNCTION("""COMPUTED_VALUE"""),46831.0)</f>
        <v>46831</v>
      </c>
      <c r="U55" s="6" t="str">
        <f>IFERROR(__xludf.DUMMYFUNCTION("""COMPUTED_VALUE"""),"Berlaku")</f>
        <v>Berlaku</v>
      </c>
      <c r="V55" s="31">
        <f>IFERROR(__xludf.DUMMYFUNCTION("""COMPUTED_VALUE"""),46465.0)</f>
        <v>46465</v>
      </c>
      <c r="W55" s="6" t="str">
        <f>IFERROR(__xludf.DUMMYFUNCTION("""COMPUTED_VALUE"""),"Berlaku")</f>
        <v>Berlaku</v>
      </c>
      <c r="X55" s="31"/>
      <c r="Y55" s="6" t="str">
        <f>IFERROR(__xludf.DUMMYFUNCTION("""COMPUTED_VALUE"""),"Habis")</f>
        <v>Habis</v>
      </c>
      <c r="Z55" s="31">
        <f>IFERROR(__xludf.DUMMYFUNCTION("""COMPUTED_VALUE"""),46338.0)</f>
        <v>46338</v>
      </c>
      <c r="AA55" s="6" t="str">
        <f>IFERROR(__xludf.DUMMYFUNCTION("""COMPUTED_VALUE"""),"Berlaku")</f>
        <v>Berlaku</v>
      </c>
      <c r="AB55" s="31">
        <f>IFERROR(__xludf.DUMMYFUNCTION("""COMPUTED_VALUE"""),46436.0)</f>
        <v>46436</v>
      </c>
      <c r="AC55" s="6" t="str">
        <f>IFERROR(__xludf.DUMMYFUNCTION("""COMPUTED_VALUE"""),"Berlaku")</f>
        <v>Berlaku</v>
      </c>
      <c r="AD55" s="33">
        <f>IFERROR(__xludf.DUMMYFUNCTION("""COMPUTED_VALUE"""),46360.0)</f>
        <v>46360</v>
      </c>
      <c r="AE55" s="6" t="str">
        <f>IFERROR(__xludf.DUMMYFUNCTION("""COMPUTED_VALUE"""),"Berlaku")</f>
        <v>Berlaku</v>
      </c>
      <c r="AF55" s="6" t="str">
        <f>IFERROR(__xludf.DUMMYFUNCTION("""COMPUTED_VALUE"""),"TUGU")</f>
        <v>TUGU</v>
      </c>
      <c r="AG55" s="6" t="str">
        <f>IFERROR(__xludf.DUMMYFUNCTION("""COMPUTED_VALUE"""),"AKTIF ")</f>
        <v>AKTIF 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hidden="1">
      <c r="A56" s="6">
        <f>IFERROR(__xludf.DUMMYFUNCTION("""COMPUTED_VALUE"""),75.0)</f>
        <v>75</v>
      </c>
      <c r="B56" s="6" t="str">
        <f>IFERROR(__xludf.DUMMYFUNCTION("""COMPUTED_VALUE"""),"B9077SEI")</f>
        <v>B9077SEI</v>
      </c>
      <c r="C56" s="6" t="str">
        <f>IFERROR(__xludf.DUMMYFUNCTION("""COMPUTED_VALUE"""),"8+8+8")</f>
        <v>8+8+8</v>
      </c>
      <c r="D56" s="6">
        <f>IFERROR(__xludf.DUMMYFUNCTION("""COMPUTED_VALUE"""),24.0)</f>
        <v>24</v>
      </c>
      <c r="E56" s="6" t="str">
        <f>IFERROR(__xludf.DUMMYFUNCTION("""COMPUTED_VALUE"""),"PT. PERTAMINA PATRA NIAGA")</f>
        <v>PT. PERTAMINA PATRA NIAGA</v>
      </c>
      <c r="F56" s="6">
        <f>IFERROR(__xludf.DUMMYFUNCTION("""COMPUTED_VALUE"""),2019.0)</f>
        <v>2019</v>
      </c>
      <c r="G56" s="6">
        <f>IFERROR(__xludf.DUMMYFUNCTION("""COMPUTED_VALUE"""),2019.0)</f>
        <v>2019</v>
      </c>
      <c r="H56" s="6">
        <f>IFERROR(__xludf.DUMMYFUNCTION("""COMPUTED_VALUE"""),7.0)</f>
        <v>7</v>
      </c>
      <c r="I56" s="6" t="str">
        <f>IFERROR(__xludf.DUMMYFUNCTION("""COMPUTED_VALUE"""),"4028 T4X2 MT")</f>
        <v>4028 T4X2 MT</v>
      </c>
      <c r="J56" s="6">
        <f>IFERROR(__xludf.DUMMYFUNCTION("""COMPUTED_VALUE"""),6374.0)</f>
        <v>6374</v>
      </c>
      <c r="K56" s="6" t="str">
        <f>IFERROR(__xludf.DUMMYFUNCTION("""COMPUTED_VALUE"""),"EURO 4")</f>
        <v>EURO 4</v>
      </c>
      <c r="L56" s="6" t="str">
        <f>IFERROR(__xludf.DUMMYFUNCTION("""COMPUTED_VALUE"""),"Standart")</f>
        <v>Standart</v>
      </c>
      <c r="M56" s="6" t="str">
        <f>IFERROR(__xludf.DUMMYFUNCTION("""COMPUTED_VALUE"""),"Geluran Adikarya")</f>
        <v>Geluran Adikarya</v>
      </c>
      <c r="N56" s="6">
        <f>IFERROR(__xludf.DUMMYFUNCTION("""COMPUTED_VALUE"""),2019.0)</f>
        <v>2019</v>
      </c>
      <c r="O56" s="6">
        <f>IFERROR(__xludf.DUMMYFUNCTION("""COMPUTED_VALUE"""),7.0)</f>
        <v>7</v>
      </c>
      <c r="P56" s="6" t="str">
        <f>IFERROR(__xludf.DUMMYFUNCTION("""COMPUTED_VALUE"""),"AA")</f>
        <v>AA</v>
      </c>
      <c r="Q56" s="6" t="str">
        <f>IFERROR(__xludf.DUMMYFUNCTION("""COMPUTED_VALUE"""),"MERCEDES BENZ")</f>
        <v>MERCEDES BENZ</v>
      </c>
      <c r="R56" s="6" t="str">
        <f>IFERROR(__xludf.DUMMYFUNCTION("""COMPUTED_VALUE"""),"400951D0082705")</f>
        <v>400951D0082705</v>
      </c>
      <c r="S56" s="6" t="str">
        <f>IFERROR(__xludf.DUMMYFUNCTION("""COMPUTED_VALUE"""),"MEC2622CBKP082115")</f>
        <v>MEC2622CBKP082115</v>
      </c>
      <c r="T56" s="31">
        <f>IFERROR(__xludf.DUMMYFUNCTION("""COMPUTED_VALUE"""),47402.0)</f>
        <v>47402</v>
      </c>
      <c r="U56" s="6" t="str">
        <f>IFERROR(__xludf.DUMMYFUNCTION("""COMPUTED_VALUE"""),"Berlaku")</f>
        <v>Berlaku</v>
      </c>
      <c r="V56" s="31">
        <f>IFERROR(__xludf.DUMMYFUNCTION("""COMPUTED_VALUE"""),46306.0)</f>
        <v>46306</v>
      </c>
      <c r="W56" s="6" t="str">
        <f>IFERROR(__xludf.DUMMYFUNCTION("""COMPUTED_VALUE"""),"Akan Habis")</f>
        <v>Akan Habis</v>
      </c>
      <c r="X56" s="31">
        <f>IFERROR(__xludf.DUMMYFUNCTION("""COMPUTED_VALUE"""),46355.0)</f>
        <v>46355</v>
      </c>
      <c r="Y56" s="6" t="str">
        <f>IFERROR(__xludf.DUMMYFUNCTION("""COMPUTED_VALUE"""),"Berlaku")</f>
        <v>Berlaku</v>
      </c>
      <c r="Z56" s="31">
        <f>IFERROR(__xludf.DUMMYFUNCTION("""COMPUTED_VALUE"""),46279.0)</f>
        <v>46279</v>
      </c>
      <c r="AA56" s="6" t="str">
        <f>IFERROR(__xludf.DUMMYFUNCTION("""COMPUTED_VALUE"""),"Habis")</f>
        <v>Habis</v>
      </c>
      <c r="AB56" s="31">
        <f>IFERROR(__xludf.DUMMYFUNCTION("""COMPUTED_VALUE"""),46815.0)</f>
        <v>46815</v>
      </c>
      <c r="AC56" s="6" t="str">
        <f>IFERROR(__xludf.DUMMYFUNCTION("""COMPUTED_VALUE"""),"Berlaku")</f>
        <v>Berlaku</v>
      </c>
      <c r="AD56" s="33">
        <f>IFERROR(__xludf.DUMMYFUNCTION("""COMPUTED_VALUE"""),46302.0)</f>
        <v>46302</v>
      </c>
      <c r="AE56" s="6" t="str">
        <f>IFERROR(__xludf.DUMMYFUNCTION("""COMPUTED_VALUE"""),"Habis dalam 7-1 Hari")</f>
        <v>Habis dalam 7-1 Hari</v>
      </c>
      <c r="AF56" s="6" t="str">
        <f>IFERROR(__xludf.DUMMYFUNCTION("""COMPUTED_VALUE"""),"TUGU")</f>
        <v>TUGU</v>
      </c>
      <c r="AG56" s="6" t="str">
        <f>IFERROR(__xludf.DUMMYFUNCTION("""COMPUTED_VALUE"""),"AKTIF ")</f>
        <v>AKTIF 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hidden="1">
      <c r="A57" s="6">
        <f>IFERROR(__xludf.DUMMYFUNCTION("""COMPUTED_VALUE"""),76.0)</f>
        <v>76</v>
      </c>
      <c r="B57" s="6" t="str">
        <f>IFERROR(__xludf.DUMMYFUNCTION("""COMPUTED_VALUE"""),"B9223SFV")</f>
        <v>B9223SFV</v>
      </c>
      <c r="C57" s="6" t="str">
        <f>IFERROR(__xludf.DUMMYFUNCTION("""COMPUTED_VALUE"""),"8+8")</f>
        <v>8+8</v>
      </c>
      <c r="D57" s="6">
        <f>IFERROR(__xludf.DUMMYFUNCTION("""COMPUTED_VALUE"""),16.0)</f>
        <v>16</v>
      </c>
      <c r="E57" s="6" t="str">
        <f>IFERROR(__xludf.DUMMYFUNCTION("""COMPUTED_VALUE"""),"PT. PERTAMINA PATRA NIAGA")</f>
        <v>PT. PERTAMINA PATRA NIAGA</v>
      </c>
      <c r="F57" s="6">
        <f>IFERROR(__xludf.DUMMYFUNCTION("""COMPUTED_VALUE"""),2019.0)</f>
        <v>2019</v>
      </c>
      <c r="G57" s="6">
        <f>IFERROR(__xludf.DUMMYFUNCTION("""COMPUTED_VALUE"""),2019.0)</f>
        <v>2019</v>
      </c>
      <c r="H57" s="6">
        <f>IFERROR(__xludf.DUMMYFUNCTION("""COMPUTED_VALUE"""),7.0)</f>
        <v>7</v>
      </c>
      <c r="I57" s="6" t="str">
        <f>IFERROR(__xludf.DUMMYFUNCTION("""COMPUTED_VALUE"""),"CDE250 6X2R WB4300MM")</f>
        <v>CDE250 6X2R WB4300MM</v>
      </c>
      <c r="J57" s="6">
        <f>IFERROR(__xludf.DUMMYFUNCTION("""COMPUTED_VALUE"""),7698.0)</f>
        <v>7698</v>
      </c>
      <c r="K57" s="6" t="str">
        <f>IFERROR(__xludf.DUMMYFUNCTION("""COMPUTED_VALUE"""),"EURO 4")</f>
        <v>EURO 4</v>
      </c>
      <c r="L57" s="6" t="str">
        <f>IFERROR(__xludf.DUMMYFUNCTION("""COMPUTED_VALUE"""),"Standart")</f>
        <v>Standart</v>
      </c>
      <c r="M57" s="6" t="str">
        <f>IFERROR(__xludf.DUMMYFUNCTION("""COMPUTED_VALUE"""),"Aweco")</f>
        <v>Aweco</v>
      </c>
      <c r="N57" s="6">
        <f>IFERROR(__xludf.DUMMYFUNCTION("""COMPUTED_VALUE"""),2019.0)</f>
        <v>2019</v>
      </c>
      <c r="O57" s="6">
        <f>IFERROR(__xludf.DUMMYFUNCTION("""COMPUTED_VALUE"""),7.0)</f>
        <v>7</v>
      </c>
      <c r="P57" s="6" t="str">
        <f>IFERROR(__xludf.DUMMYFUNCTION("""COMPUTED_VALUE"""),"CS")</f>
        <v>CS</v>
      </c>
      <c r="Q57" s="6" t="str">
        <f>IFERROR(__xludf.DUMMYFUNCTION("""COMPUTED_VALUE"""),"UD TRUCKS")</f>
        <v>UD TRUCKS</v>
      </c>
      <c r="R57" s="6" t="str">
        <f>IFERROR(__xludf.DUMMYFUNCTION("""COMPUTED_VALUE"""),"GH8502917A1P")</f>
        <v>GH8502917A1P</v>
      </c>
      <c r="S57" s="6" t="str">
        <f>IFERROR(__xludf.DUMMYFUNCTION("""COMPUTED_VALUE"""),"MHHCDX22GKK810812")</f>
        <v>MHHCDX22GKK810812</v>
      </c>
      <c r="T57" s="31">
        <f>IFERROR(__xludf.DUMMYFUNCTION("""COMPUTED_VALUE"""),47396.0)</f>
        <v>47396</v>
      </c>
      <c r="U57" s="6" t="str">
        <f>IFERROR(__xludf.DUMMYFUNCTION("""COMPUTED_VALUE"""),"Berlaku")</f>
        <v>Berlaku</v>
      </c>
      <c r="V57" s="31">
        <f>IFERROR(__xludf.DUMMYFUNCTION("""COMPUTED_VALUE"""),46300.0)</f>
        <v>46300</v>
      </c>
      <c r="W57" s="6" t="str">
        <f>IFERROR(__xludf.DUMMYFUNCTION("""COMPUTED_VALUE"""),"Habis dalam 7-1 Hari")</f>
        <v>Habis dalam 7-1 Hari</v>
      </c>
      <c r="X57" s="31"/>
      <c r="Y57" s="6" t="str">
        <f>IFERROR(__xludf.DUMMYFUNCTION("""COMPUTED_VALUE"""),"Habis")</f>
        <v>Habis</v>
      </c>
      <c r="Z57" s="31">
        <f>IFERROR(__xludf.DUMMYFUNCTION("""COMPUTED_VALUE"""),46460.0)</f>
        <v>46460</v>
      </c>
      <c r="AA57" s="6" t="str">
        <f>IFERROR(__xludf.DUMMYFUNCTION("""COMPUTED_VALUE"""),"Berlaku")</f>
        <v>Berlaku</v>
      </c>
      <c r="AB57" s="31">
        <f>IFERROR(__xludf.DUMMYFUNCTION("""COMPUTED_VALUE"""),46472.0)</f>
        <v>46472</v>
      </c>
      <c r="AC57" s="6" t="str">
        <f>IFERROR(__xludf.DUMMYFUNCTION("""COMPUTED_VALUE"""),"Berlaku")</f>
        <v>Berlaku</v>
      </c>
      <c r="AD57" s="33">
        <f>IFERROR(__xludf.DUMMYFUNCTION("""COMPUTED_VALUE"""),46302.0)</f>
        <v>46302</v>
      </c>
      <c r="AE57" s="6" t="str">
        <f>IFERROR(__xludf.DUMMYFUNCTION("""COMPUTED_VALUE"""),"Habis dalam 7-1 Hari")</f>
        <v>Habis dalam 7-1 Hari</v>
      </c>
      <c r="AF57" s="6" t="str">
        <f>IFERROR(__xludf.DUMMYFUNCTION("""COMPUTED_VALUE"""),"TUGU")</f>
        <v>TUGU</v>
      </c>
      <c r="AG57" s="6" t="str">
        <f>IFERROR(__xludf.DUMMYFUNCTION("""COMPUTED_VALUE"""),"AKTIF ")</f>
        <v>AKTIF </v>
      </c>
      <c r="AH57" s="6"/>
      <c r="AI57" s="6" t="str">
        <f>IFERROR(__xludf.DUMMYFUNCTION("""COMPUTED_VALUE"""),"MT Switching dari B9699SFV ke IT Panjang")</f>
        <v>MT Switching dari B9699SFV ke IT Panjang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hidden="1">
      <c r="A58" s="6">
        <f>IFERROR(__xludf.DUMMYFUNCTION("""COMPUTED_VALUE"""),77.0)</f>
        <v>77</v>
      </c>
      <c r="B58" s="6" t="str">
        <f>IFERROR(__xludf.DUMMYFUNCTION("""COMPUTED_VALUE"""),"B9106SEI")</f>
        <v>B9106SEI</v>
      </c>
      <c r="C58" s="6" t="str">
        <f>IFERROR(__xludf.DUMMYFUNCTION("""COMPUTED_VALUE"""),"8+8+8")</f>
        <v>8+8+8</v>
      </c>
      <c r="D58" s="6">
        <f>IFERROR(__xludf.DUMMYFUNCTION("""COMPUTED_VALUE"""),24.0)</f>
        <v>24</v>
      </c>
      <c r="E58" s="6" t="str">
        <f>IFERROR(__xludf.DUMMYFUNCTION("""COMPUTED_VALUE"""),"PT. PERTAMINA PATRA NIAGA")</f>
        <v>PT. PERTAMINA PATRA NIAGA</v>
      </c>
      <c r="F58" s="6">
        <f>IFERROR(__xludf.DUMMYFUNCTION("""COMPUTED_VALUE"""),2019.0)</f>
        <v>2019</v>
      </c>
      <c r="G58" s="6">
        <f>IFERROR(__xludf.DUMMYFUNCTION("""COMPUTED_VALUE"""),2019.0)</f>
        <v>2019</v>
      </c>
      <c r="H58" s="6">
        <f>IFERROR(__xludf.DUMMYFUNCTION("""COMPUTED_VALUE"""),7.0)</f>
        <v>7</v>
      </c>
      <c r="I58" s="6" t="str">
        <f>IFERROR(__xludf.DUMMYFUNCTION("""COMPUTED_VALUE"""),"4028 T")</f>
        <v>4028 T</v>
      </c>
      <c r="J58" s="6">
        <f>IFERROR(__xludf.DUMMYFUNCTION("""COMPUTED_VALUE"""),6374.0)</f>
        <v>6374</v>
      </c>
      <c r="K58" s="6" t="str">
        <f>IFERROR(__xludf.DUMMYFUNCTION("""COMPUTED_VALUE"""),"EURO 4")</f>
        <v>EURO 4</v>
      </c>
      <c r="L58" s="6" t="str">
        <f>IFERROR(__xludf.DUMMYFUNCTION("""COMPUTED_VALUE"""),"Standart")</f>
        <v>Standart</v>
      </c>
      <c r="M58" s="6" t="str">
        <f>IFERROR(__xludf.DUMMYFUNCTION("""COMPUTED_VALUE"""),"Geluran")</f>
        <v>Geluran</v>
      </c>
      <c r="N58" s="6">
        <f>IFERROR(__xludf.DUMMYFUNCTION("""COMPUTED_VALUE"""),2019.0)</f>
        <v>2019</v>
      </c>
      <c r="O58" s="6">
        <f>IFERROR(__xludf.DUMMYFUNCTION("""COMPUTED_VALUE"""),7.0)</f>
        <v>7</v>
      </c>
      <c r="P58" s="6" t="str">
        <f>IFERROR(__xludf.DUMMYFUNCTION("""COMPUTED_VALUE"""),"AA")</f>
        <v>AA</v>
      </c>
      <c r="Q58" s="6" t="str">
        <f>IFERROR(__xludf.DUMMYFUNCTION("""COMPUTED_VALUE"""),"MERCEDES BENZ")</f>
        <v>MERCEDES BENZ</v>
      </c>
      <c r="R58" s="6" t="str">
        <f>IFERROR(__xludf.DUMMYFUNCTION("""COMPUTED_VALUE"""),"400951D0081794")</f>
        <v>400951D0081794</v>
      </c>
      <c r="S58" s="6" t="str">
        <f>IFERROR(__xludf.DUMMYFUNCTION("""COMPUTED_VALUE"""),"MEC2622CBKP081282")</f>
        <v>MEC2622CBKP081282</v>
      </c>
      <c r="T58" s="31">
        <f>IFERROR(__xludf.DUMMYFUNCTION("""COMPUTED_VALUE"""),47405.0)</f>
        <v>47405</v>
      </c>
      <c r="U58" s="6" t="str">
        <f>IFERROR(__xludf.DUMMYFUNCTION("""COMPUTED_VALUE"""),"Berlaku")</f>
        <v>Berlaku</v>
      </c>
      <c r="V58" s="31">
        <f>IFERROR(__xludf.DUMMYFUNCTION("""COMPUTED_VALUE"""),46309.0)</f>
        <v>46309</v>
      </c>
      <c r="W58" s="6" t="str">
        <f>IFERROR(__xludf.DUMMYFUNCTION("""COMPUTED_VALUE"""),"Akan Habis")</f>
        <v>Akan Habis</v>
      </c>
      <c r="X58" s="31">
        <f>IFERROR(__xludf.DUMMYFUNCTION("""COMPUTED_VALUE"""),46276.0)</f>
        <v>46276</v>
      </c>
      <c r="Y58" s="6" t="str">
        <f>IFERROR(__xludf.DUMMYFUNCTION("""COMPUTED_VALUE"""),"Habis")</f>
        <v>Habis</v>
      </c>
      <c r="Z58" s="31">
        <f>IFERROR(__xludf.DUMMYFUNCTION("""COMPUTED_VALUE"""),46279.0)</f>
        <v>46279</v>
      </c>
      <c r="AA58" s="6" t="str">
        <f>IFERROR(__xludf.DUMMYFUNCTION("""COMPUTED_VALUE"""),"Habis")</f>
        <v>Habis</v>
      </c>
      <c r="AB58" s="31">
        <f>IFERROR(__xludf.DUMMYFUNCTION("""COMPUTED_VALUE"""),46599.0)</f>
        <v>46599</v>
      </c>
      <c r="AC58" s="6" t="str">
        <f>IFERROR(__xludf.DUMMYFUNCTION("""COMPUTED_VALUE"""),"Berlaku")</f>
        <v>Berlaku</v>
      </c>
      <c r="AD58" s="33">
        <f>IFERROR(__xludf.DUMMYFUNCTION("""COMPUTED_VALUE"""),46302.0)</f>
        <v>46302</v>
      </c>
      <c r="AE58" s="6" t="str">
        <f>IFERROR(__xludf.DUMMYFUNCTION("""COMPUTED_VALUE"""),"Habis dalam 7-1 Hari")</f>
        <v>Habis dalam 7-1 Hari</v>
      </c>
      <c r="AF58" s="6" t="str">
        <f>IFERROR(__xludf.DUMMYFUNCTION("""COMPUTED_VALUE"""),"TUGU")</f>
        <v>TUGU</v>
      </c>
      <c r="AG58" s="6" t="str">
        <f>IFERROR(__xludf.DUMMYFUNCTION("""COMPUTED_VALUE"""),"AKTIF ")</f>
        <v>AKTIF </v>
      </c>
      <c r="AH58" s="6"/>
      <c r="AI58" s="6" t="str">
        <f>IFERROR(__xludf.DUMMYFUNCTION("""COMPUTED_VALUE"""),"MT Switching dari B9774SFU dibawa ke IT Panjang")</f>
        <v>MT Switching dari B9774SFU dibawa ke IT Panjang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hidden="1">
      <c r="A59" s="6">
        <f>IFERROR(__xludf.DUMMYFUNCTION("""COMPUTED_VALUE"""),78.0)</f>
        <v>78</v>
      </c>
      <c r="B59" s="6" t="str">
        <f>IFERROR(__xludf.DUMMYFUNCTION("""COMPUTED_VALUE"""),"B9234SFV")</f>
        <v>B9234SFV</v>
      </c>
      <c r="C59" s="6" t="str">
        <f>IFERROR(__xludf.DUMMYFUNCTION("""COMPUTED_VALUE"""),"8+8")</f>
        <v>8+8</v>
      </c>
      <c r="D59" s="6">
        <f>IFERROR(__xludf.DUMMYFUNCTION("""COMPUTED_VALUE"""),16.0)</f>
        <v>16</v>
      </c>
      <c r="E59" s="6" t="str">
        <f>IFERROR(__xludf.DUMMYFUNCTION("""COMPUTED_VALUE"""),"PT. PERTAMINA PATRA NIAGA")</f>
        <v>PT. PERTAMINA PATRA NIAGA</v>
      </c>
      <c r="F59" s="6">
        <f>IFERROR(__xludf.DUMMYFUNCTION("""COMPUTED_VALUE"""),2019.0)</f>
        <v>2019</v>
      </c>
      <c r="G59" s="6">
        <f>IFERROR(__xludf.DUMMYFUNCTION("""COMPUTED_VALUE"""),2019.0)</f>
        <v>2019</v>
      </c>
      <c r="H59" s="6">
        <f>IFERROR(__xludf.DUMMYFUNCTION("""COMPUTED_VALUE"""),7.0)</f>
        <v>7</v>
      </c>
      <c r="I59" s="6" t="str">
        <f>IFERROR(__xludf.DUMMYFUNCTION("""COMPUTED_VALUE"""),"CDE250 6X2R WB4300MM")</f>
        <v>CDE250 6X2R WB4300MM</v>
      </c>
      <c r="J59" s="6">
        <f>IFERROR(__xludf.DUMMYFUNCTION("""COMPUTED_VALUE"""),7698.0)</f>
        <v>7698</v>
      </c>
      <c r="K59" s="6" t="str">
        <f>IFERROR(__xludf.DUMMYFUNCTION("""COMPUTED_VALUE"""),"EURO 2")</f>
        <v>EURO 2</v>
      </c>
      <c r="L59" s="6" t="str">
        <f>IFERROR(__xludf.DUMMYFUNCTION("""COMPUTED_VALUE"""),"Standart")</f>
        <v>Standart</v>
      </c>
      <c r="M59" s="6" t="str">
        <f>IFERROR(__xludf.DUMMYFUNCTION("""COMPUTED_VALUE"""),"Geluran Adikarya")</f>
        <v>Geluran Adikarya</v>
      </c>
      <c r="N59" s="6">
        <f>IFERROR(__xludf.DUMMYFUNCTION("""COMPUTED_VALUE"""),2019.0)</f>
        <v>2019</v>
      </c>
      <c r="O59" s="6">
        <f>IFERROR(__xludf.DUMMYFUNCTION("""COMPUTED_VALUE"""),7.0)</f>
        <v>7</v>
      </c>
      <c r="P59" s="6" t="str">
        <f>IFERROR(__xludf.DUMMYFUNCTION("""COMPUTED_VALUE"""),"CS")</f>
        <v>CS</v>
      </c>
      <c r="Q59" s="6" t="str">
        <f>IFERROR(__xludf.DUMMYFUNCTION("""COMPUTED_VALUE"""),"UD TRUCKS")</f>
        <v>UD TRUCKS</v>
      </c>
      <c r="R59" s="6" t="str">
        <f>IFERROR(__xludf.DUMMYFUNCTION("""COMPUTED_VALUE"""),"GH8502925A1P")</f>
        <v>GH8502925A1P</v>
      </c>
      <c r="S59" s="6" t="str">
        <f>IFERROR(__xludf.DUMMYFUNCTION("""COMPUTED_VALUE"""),"MHHCDX22GKK810796")</f>
        <v>MHHCDX22GKK810796</v>
      </c>
      <c r="T59" s="31">
        <f>IFERROR(__xludf.DUMMYFUNCTION("""COMPUTED_VALUE"""),47396.0)</f>
        <v>47396</v>
      </c>
      <c r="U59" s="6" t="str">
        <f>IFERROR(__xludf.DUMMYFUNCTION("""COMPUTED_VALUE"""),"Berlaku")</f>
        <v>Berlaku</v>
      </c>
      <c r="V59" s="31">
        <f>IFERROR(__xludf.DUMMYFUNCTION("""COMPUTED_VALUE"""),46300.0)</f>
        <v>46300</v>
      </c>
      <c r="W59" s="6" t="str">
        <f>IFERROR(__xludf.DUMMYFUNCTION("""COMPUTED_VALUE"""),"Habis dalam 7-1 Hari")</f>
        <v>Habis dalam 7-1 Hari</v>
      </c>
      <c r="X59" s="31"/>
      <c r="Y59" s="6" t="str">
        <f>IFERROR(__xludf.DUMMYFUNCTION("""COMPUTED_VALUE"""),"Habis")</f>
        <v>Habis</v>
      </c>
      <c r="Z59" s="31">
        <f>IFERROR(__xludf.DUMMYFUNCTION("""COMPUTED_VALUE"""),46277.0)</f>
        <v>46277</v>
      </c>
      <c r="AA59" s="6" t="str">
        <f>IFERROR(__xludf.DUMMYFUNCTION("""COMPUTED_VALUE"""),"Habis")</f>
        <v>Habis</v>
      </c>
      <c r="AB59" s="31">
        <f>IFERROR(__xludf.DUMMYFUNCTION("""COMPUTED_VALUE"""),46773.0)</f>
        <v>46773</v>
      </c>
      <c r="AC59" s="6" t="str">
        <f>IFERROR(__xludf.DUMMYFUNCTION("""COMPUTED_VALUE"""),"Berlaku")</f>
        <v>Berlaku</v>
      </c>
      <c r="AD59" s="33">
        <f>IFERROR(__xludf.DUMMYFUNCTION("""COMPUTED_VALUE"""),46302.0)</f>
        <v>46302</v>
      </c>
      <c r="AE59" s="6" t="str">
        <f>IFERROR(__xludf.DUMMYFUNCTION("""COMPUTED_VALUE"""),"Habis dalam 7-1 Hari")</f>
        <v>Habis dalam 7-1 Hari</v>
      </c>
      <c r="AF59" s="6" t="str">
        <f>IFERROR(__xludf.DUMMYFUNCTION("""COMPUTED_VALUE"""),"TUGU")</f>
        <v>TUGU</v>
      </c>
      <c r="AG59" s="6" t="str">
        <f>IFERROR(__xludf.DUMMYFUNCTION("""COMPUTED_VALUE"""),"AKTIF ")</f>
        <v>AKTIF 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hidden="1">
      <c r="A60" s="6">
        <f>IFERROR(__xludf.DUMMYFUNCTION("""COMPUTED_VALUE"""),79.0)</f>
        <v>79</v>
      </c>
      <c r="B60" s="6" t="str">
        <f>IFERROR(__xludf.DUMMYFUNCTION("""COMPUTED_VALUE"""),"B9246SFV")</f>
        <v>B9246SFV</v>
      </c>
      <c r="C60" s="6" t="str">
        <f>IFERROR(__xludf.DUMMYFUNCTION("""COMPUTED_VALUE"""),"8+8")</f>
        <v>8+8</v>
      </c>
      <c r="D60" s="6">
        <f>IFERROR(__xludf.DUMMYFUNCTION("""COMPUTED_VALUE"""),16.0)</f>
        <v>16</v>
      </c>
      <c r="E60" s="6" t="str">
        <f>IFERROR(__xludf.DUMMYFUNCTION("""COMPUTED_VALUE"""),"PT. PERTAMINA PATRA NIAGA")</f>
        <v>PT. PERTAMINA PATRA NIAGA</v>
      </c>
      <c r="F60" s="6">
        <f>IFERROR(__xludf.DUMMYFUNCTION("""COMPUTED_VALUE"""),2019.0)</f>
        <v>2019</v>
      </c>
      <c r="G60" s="6">
        <f>IFERROR(__xludf.DUMMYFUNCTION("""COMPUTED_VALUE"""),2019.0)</f>
        <v>2019</v>
      </c>
      <c r="H60" s="6">
        <f>IFERROR(__xludf.DUMMYFUNCTION("""COMPUTED_VALUE"""),7.0)</f>
        <v>7</v>
      </c>
      <c r="I60" s="6" t="str">
        <f>IFERROR(__xludf.DUMMYFUNCTION("""COMPUTED_VALUE"""),"CDE250 6X2R WB4300MM")</f>
        <v>CDE250 6X2R WB4300MM</v>
      </c>
      <c r="J60" s="6">
        <f>IFERROR(__xludf.DUMMYFUNCTION("""COMPUTED_VALUE"""),7698.0)</f>
        <v>7698</v>
      </c>
      <c r="K60" s="6" t="str">
        <f>IFERROR(__xludf.DUMMYFUNCTION("""COMPUTED_VALUE"""),"EURO 2")</f>
        <v>EURO 2</v>
      </c>
      <c r="L60" s="6" t="str">
        <f>IFERROR(__xludf.DUMMYFUNCTION("""COMPUTED_VALUE"""),"Standart")</f>
        <v>Standart</v>
      </c>
      <c r="M60" s="6" t="str">
        <f>IFERROR(__xludf.DUMMYFUNCTION("""COMPUTED_VALUE"""),"Geluran Adikarya")</f>
        <v>Geluran Adikarya</v>
      </c>
      <c r="N60" s="6">
        <f>IFERROR(__xludf.DUMMYFUNCTION("""COMPUTED_VALUE"""),2019.0)</f>
        <v>2019</v>
      </c>
      <c r="O60" s="6">
        <f>IFERROR(__xludf.DUMMYFUNCTION("""COMPUTED_VALUE"""),7.0)</f>
        <v>7</v>
      </c>
      <c r="P60" s="6" t="str">
        <f>IFERROR(__xludf.DUMMYFUNCTION("""COMPUTED_VALUE"""),"CS")</f>
        <v>CS</v>
      </c>
      <c r="Q60" s="6" t="str">
        <f>IFERROR(__xludf.DUMMYFUNCTION("""COMPUTED_VALUE"""),"UD TRUCKS")</f>
        <v>UD TRUCKS</v>
      </c>
      <c r="R60" s="6" t="str">
        <f>IFERROR(__xludf.DUMMYFUNCTION("""COMPUTED_VALUE"""),"GH8502901A1P")</f>
        <v>GH8502901A1P</v>
      </c>
      <c r="S60" s="6" t="str">
        <f>IFERROR(__xludf.DUMMYFUNCTION("""COMPUTED_VALUE"""),"MHHCDX22GKK810794")</f>
        <v>MHHCDX22GKK810794</v>
      </c>
      <c r="T60" s="31">
        <f>IFERROR(__xludf.DUMMYFUNCTION("""COMPUTED_VALUE"""),47396.0)</f>
        <v>47396</v>
      </c>
      <c r="U60" s="6" t="str">
        <f>IFERROR(__xludf.DUMMYFUNCTION("""COMPUTED_VALUE"""),"Berlaku")</f>
        <v>Berlaku</v>
      </c>
      <c r="V60" s="31">
        <f>IFERROR(__xludf.DUMMYFUNCTION("""COMPUTED_VALUE"""),46300.0)</f>
        <v>46300</v>
      </c>
      <c r="W60" s="6" t="str">
        <f>IFERROR(__xludf.DUMMYFUNCTION("""COMPUTED_VALUE"""),"Habis dalam 7-1 Hari")</f>
        <v>Habis dalam 7-1 Hari</v>
      </c>
      <c r="X60" s="31"/>
      <c r="Y60" s="6" t="str">
        <f>IFERROR(__xludf.DUMMYFUNCTION("""COMPUTED_VALUE"""),"Habis")</f>
        <v>Habis</v>
      </c>
      <c r="Z60" s="31">
        <f>IFERROR(__xludf.DUMMYFUNCTION("""COMPUTED_VALUE"""),46277.0)</f>
        <v>46277</v>
      </c>
      <c r="AA60" s="6" t="str">
        <f>IFERROR(__xludf.DUMMYFUNCTION("""COMPUTED_VALUE"""),"Habis")</f>
        <v>Habis</v>
      </c>
      <c r="AB60" s="31">
        <f>IFERROR(__xludf.DUMMYFUNCTION("""COMPUTED_VALUE"""),46443.0)</f>
        <v>46443</v>
      </c>
      <c r="AC60" s="6" t="str">
        <f>IFERROR(__xludf.DUMMYFUNCTION("""COMPUTED_VALUE"""),"Berlaku")</f>
        <v>Berlaku</v>
      </c>
      <c r="AD60" s="33">
        <f>IFERROR(__xludf.DUMMYFUNCTION("""COMPUTED_VALUE"""),46340.0)</f>
        <v>46340</v>
      </c>
      <c r="AE60" s="6" t="str">
        <f>IFERROR(__xludf.DUMMYFUNCTION("""COMPUTED_VALUE"""),"Berlaku")</f>
        <v>Berlaku</v>
      </c>
      <c r="AF60" s="6" t="str">
        <f>IFERROR(__xludf.DUMMYFUNCTION("""COMPUTED_VALUE"""),"TUGU")</f>
        <v>TUGU</v>
      </c>
      <c r="AG60" s="6" t="str">
        <f>IFERROR(__xludf.DUMMYFUNCTION("""COMPUTED_VALUE"""),"AKTIF ")</f>
        <v>AKTIF 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hidden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hidden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hidden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hidden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hidden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hidden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hidden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hidden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hidden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hidden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hidden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hidden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hidden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hidden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hidden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hidden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hidden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hidden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hidden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hidden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hidden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hidden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hidden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hidden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hidden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hidden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hidden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hidden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hidden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hidden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hidden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hidden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hidden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hidden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hidden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hidden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hidden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hidden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hidden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hidden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hidden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hidden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hidden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hidden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hidden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hidden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hidden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hidden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hidden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hidden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hidden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hidden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hidden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hidden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hidden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hidden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hidden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hidden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hidden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hidden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hidden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hidden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hidden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hidden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hidden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</row>
  </sheetData>
  <autoFilter ref="$B$2:$AG$125">
    <filterColumn colId="27">
      <filters>
        <filter val="Akan Habis"/>
      </filters>
    </filterColumn>
    <sortState ref="B2:AG125">
      <sortCondition ref="AD2:AD125"/>
      <sortCondition ref="X2:X125"/>
    </sortState>
  </autoFilter>
  <mergeCells count="1">
    <mergeCell ref="B1:AG1"/>
  </mergeCells>
  <conditionalFormatting sqref="U3:U110 W3:W123 Y3:Y129 AA3:AA114 AC3:AC114 AE3:AE114">
    <cfRule type="containsText" dxfId="0" priority="1" operator="containsText" text="Akan Habis">
      <formula>NOT(ISERROR(SEARCH(("Akan Habis"),(U3))))</formula>
    </cfRule>
  </conditionalFormatting>
  <conditionalFormatting sqref="U3:U110 W3:W123 Y3:Y129 AA3:AA114 AC3:AC114 AE3:AE114">
    <cfRule type="cellIs" dxfId="1" priority="2" operator="equal">
      <formula>"Habis"</formula>
    </cfRule>
  </conditionalFormatting>
  <conditionalFormatting sqref="U3:U110 W3:W123 Y3:Y129 AA3:AA114 AC3:AC114 AE3:AE114">
    <cfRule type="containsText" dxfId="2" priority="3" operator="containsText" text="Habis dalam 7-1 Hari">
      <formula>NOT(ISERROR(SEARCH(("Habis dalam 7-1 Hari"),(U3))))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5.38"/>
    <col customWidth="1" min="2" max="2" width="7.0"/>
    <col customWidth="1" min="3" max="4" width="7.5"/>
    <col customWidth="1" min="5" max="5" width="23.25"/>
    <col customWidth="1" min="6" max="8" width="8.63"/>
    <col customWidth="1" min="9" max="9" width="17.25"/>
    <col customWidth="1" min="10" max="12" width="8.63"/>
    <col customWidth="1" min="13" max="13" width="11.13"/>
    <col customWidth="1" min="14" max="16" width="8.63"/>
    <col customWidth="1" min="17" max="17" width="10.13"/>
    <col customWidth="1" min="18" max="18" width="15.5"/>
    <col customWidth="1" min="19" max="19" width="13.88"/>
    <col customWidth="1" min="20" max="20" width="11.63"/>
    <col customWidth="1" min="21" max="21" width="8.63"/>
    <col customWidth="1" min="22" max="22" width="11.75"/>
    <col customWidth="1" min="23" max="23" width="8.63"/>
    <col customWidth="1" min="24" max="24" width="11.0"/>
    <col customWidth="1" min="25" max="25" width="12.5"/>
    <col customWidth="1" min="27" max="27" width="12.5"/>
    <col customWidth="1" min="28" max="28" width="11.13"/>
    <col customWidth="1" min="29" max="29" width="12.5"/>
    <col customWidth="1" min="30" max="30" width="16.25"/>
    <col customWidth="1" min="31" max="31" width="7.13"/>
    <col customWidth="1" min="35" max="35" width="107.63"/>
    <col customWidth="1" min="36" max="36" width="3.5"/>
    <col customWidth="1" min="37" max="37" width="9.0"/>
    <col customWidth="1" min="38" max="38" width="6.5"/>
    <col customWidth="1" min="39" max="39" width="7.25"/>
    <col customWidth="1" min="40" max="40" width="7.88"/>
    <col customWidth="1" min="41" max="41" width="9.63"/>
  </cols>
  <sheetData>
    <row r="1">
      <c r="A1" s="8"/>
      <c r="B1" s="8"/>
      <c r="C1" s="8"/>
      <c r="D1" s="8"/>
      <c r="E1" s="8"/>
      <c r="F1" s="8" t="s">
        <v>7</v>
      </c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>
      <c r="A2" s="8"/>
      <c r="B2" s="8"/>
      <c r="C2" s="8"/>
      <c r="D2" s="8"/>
      <c r="E2" s="8"/>
      <c r="F2" s="8" t="s">
        <v>10</v>
      </c>
      <c r="AI2" s="18">
        <v>1.91755E-5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>
      <c r="A3" s="20"/>
      <c r="C3" s="21"/>
      <c r="D3" s="21"/>
      <c r="E3" s="21"/>
      <c r="F3" s="21"/>
      <c r="G3" s="21"/>
      <c r="H3" s="21"/>
      <c r="I3" s="2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AA3" s="25"/>
      <c r="AB3" s="25"/>
      <c r="AC3" s="25"/>
      <c r="AD3" s="25"/>
      <c r="AE3" s="25"/>
      <c r="AF3" s="25"/>
      <c r="AG3" s="25"/>
      <c r="AH3" s="25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ht="27.0" customHeight="1">
      <c r="A4" s="27">
        <v>2026.0</v>
      </c>
      <c r="B4" s="30"/>
      <c r="C4" s="21"/>
      <c r="D4" s="21"/>
      <c r="E4" s="21"/>
      <c r="F4" s="21"/>
      <c r="G4" s="21"/>
      <c r="H4" s="21"/>
      <c r="I4" s="23"/>
      <c r="J4" s="21"/>
      <c r="K4" s="21"/>
      <c r="L4" s="21"/>
      <c r="M4" s="21"/>
      <c r="N4" s="21"/>
      <c r="O4" s="21"/>
      <c r="P4" s="21"/>
      <c r="Q4" s="21"/>
      <c r="R4" s="21"/>
      <c r="S4" s="21"/>
      <c r="T4" s="32" t="s">
        <v>49</v>
      </c>
      <c r="U4" s="21"/>
      <c r="V4" s="32" t="s">
        <v>60</v>
      </c>
      <c r="W4" s="21"/>
      <c r="X4" s="32" t="s">
        <v>61</v>
      </c>
      <c r="Y4" s="21"/>
      <c r="Z4" s="32" t="s">
        <v>63</v>
      </c>
      <c r="AA4" s="25"/>
      <c r="AB4" s="32" t="s">
        <v>65</v>
      </c>
      <c r="AC4" s="25"/>
      <c r="AD4" s="32" t="s">
        <v>67</v>
      </c>
      <c r="AE4" s="25"/>
      <c r="AF4" s="25"/>
      <c r="AG4" s="25"/>
      <c r="AH4" s="25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ht="21.0" customHeight="1">
      <c r="A5" s="34"/>
      <c r="B5" s="34"/>
      <c r="C5" s="34"/>
      <c r="D5" s="34"/>
      <c r="E5" s="34"/>
      <c r="F5" s="34"/>
      <c r="G5" s="34"/>
      <c r="H5" s="34"/>
      <c r="I5" s="35"/>
      <c r="J5" s="34"/>
      <c r="K5" s="34"/>
      <c r="L5" s="34"/>
      <c r="M5" s="34"/>
      <c r="N5" s="34"/>
      <c r="O5" s="34"/>
      <c r="P5" s="34"/>
      <c r="Q5" s="34"/>
      <c r="R5" s="34"/>
      <c r="S5" s="34"/>
      <c r="T5" s="36" t="s">
        <v>82</v>
      </c>
      <c r="U5" s="37"/>
      <c r="V5" s="38" t="s">
        <v>90</v>
      </c>
      <c r="W5" s="37"/>
      <c r="X5" s="36" t="s">
        <v>96</v>
      </c>
      <c r="Y5" s="37"/>
      <c r="Z5" s="36" t="s">
        <v>99</v>
      </c>
      <c r="AA5" s="37"/>
      <c r="AB5" s="32"/>
      <c r="AC5" s="32"/>
      <c r="AD5" s="32"/>
      <c r="AE5" s="32"/>
      <c r="AF5" s="40"/>
      <c r="AG5" s="40"/>
      <c r="AH5" s="41" t="s">
        <v>107</v>
      </c>
      <c r="AI5" s="42" t="s">
        <v>112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ht="21.0" customHeight="1">
      <c r="A6" s="5" t="s">
        <v>2</v>
      </c>
      <c r="B6" s="7" t="s">
        <v>3</v>
      </c>
      <c r="C6" s="7" t="s">
        <v>5</v>
      </c>
      <c r="D6" s="7"/>
      <c r="E6" s="7" t="s">
        <v>4</v>
      </c>
      <c r="F6" s="43" t="s">
        <v>126</v>
      </c>
      <c r="G6" s="7" t="s">
        <v>128</v>
      </c>
      <c r="H6" s="43" t="s">
        <v>130</v>
      </c>
      <c r="I6" s="43" t="s">
        <v>131</v>
      </c>
      <c r="J6" s="45" t="s">
        <v>132</v>
      </c>
      <c r="K6" s="45" t="s">
        <v>136</v>
      </c>
      <c r="L6" s="45" t="s">
        <v>137</v>
      </c>
      <c r="M6" s="45" t="s">
        <v>138</v>
      </c>
      <c r="N6" s="45" t="s">
        <v>139</v>
      </c>
      <c r="O6" s="43" t="s">
        <v>140</v>
      </c>
      <c r="P6" s="43" t="s">
        <v>141</v>
      </c>
      <c r="Q6" s="7" t="s">
        <v>143</v>
      </c>
      <c r="R6" s="7" t="s">
        <v>144</v>
      </c>
      <c r="S6" s="7" t="s">
        <v>146</v>
      </c>
      <c r="T6" s="32" t="s">
        <v>49</v>
      </c>
      <c r="U6" s="32" t="s">
        <v>148</v>
      </c>
      <c r="V6" s="32" t="s">
        <v>60</v>
      </c>
      <c r="W6" s="32" t="s">
        <v>148</v>
      </c>
      <c r="X6" s="32" t="s">
        <v>61</v>
      </c>
      <c r="Y6" s="32" t="s">
        <v>148</v>
      </c>
      <c r="Z6" s="32" t="s">
        <v>63</v>
      </c>
      <c r="AA6" s="40" t="s">
        <v>148</v>
      </c>
      <c r="AB6" s="32" t="s">
        <v>65</v>
      </c>
      <c r="AC6" s="40" t="s">
        <v>148</v>
      </c>
      <c r="AD6" s="32" t="s">
        <v>67</v>
      </c>
      <c r="AE6" s="40" t="s">
        <v>148</v>
      </c>
      <c r="AF6" s="40" t="s">
        <v>151</v>
      </c>
      <c r="AG6" s="40" t="s">
        <v>148</v>
      </c>
      <c r="AH6" s="48"/>
      <c r="AI6" s="48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>
      <c r="A7" s="9">
        <v>1.0</v>
      </c>
      <c r="B7" s="10" t="s">
        <v>6</v>
      </c>
      <c r="C7" s="11" t="s">
        <v>153</v>
      </c>
      <c r="D7" s="11">
        <v>24.0</v>
      </c>
      <c r="E7" s="14" t="s">
        <v>8</v>
      </c>
      <c r="F7" s="11">
        <v>2016.0</v>
      </c>
      <c r="G7" s="11">
        <v>2016.0</v>
      </c>
      <c r="H7" s="11">
        <f>A4-F7</f>
        <v>10</v>
      </c>
      <c r="I7" s="51" t="s">
        <v>158</v>
      </c>
      <c r="J7" s="11">
        <v>7684.0</v>
      </c>
      <c r="K7" s="11" t="s">
        <v>159</v>
      </c>
      <c r="L7" s="11" t="s">
        <v>160</v>
      </c>
      <c r="M7" s="11" t="s">
        <v>161</v>
      </c>
      <c r="N7" s="11">
        <v>2016.0</v>
      </c>
      <c r="O7" s="11">
        <f>A4-N7</f>
        <v>10</v>
      </c>
      <c r="P7" s="11" t="s">
        <v>162</v>
      </c>
      <c r="Q7" s="11" t="s">
        <v>163</v>
      </c>
      <c r="R7" s="52" t="s">
        <v>164</v>
      </c>
      <c r="S7" s="52" t="s">
        <v>165</v>
      </c>
      <c r="T7" s="53">
        <f>VLOOKUP(B7,'Data aplikasi'!$A$2:$M$85,5,0)</f>
        <v>46383</v>
      </c>
      <c r="U7" s="54" t="str">
        <f t="shared" ref="U7:U89" si="1">IF(TODAY()&gt;=T7,"Habis",
 IF(TODAY()&gt;=T7-7,"Habis dalam 7-1 Hari",
 IF(TODAY()&gt;=T7-21,"Akan Habis",
 "Berlaku")))
</f>
        <v>Berlaku</v>
      </c>
      <c r="V7" s="53">
        <f>VLOOKUP(B7,'Data aplikasi'!$A$2:$M$85,6,0)</f>
        <v>46383</v>
      </c>
      <c r="W7" s="54" t="str">
        <f t="shared" ref="W7:W89" si="2">IF(TODAY()&gt;=V7,"Habis",
 IF(TODAY()&gt;=V7-7,"Habis dalam 7-1 Hari",
 IF(TODAY()&gt;=V7-50,"Akan Habis",
 "Berlaku")))</f>
        <v>Berlaku</v>
      </c>
      <c r="X7" s="53">
        <f>VLOOKUP(B7,'Data aplikasi'!$A$2:$M$85,8,0)</f>
        <v>46446</v>
      </c>
      <c r="Y7" s="54" t="str">
        <f t="shared" ref="Y7:Y89" si="3">IF(TODAY()&gt;=X7,"Habis",
 IF(TODAY()&gt;=X7-7,"Habis dalam 7-1 Hari",
 IF(TODAY()&gt;=X7-50,"Akan Habis",
 "Berlaku")))</f>
        <v>Berlaku</v>
      </c>
      <c r="Z7" s="53">
        <f>VLOOKUP(B7,'Data aplikasi'!$A$2:$M$85,9,0)</f>
        <v>46449</v>
      </c>
      <c r="AA7" s="54" t="str">
        <f t="shared" ref="AA7:AA89" si="4">IF(TODAY()&gt;=Z7,"Habis",
 IF(TODAY()&gt;=Z7-7,"Habis dalam 7-1 Hari",
 IF(TODAY()&gt;=Z7-21,"Akan Habis",
 "Berlaku")))
</f>
        <v>Berlaku</v>
      </c>
      <c r="AB7" s="53">
        <f>VLOOKUP(B7,'Data aplikasi'!$A$2:$M$85,10,0)</f>
        <v>46961</v>
      </c>
      <c r="AC7" s="54" t="str">
        <f t="shared" ref="AC7:AC89" si="5">IF(TODAY()&gt;=AB7,"Habis",
 IF(TODAY()&gt;=AB7-7,"Habis dalam 7-1 Hari",
 IF(TODAY()&gt;=AB7-65,"Akan Habis",
 "Berlaku")))</f>
        <v>Berlaku</v>
      </c>
      <c r="AD7" s="55">
        <f>VLOOKUP(B7,'Data aplikasi'!$A$2:$M$85,11,0)</f>
        <v>46340</v>
      </c>
      <c r="AE7" s="56" t="str">
        <f t="shared" ref="AE7:AE89" si="6">IF(TODAY()&gt;=AD7,"Habis",
 IF(TODAY()&gt;=AD7-7,"Habis dalam 7-1 Hari",
 IF(TODAY()&gt;=AD7-21,"Akan Habis",
 "Berlaku")))
</f>
        <v>Berlaku</v>
      </c>
      <c r="AF7" s="57" t="s">
        <v>166</v>
      </c>
      <c r="AG7" s="57" t="s">
        <v>167</v>
      </c>
      <c r="AH7" s="54"/>
      <c r="AI7" s="58"/>
      <c r="AJ7" s="59"/>
      <c r="AK7" s="60" t="s">
        <v>168</v>
      </c>
      <c r="AL7" s="61"/>
      <c r="AM7" s="61"/>
      <c r="AN7" s="62"/>
      <c r="AO7" s="63" t="s">
        <v>169</v>
      </c>
      <c r="AP7" s="62"/>
      <c r="AQ7" s="63" t="s">
        <v>170</v>
      </c>
      <c r="AR7" s="62"/>
      <c r="AS7" s="63" t="s">
        <v>171</v>
      </c>
      <c r="AT7" s="62"/>
      <c r="AU7" s="63" t="s">
        <v>172</v>
      </c>
      <c r="AV7" s="62"/>
      <c r="AW7" s="63" t="s">
        <v>173</v>
      </c>
      <c r="AX7" s="62"/>
    </row>
    <row r="8">
      <c r="A8" s="9">
        <v>2.0</v>
      </c>
      <c r="B8" s="10" t="s">
        <v>12</v>
      </c>
      <c r="C8" s="11" t="s">
        <v>153</v>
      </c>
      <c r="D8" s="11">
        <v>24.0</v>
      </c>
      <c r="E8" s="14" t="s">
        <v>8</v>
      </c>
      <c r="F8" s="11">
        <v>2016.0</v>
      </c>
      <c r="G8" s="11">
        <v>2016.0</v>
      </c>
      <c r="H8" s="11">
        <f>A4-F8</f>
        <v>10</v>
      </c>
      <c r="I8" s="51" t="s">
        <v>158</v>
      </c>
      <c r="J8" s="11">
        <v>7684.0</v>
      </c>
      <c r="K8" s="11" t="s">
        <v>159</v>
      </c>
      <c r="L8" s="11" t="s">
        <v>160</v>
      </c>
      <c r="M8" s="11" t="s">
        <v>161</v>
      </c>
      <c r="N8" s="11">
        <v>2016.0</v>
      </c>
      <c r="O8" s="11">
        <f>A4-N8</f>
        <v>10</v>
      </c>
      <c r="P8" s="11" t="s">
        <v>162</v>
      </c>
      <c r="Q8" s="11" t="s">
        <v>163</v>
      </c>
      <c r="R8" s="52" t="s">
        <v>174</v>
      </c>
      <c r="S8" s="52" t="s">
        <v>175</v>
      </c>
      <c r="T8" s="53">
        <f>VLOOKUP(B8,'Data aplikasi'!$A$2:$M$85,5,0)</f>
        <v>46383</v>
      </c>
      <c r="U8" s="54" t="str">
        <f t="shared" si="1"/>
        <v>Berlaku</v>
      </c>
      <c r="V8" s="53">
        <f>VLOOKUP(B8,'Data aplikasi'!$A$2:$M$85,6,0)</f>
        <v>46383</v>
      </c>
      <c r="W8" s="54" t="str">
        <f t="shared" si="2"/>
        <v>Berlaku</v>
      </c>
      <c r="X8" s="53">
        <f>VLOOKUP(B8,'Data aplikasi'!$A$2:$M$85,8,0)</f>
        <v>46446</v>
      </c>
      <c r="Y8" s="54" t="str">
        <f t="shared" si="3"/>
        <v>Berlaku</v>
      </c>
      <c r="Z8" s="53">
        <f>VLOOKUP(B8,'Data aplikasi'!$A$2:$M$85,9,0)</f>
        <v>46446</v>
      </c>
      <c r="AA8" s="54" t="str">
        <f t="shared" si="4"/>
        <v>Berlaku</v>
      </c>
      <c r="AB8" s="53">
        <f>VLOOKUP(B8,'Data aplikasi'!$A$2:$M$85,10,0)</f>
        <v>46977</v>
      </c>
      <c r="AC8" s="54" t="str">
        <f t="shared" si="5"/>
        <v>Berlaku</v>
      </c>
      <c r="AD8" s="55">
        <f>VLOOKUP(B8,'Data aplikasi'!$A$2:$M$85,11,0)</f>
        <v>46340</v>
      </c>
      <c r="AE8" s="56" t="str">
        <f t="shared" si="6"/>
        <v>Berlaku</v>
      </c>
      <c r="AF8" s="57" t="s">
        <v>166</v>
      </c>
      <c r="AG8" s="57" t="s">
        <v>167</v>
      </c>
      <c r="AH8" s="54"/>
      <c r="AI8" s="58"/>
      <c r="AJ8" s="59"/>
      <c r="AK8" s="66" t="s">
        <v>178</v>
      </c>
      <c r="AL8" s="68" t="s">
        <v>180</v>
      </c>
      <c r="AM8" s="70" t="s">
        <v>181</v>
      </c>
      <c r="AN8" s="62"/>
      <c r="AO8" s="68" t="s">
        <v>182</v>
      </c>
      <c r="AP8" s="68" t="s">
        <v>183</v>
      </c>
      <c r="AQ8" s="68" t="s">
        <v>182</v>
      </c>
      <c r="AR8" s="68" t="s">
        <v>183</v>
      </c>
      <c r="AS8" s="68" t="s">
        <v>182</v>
      </c>
      <c r="AT8" s="68" t="s">
        <v>183</v>
      </c>
      <c r="AU8" s="68" t="s">
        <v>182</v>
      </c>
      <c r="AV8" s="68" t="s">
        <v>183</v>
      </c>
      <c r="AW8" s="68" t="s">
        <v>182</v>
      </c>
      <c r="AX8" s="68" t="s">
        <v>183</v>
      </c>
    </row>
    <row r="9">
      <c r="A9" s="9">
        <v>3.0</v>
      </c>
      <c r="B9" s="10" t="s">
        <v>14</v>
      </c>
      <c r="C9" s="11" t="s">
        <v>153</v>
      </c>
      <c r="D9" s="11">
        <v>24.0</v>
      </c>
      <c r="E9" s="14" t="s">
        <v>8</v>
      </c>
      <c r="F9" s="11">
        <v>2016.0</v>
      </c>
      <c r="G9" s="11">
        <v>2017.0</v>
      </c>
      <c r="H9" s="11">
        <f>A4-F9</f>
        <v>10</v>
      </c>
      <c r="I9" s="51" t="s">
        <v>184</v>
      </c>
      <c r="J9" s="11">
        <v>7684.0</v>
      </c>
      <c r="K9" s="11" t="s">
        <v>159</v>
      </c>
      <c r="L9" s="11" t="s">
        <v>160</v>
      </c>
      <c r="M9" s="11" t="s">
        <v>161</v>
      </c>
      <c r="N9" s="11">
        <v>2016.0</v>
      </c>
      <c r="O9" s="11">
        <f>A4-N9</f>
        <v>10</v>
      </c>
      <c r="P9" s="11" t="s">
        <v>162</v>
      </c>
      <c r="Q9" s="11" t="s">
        <v>163</v>
      </c>
      <c r="R9" s="52" t="s">
        <v>186</v>
      </c>
      <c r="S9" s="52" t="s">
        <v>187</v>
      </c>
      <c r="T9" s="53">
        <f>VLOOKUP(B9,'Data aplikasi'!$A$2:$M$85,5,0)</f>
        <v>46417</v>
      </c>
      <c r="U9" s="54" t="str">
        <f t="shared" si="1"/>
        <v>Berlaku</v>
      </c>
      <c r="V9" s="53">
        <f>VLOOKUP(B9,'Data aplikasi'!$A$2:$M$85,6,0)</f>
        <v>46417</v>
      </c>
      <c r="W9" s="54" t="str">
        <f t="shared" si="2"/>
        <v>Berlaku</v>
      </c>
      <c r="X9" s="53">
        <f>VLOOKUP(B9,'Data aplikasi'!$A$2:$M$85,8,0)</f>
        <v>46446</v>
      </c>
      <c r="Y9" s="54" t="str">
        <f t="shared" si="3"/>
        <v>Berlaku</v>
      </c>
      <c r="Z9" s="53">
        <f>VLOOKUP(B9,'Data aplikasi'!$A$2:$M$85,9,0)</f>
        <v>46446</v>
      </c>
      <c r="AA9" s="54" t="str">
        <f t="shared" si="4"/>
        <v>Berlaku</v>
      </c>
      <c r="AB9" s="53">
        <f>VLOOKUP(B9,'Data aplikasi'!$A$2:$M$85,10,0)</f>
        <v>46409</v>
      </c>
      <c r="AC9" s="54" t="str">
        <f t="shared" si="5"/>
        <v>Berlaku</v>
      </c>
      <c r="AD9" s="55">
        <f>VLOOKUP(B9,'Data aplikasi'!$A$2:$M$85,11,0)</f>
        <v>46455</v>
      </c>
      <c r="AE9" s="56" t="str">
        <f t="shared" si="6"/>
        <v>Berlaku</v>
      </c>
      <c r="AF9" s="57" t="s">
        <v>166</v>
      </c>
      <c r="AG9" s="57" t="s">
        <v>167</v>
      </c>
      <c r="AH9" s="54"/>
      <c r="AI9" s="58"/>
      <c r="AJ9" s="59"/>
      <c r="AK9" s="76"/>
      <c r="AL9" s="78" t="s">
        <v>195</v>
      </c>
      <c r="AM9" s="80">
        <v>32.0</v>
      </c>
      <c r="AN9" s="62"/>
      <c r="AO9" s="82"/>
      <c r="AP9" s="84">
        <v>0.0</v>
      </c>
      <c r="AQ9" s="85"/>
      <c r="AR9" s="86">
        <v>0.0</v>
      </c>
      <c r="AS9" s="85"/>
      <c r="AT9" s="85"/>
      <c r="AU9" s="85"/>
      <c r="AV9" s="86">
        <v>0.0</v>
      </c>
      <c r="AW9" s="85"/>
      <c r="AX9" s="86">
        <v>0.0</v>
      </c>
    </row>
    <row r="10">
      <c r="A10" s="9">
        <v>4.0</v>
      </c>
      <c r="B10" s="10" t="s">
        <v>17</v>
      </c>
      <c r="C10" s="11" t="s">
        <v>153</v>
      </c>
      <c r="D10" s="11">
        <v>24.0</v>
      </c>
      <c r="E10" s="14" t="s">
        <v>8</v>
      </c>
      <c r="F10" s="11">
        <v>2018.0</v>
      </c>
      <c r="G10" s="11">
        <v>2018.0</v>
      </c>
      <c r="H10" s="11">
        <f>A4-F10</f>
        <v>8</v>
      </c>
      <c r="I10" s="51" t="s">
        <v>197</v>
      </c>
      <c r="J10" s="11">
        <v>7698.0</v>
      </c>
      <c r="K10" s="11" t="s">
        <v>159</v>
      </c>
      <c r="L10" s="11" t="s">
        <v>160</v>
      </c>
      <c r="M10" s="11" t="s">
        <v>161</v>
      </c>
      <c r="N10" s="11">
        <v>2018.0</v>
      </c>
      <c r="O10" s="11">
        <f>A4-N10</f>
        <v>8</v>
      </c>
      <c r="P10" s="11" t="s">
        <v>162</v>
      </c>
      <c r="Q10" s="11" t="s">
        <v>199</v>
      </c>
      <c r="R10" s="52" t="s">
        <v>200</v>
      </c>
      <c r="S10" s="52" t="s">
        <v>201</v>
      </c>
      <c r="T10" s="53">
        <f>VLOOKUP(B10,'Data aplikasi'!$A$2:$M$85,5,0)</f>
        <v>46903</v>
      </c>
      <c r="U10" s="54" t="str">
        <f t="shared" si="1"/>
        <v>Berlaku</v>
      </c>
      <c r="V10" s="53">
        <f>VLOOKUP(B10,'Data aplikasi'!$A$2:$M$85,6,0)</f>
        <v>46537</v>
      </c>
      <c r="W10" s="54" t="str">
        <f t="shared" si="2"/>
        <v>Berlaku</v>
      </c>
      <c r="X10" s="53">
        <f>VLOOKUP(B10,'Data aplikasi'!$A$2:$M$85,8,0)</f>
        <v>46416</v>
      </c>
      <c r="Y10" s="54" t="str">
        <f t="shared" si="3"/>
        <v>Berlaku</v>
      </c>
      <c r="Z10" s="53">
        <f>VLOOKUP(B10,'Data aplikasi'!$A$2:$M$85,9,0)</f>
        <v>46416</v>
      </c>
      <c r="AA10" s="54" t="str">
        <f t="shared" si="4"/>
        <v>Berlaku</v>
      </c>
      <c r="AB10" s="53">
        <f>VLOOKUP(B10,'Data aplikasi'!$A$2:$M$85,10,0)</f>
        <v>46506</v>
      </c>
      <c r="AC10" s="54" t="str">
        <f t="shared" si="5"/>
        <v>Berlaku</v>
      </c>
      <c r="AD10" s="55">
        <f>VLOOKUP(B10,'Data aplikasi'!$A$2:$M$85,11,0)</f>
        <v>46340</v>
      </c>
      <c r="AE10" s="56" t="str">
        <f t="shared" si="6"/>
        <v>Berlaku</v>
      </c>
      <c r="AF10" s="96" t="s">
        <v>203</v>
      </c>
      <c r="AG10" s="57" t="s">
        <v>167</v>
      </c>
      <c r="AH10" s="14"/>
      <c r="AI10" s="58"/>
      <c r="AJ10" s="59"/>
      <c r="AK10" s="76"/>
      <c r="AL10" s="68" t="s">
        <v>205</v>
      </c>
      <c r="AM10" s="70">
        <v>24.0</v>
      </c>
      <c r="AN10" s="62"/>
      <c r="AO10" s="99">
        <v>49.0</v>
      </c>
      <c r="AP10" s="84">
        <v>1176.0</v>
      </c>
      <c r="AQ10" s="100">
        <v>47.0</v>
      </c>
      <c r="AR10" s="86">
        <v>1128.0</v>
      </c>
      <c r="AS10" s="101"/>
      <c r="AT10" s="101"/>
      <c r="AU10" s="86">
        <v>5.0</v>
      </c>
      <c r="AV10" s="86">
        <f>AU10*24</f>
        <v>120</v>
      </c>
      <c r="AW10" s="102">
        <v>48.0</v>
      </c>
      <c r="AX10" s="86">
        <v>1152.0</v>
      </c>
    </row>
    <row r="11">
      <c r="A11" s="9">
        <v>5.0</v>
      </c>
      <c r="B11" s="10" t="s">
        <v>20</v>
      </c>
      <c r="C11" s="11" t="s">
        <v>153</v>
      </c>
      <c r="D11" s="11">
        <v>24.0</v>
      </c>
      <c r="E11" s="14" t="s">
        <v>8</v>
      </c>
      <c r="F11" s="11">
        <v>2018.0</v>
      </c>
      <c r="G11" s="11">
        <v>2018.0</v>
      </c>
      <c r="H11" s="11">
        <f>A4-F11</f>
        <v>8</v>
      </c>
      <c r="I11" s="51" t="s">
        <v>197</v>
      </c>
      <c r="J11" s="11">
        <v>7698.0</v>
      </c>
      <c r="K11" s="11" t="s">
        <v>159</v>
      </c>
      <c r="L11" s="11" t="s">
        <v>160</v>
      </c>
      <c r="M11" s="11" t="s">
        <v>161</v>
      </c>
      <c r="N11" s="11">
        <v>2018.0</v>
      </c>
      <c r="O11" s="11">
        <f>A4-N11</f>
        <v>8</v>
      </c>
      <c r="P11" s="11" t="s">
        <v>162</v>
      </c>
      <c r="Q11" s="11" t="s">
        <v>199</v>
      </c>
      <c r="R11" s="52" t="s">
        <v>210</v>
      </c>
      <c r="S11" s="52" t="s">
        <v>211</v>
      </c>
      <c r="T11" s="53">
        <f>VLOOKUP(B11,'Data aplikasi'!$A$2:$M$85,5,0)</f>
        <v>46903</v>
      </c>
      <c r="U11" s="54" t="str">
        <f t="shared" si="1"/>
        <v>Berlaku</v>
      </c>
      <c r="V11" s="53">
        <f>VLOOKUP(B11,'Data aplikasi'!$A$2:$M$85,6,0)</f>
        <v>46537</v>
      </c>
      <c r="W11" s="54" t="str">
        <f t="shared" si="2"/>
        <v>Berlaku</v>
      </c>
      <c r="X11" s="53">
        <f>VLOOKUP(B11,'Data aplikasi'!$A$2:$M$85,8,0)</f>
        <v>46437</v>
      </c>
      <c r="Y11" s="54" t="str">
        <f t="shared" si="3"/>
        <v>Berlaku</v>
      </c>
      <c r="Z11" s="53">
        <f>VLOOKUP(B11,'Data aplikasi'!$A$2:$M$85,9,0)</f>
        <v>46436</v>
      </c>
      <c r="AA11" s="54" t="str">
        <f t="shared" si="4"/>
        <v>Berlaku</v>
      </c>
      <c r="AB11" s="53">
        <f>VLOOKUP(B11,'Data aplikasi'!$A$2:$M$85,10,0)</f>
        <v>46922</v>
      </c>
      <c r="AC11" s="54" t="str">
        <f t="shared" si="5"/>
        <v>Berlaku</v>
      </c>
      <c r="AD11" s="55">
        <f>VLOOKUP(B11,'Data aplikasi'!$A$2:$M$85,11,0)</f>
        <v>46372</v>
      </c>
      <c r="AE11" s="56" t="str">
        <f t="shared" si="6"/>
        <v>Berlaku</v>
      </c>
      <c r="AF11" s="96" t="s">
        <v>203</v>
      </c>
      <c r="AG11" s="57" t="s">
        <v>167</v>
      </c>
      <c r="AH11" s="54"/>
      <c r="AI11" s="58"/>
      <c r="AJ11" s="59"/>
      <c r="AK11" s="76"/>
      <c r="AL11" s="78" t="s">
        <v>221</v>
      </c>
      <c r="AM11" s="80">
        <v>16.0</v>
      </c>
      <c r="AN11" s="62"/>
      <c r="AO11" s="99">
        <v>32.0</v>
      </c>
      <c r="AP11" s="84">
        <f>AM11*AO11</f>
        <v>512</v>
      </c>
      <c r="AQ11" s="100">
        <v>30.0</v>
      </c>
      <c r="AR11" s="86">
        <v>480.0</v>
      </c>
      <c r="AS11" s="85"/>
      <c r="AT11" s="85"/>
      <c r="AU11" s="102">
        <v>1.0</v>
      </c>
      <c r="AV11" s="86">
        <v>16.0</v>
      </c>
      <c r="AW11" s="102">
        <v>27.0</v>
      </c>
      <c r="AX11" s="86">
        <v>432.0</v>
      </c>
    </row>
    <row r="12">
      <c r="A12" s="9">
        <v>6.0</v>
      </c>
      <c r="B12" s="10" t="s">
        <v>22</v>
      </c>
      <c r="C12" s="11" t="s">
        <v>153</v>
      </c>
      <c r="D12" s="11">
        <v>24.0</v>
      </c>
      <c r="E12" s="14" t="s">
        <v>8</v>
      </c>
      <c r="F12" s="11">
        <v>2018.0</v>
      </c>
      <c r="G12" s="11">
        <v>2018.0</v>
      </c>
      <c r="H12" s="11">
        <f>A4-F12</f>
        <v>8</v>
      </c>
      <c r="I12" s="51" t="s">
        <v>197</v>
      </c>
      <c r="J12" s="11">
        <v>7698.0</v>
      </c>
      <c r="K12" s="11" t="s">
        <v>159</v>
      </c>
      <c r="L12" s="11" t="s">
        <v>160</v>
      </c>
      <c r="M12" s="11" t="s">
        <v>161</v>
      </c>
      <c r="N12" s="11">
        <v>2018.0</v>
      </c>
      <c r="O12" s="11">
        <f>A4-N12</f>
        <v>8</v>
      </c>
      <c r="P12" s="11" t="s">
        <v>162</v>
      </c>
      <c r="Q12" s="11" t="s">
        <v>199</v>
      </c>
      <c r="R12" s="52" t="s">
        <v>226</v>
      </c>
      <c r="S12" s="52" t="s">
        <v>228</v>
      </c>
      <c r="T12" s="53">
        <f>VLOOKUP(B12,'Data aplikasi'!$A$2:$M$85,5,0)</f>
        <v>46903</v>
      </c>
      <c r="U12" s="54" t="str">
        <f t="shared" si="1"/>
        <v>Berlaku</v>
      </c>
      <c r="V12" s="53">
        <f>VLOOKUP(B12,'Data aplikasi'!$A$2:$M$85,6,0)</f>
        <v>46537</v>
      </c>
      <c r="W12" s="54" t="str">
        <f t="shared" si="2"/>
        <v>Berlaku</v>
      </c>
      <c r="X12" s="53">
        <f>VLOOKUP(B12,'Data aplikasi'!$A$2:$M$85,8,0)</f>
        <v>46436</v>
      </c>
      <c r="Y12" s="54" t="str">
        <f t="shared" si="3"/>
        <v>Berlaku</v>
      </c>
      <c r="Z12" s="53">
        <f>VLOOKUP(B12,'Data aplikasi'!$A$2:$M$85,9,0)</f>
        <v>46436</v>
      </c>
      <c r="AA12" s="54" t="str">
        <f t="shared" si="4"/>
        <v>Berlaku</v>
      </c>
      <c r="AB12" s="53">
        <f>VLOOKUP(B12,'Data aplikasi'!$A$2:$M$85,10,0)</f>
        <v>46507</v>
      </c>
      <c r="AC12" s="54" t="str">
        <f t="shared" si="5"/>
        <v>Berlaku</v>
      </c>
      <c r="AD12" s="55">
        <f>VLOOKUP(B12,'Data aplikasi'!$A$2:$M$85,11,0)</f>
        <v>46340</v>
      </c>
      <c r="AE12" s="56" t="str">
        <f t="shared" si="6"/>
        <v>Berlaku</v>
      </c>
      <c r="AF12" s="96" t="s">
        <v>203</v>
      </c>
      <c r="AG12" s="57" t="s">
        <v>167</v>
      </c>
      <c r="AH12" s="54"/>
      <c r="AI12" s="58"/>
      <c r="AJ12" s="59"/>
      <c r="AK12" s="76"/>
      <c r="AL12" s="68" t="s">
        <v>237</v>
      </c>
      <c r="AM12" s="70">
        <v>8.0</v>
      </c>
      <c r="AN12" s="62"/>
      <c r="AO12" s="84">
        <v>4.0</v>
      </c>
      <c r="AP12" s="84">
        <v>32.0</v>
      </c>
      <c r="AQ12" s="86">
        <v>3.0</v>
      </c>
      <c r="AR12" s="86">
        <v>24.0</v>
      </c>
      <c r="AS12" s="86">
        <v>0.0</v>
      </c>
      <c r="AT12" s="86">
        <v>0.0</v>
      </c>
      <c r="AU12" s="86">
        <v>1.0</v>
      </c>
      <c r="AV12" s="86">
        <v>8.0</v>
      </c>
      <c r="AW12" s="86">
        <v>3.0</v>
      </c>
      <c r="AX12" s="86">
        <v>24.0</v>
      </c>
    </row>
    <row r="13">
      <c r="A13" s="9">
        <v>7.0</v>
      </c>
      <c r="B13" s="10" t="s">
        <v>24</v>
      </c>
      <c r="C13" s="19" t="s">
        <v>240</v>
      </c>
      <c r="D13" s="19">
        <v>16.0</v>
      </c>
      <c r="E13" s="14" t="s">
        <v>8</v>
      </c>
      <c r="F13" s="11">
        <v>2022.0</v>
      </c>
      <c r="G13" s="11">
        <v>2022.0</v>
      </c>
      <c r="H13" s="11">
        <f>A4-F13</f>
        <v>4</v>
      </c>
      <c r="I13" s="51" t="s">
        <v>242</v>
      </c>
      <c r="J13" s="11">
        <v>7684.0</v>
      </c>
      <c r="K13" s="11" t="s">
        <v>243</v>
      </c>
      <c r="L13" s="11" t="s">
        <v>160</v>
      </c>
      <c r="M13" s="11" t="s">
        <v>161</v>
      </c>
      <c r="N13" s="11">
        <v>2022.0</v>
      </c>
      <c r="O13" s="11">
        <f>A4-N13</f>
        <v>4</v>
      </c>
      <c r="P13" s="11" t="s">
        <v>245</v>
      </c>
      <c r="Q13" s="11" t="s">
        <v>163</v>
      </c>
      <c r="R13" s="52" t="s">
        <v>246</v>
      </c>
      <c r="S13" s="52" t="s">
        <v>248</v>
      </c>
      <c r="T13" s="53">
        <f>VLOOKUP(B13,'Data aplikasi'!$A$2:$M$85,5,0)</f>
        <v>46730</v>
      </c>
      <c r="U13" s="54" t="str">
        <f t="shared" si="1"/>
        <v>Berlaku</v>
      </c>
      <c r="V13" s="53">
        <f>VLOOKUP(B13,'Data aplikasi'!$A$2:$M$85,6,0)</f>
        <v>46365</v>
      </c>
      <c r="W13" s="54" t="str">
        <f t="shared" si="2"/>
        <v>Berlaku</v>
      </c>
      <c r="X13" s="53" t="str">
        <f>VLOOKUP(B13,'Data aplikasi'!$A$2:$M$85,8,0)</f>
        <v/>
      </c>
      <c r="Y13" s="54" t="str">
        <f t="shared" si="3"/>
        <v>Habis</v>
      </c>
      <c r="Z13" s="53">
        <f>VLOOKUP(B13,'Data aplikasi'!$A$2:$M$85,9,0)</f>
        <v>46303</v>
      </c>
      <c r="AA13" s="54" t="str">
        <f t="shared" si="4"/>
        <v>Akan Habis</v>
      </c>
      <c r="AB13" s="53">
        <f>VLOOKUP(B13,'Data aplikasi'!$A$2:$M$85,10,0)</f>
        <v>46337</v>
      </c>
      <c r="AC13" s="54" t="str">
        <f t="shared" si="5"/>
        <v>Akan Habis</v>
      </c>
      <c r="AD13" s="55">
        <f>VLOOKUP(B13,'Data aplikasi'!$A$2:$M$85,11,0)</f>
        <v>46347</v>
      </c>
      <c r="AE13" s="56" t="str">
        <f t="shared" si="6"/>
        <v>Berlaku</v>
      </c>
      <c r="AF13" s="57" t="s">
        <v>166</v>
      </c>
      <c r="AG13" s="57" t="s">
        <v>167</v>
      </c>
      <c r="AH13" s="113"/>
      <c r="AI13" s="115" t="s">
        <v>259</v>
      </c>
      <c r="AJ13" s="59"/>
      <c r="AK13" s="76"/>
      <c r="AL13" s="78" t="s">
        <v>260</v>
      </c>
      <c r="AM13" s="80">
        <v>5.0</v>
      </c>
      <c r="AN13" s="62"/>
      <c r="AO13" s="82"/>
      <c r="AP13" s="82"/>
      <c r="AQ13" s="85"/>
      <c r="AR13" s="85"/>
      <c r="AS13" s="85"/>
      <c r="AT13" s="85"/>
      <c r="AU13" s="85"/>
      <c r="AV13" s="85"/>
      <c r="AW13" s="116"/>
      <c r="AX13" s="116"/>
    </row>
    <row r="14">
      <c r="A14" s="9">
        <v>8.0</v>
      </c>
      <c r="B14" s="10" t="s">
        <v>26</v>
      </c>
      <c r="C14" s="22" t="s">
        <v>240</v>
      </c>
      <c r="D14" s="22">
        <v>16.0</v>
      </c>
      <c r="E14" s="24" t="s">
        <v>8</v>
      </c>
      <c r="F14" s="9">
        <v>2023.0</v>
      </c>
      <c r="G14" s="9">
        <v>2023.0</v>
      </c>
      <c r="H14" s="11">
        <f>A4-F14</f>
        <v>3</v>
      </c>
      <c r="I14" s="117" t="s">
        <v>265</v>
      </c>
      <c r="J14" s="9">
        <v>6374.0</v>
      </c>
      <c r="K14" s="9" t="s">
        <v>266</v>
      </c>
      <c r="L14" s="9" t="s">
        <v>160</v>
      </c>
      <c r="M14" s="9" t="s">
        <v>267</v>
      </c>
      <c r="N14" s="9">
        <v>2023.0</v>
      </c>
      <c r="O14" s="11">
        <f>A4-N14</f>
        <v>3</v>
      </c>
      <c r="P14" s="9" t="s">
        <v>245</v>
      </c>
      <c r="Q14" s="9" t="s">
        <v>270</v>
      </c>
      <c r="R14" s="118" t="s">
        <v>271</v>
      </c>
      <c r="S14" s="118" t="s">
        <v>273</v>
      </c>
      <c r="T14" s="53">
        <f>VLOOKUP(B14,'Data aplikasi'!$A$2:$M$85,5,0)</f>
        <v>47025</v>
      </c>
      <c r="U14" s="54" t="str">
        <f t="shared" si="1"/>
        <v>Berlaku</v>
      </c>
      <c r="V14" s="53">
        <f>VLOOKUP(B14,'Data aplikasi'!$A$2:$M$85,6,0)</f>
        <v>46659</v>
      </c>
      <c r="W14" s="54" t="str">
        <f t="shared" si="2"/>
        <v>Berlaku</v>
      </c>
      <c r="X14" s="53" t="str">
        <f>VLOOKUP(B14,'Data aplikasi'!$A$2:$M$85,8,0)</f>
        <v/>
      </c>
      <c r="Y14" s="54" t="str">
        <f t="shared" si="3"/>
        <v>Habis</v>
      </c>
      <c r="Z14" s="53">
        <f>VLOOKUP(B14,'Data aplikasi'!$A$2:$M$85,9,0)</f>
        <v>46446</v>
      </c>
      <c r="AA14" s="54" t="str">
        <f t="shared" si="4"/>
        <v>Berlaku</v>
      </c>
      <c r="AB14" s="53">
        <f>VLOOKUP(B14,'Data aplikasi'!$A$2:$M$85,10,0)</f>
        <v>46688</v>
      </c>
      <c r="AC14" s="54" t="str">
        <f t="shared" si="5"/>
        <v>Berlaku</v>
      </c>
      <c r="AD14" s="55">
        <f>VLOOKUP(B14,'Data aplikasi'!$A$2:$M$85,11,0)</f>
        <v>46459</v>
      </c>
      <c r="AE14" s="56" t="str">
        <f t="shared" si="6"/>
        <v>Berlaku</v>
      </c>
      <c r="AF14" s="57" t="s">
        <v>166</v>
      </c>
      <c r="AG14" s="57" t="s">
        <v>167</v>
      </c>
      <c r="AH14" s="24"/>
      <c r="AI14" s="115" t="s">
        <v>281</v>
      </c>
      <c r="AJ14" s="119"/>
      <c r="AK14" s="76"/>
      <c r="AL14" s="120"/>
      <c r="AM14" s="70" t="s">
        <v>284</v>
      </c>
      <c r="AN14" s="62"/>
      <c r="AO14" s="121"/>
      <c r="AP14" s="121"/>
      <c r="AQ14" s="123"/>
      <c r="AR14" s="123"/>
      <c r="AS14" s="123"/>
      <c r="AT14" s="123"/>
      <c r="AU14" s="123"/>
      <c r="AV14" s="123"/>
      <c r="AW14" s="123"/>
      <c r="AX14" s="123"/>
    </row>
    <row r="15">
      <c r="A15" s="9">
        <v>9.0</v>
      </c>
      <c r="B15" s="10" t="s">
        <v>28</v>
      </c>
      <c r="C15" s="22" t="s">
        <v>240</v>
      </c>
      <c r="D15" s="22">
        <v>16.0</v>
      </c>
      <c r="E15" s="24" t="s">
        <v>8</v>
      </c>
      <c r="F15" s="9">
        <v>2023.0</v>
      </c>
      <c r="G15" s="9">
        <v>2023.0</v>
      </c>
      <c r="H15" s="11">
        <f>A4-F15</f>
        <v>3</v>
      </c>
      <c r="I15" s="117" t="s">
        <v>265</v>
      </c>
      <c r="J15" s="9">
        <v>6374.0</v>
      </c>
      <c r="K15" s="9" t="s">
        <v>266</v>
      </c>
      <c r="L15" s="9" t="s">
        <v>160</v>
      </c>
      <c r="M15" s="9" t="s">
        <v>267</v>
      </c>
      <c r="N15" s="9">
        <v>2023.0</v>
      </c>
      <c r="O15" s="11">
        <f>A4-N15</f>
        <v>3</v>
      </c>
      <c r="P15" s="9" t="s">
        <v>245</v>
      </c>
      <c r="Q15" s="9" t="s">
        <v>270</v>
      </c>
      <c r="R15" s="118" t="s">
        <v>291</v>
      </c>
      <c r="S15" s="118" t="s">
        <v>292</v>
      </c>
      <c r="T15" s="53">
        <f>VLOOKUP(B15,'Data aplikasi'!$A$2:$M$85,5,0)</f>
        <v>47025</v>
      </c>
      <c r="U15" s="54" t="str">
        <f t="shared" si="1"/>
        <v>Berlaku</v>
      </c>
      <c r="V15" s="53">
        <f>VLOOKUP(B15,'Data aplikasi'!$A$2:$M$85,6,0)</f>
        <v>46659</v>
      </c>
      <c r="W15" s="54" t="str">
        <f t="shared" si="2"/>
        <v>Berlaku</v>
      </c>
      <c r="X15" s="53" t="str">
        <f>VLOOKUP(B15,'Data aplikasi'!$A$2:$M$85,8,0)</f>
        <v/>
      </c>
      <c r="Y15" s="54" t="str">
        <f t="shared" si="3"/>
        <v>Habis</v>
      </c>
      <c r="Z15" s="53">
        <f>VLOOKUP(B15,'Data aplikasi'!$A$2:$M$85,9,0)</f>
        <v>46447</v>
      </c>
      <c r="AA15" s="54" t="str">
        <f t="shared" si="4"/>
        <v>Berlaku</v>
      </c>
      <c r="AB15" s="53">
        <f>VLOOKUP(B15,'Data aplikasi'!$A$2:$M$85,10,0)</f>
        <v>46684</v>
      </c>
      <c r="AC15" s="54" t="str">
        <f t="shared" si="5"/>
        <v>Berlaku</v>
      </c>
      <c r="AD15" s="55">
        <f>VLOOKUP(B15,'Data aplikasi'!$A$2:$M$85,11,0)</f>
        <v>46459</v>
      </c>
      <c r="AE15" s="56" t="str">
        <f t="shared" si="6"/>
        <v>Berlaku</v>
      </c>
      <c r="AF15" s="57" t="s">
        <v>166</v>
      </c>
      <c r="AG15" s="57" t="s">
        <v>167</v>
      </c>
      <c r="AH15" s="24"/>
      <c r="AI15" s="115" t="s">
        <v>302</v>
      </c>
      <c r="AJ15" s="119"/>
      <c r="AK15" s="129"/>
      <c r="AL15" s="131" t="s">
        <v>304</v>
      </c>
      <c r="AM15" s="61"/>
      <c r="AN15" s="62"/>
      <c r="AO15" s="132">
        <f t="shared" ref="AO15:AR15" si="7">SUM(AO10:AO12)</f>
        <v>85</v>
      </c>
      <c r="AP15" s="132">
        <f t="shared" si="7"/>
        <v>1720</v>
      </c>
      <c r="AQ15" s="132">
        <f t="shared" si="7"/>
        <v>80</v>
      </c>
      <c r="AR15" s="132">
        <f t="shared" si="7"/>
        <v>1632</v>
      </c>
      <c r="AS15" s="132">
        <v>0.0</v>
      </c>
      <c r="AT15" s="132">
        <v>0.0</v>
      </c>
      <c r="AU15" s="132">
        <f>sum(AU10:AU12)</f>
        <v>7</v>
      </c>
      <c r="AV15" s="132">
        <f>SUM(AV10:AV12)</f>
        <v>144</v>
      </c>
      <c r="AW15" s="132">
        <v>78.0</v>
      </c>
      <c r="AX15" s="132">
        <v>1608.0</v>
      </c>
    </row>
    <row r="16">
      <c r="A16" s="9">
        <v>10.0</v>
      </c>
      <c r="B16" s="10" t="s">
        <v>31</v>
      </c>
      <c r="C16" s="11" t="s">
        <v>153</v>
      </c>
      <c r="D16" s="11">
        <v>24.0</v>
      </c>
      <c r="E16" s="14" t="s">
        <v>8</v>
      </c>
      <c r="F16" s="11">
        <v>2022.0</v>
      </c>
      <c r="G16" s="11">
        <v>2022.0</v>
      </c>
      <c r="H16" s="11">
        <f>A4-F16</f>
        <v>4</v>
      </c>
      <c r="I16" s="51" t="s">
        <v>309</v>
      </c>
      <c r="J16" s="11">
        <v>7684.0</v>
      </c>
      <c r="K16" s="11" t="s">
        <v>243</v>
      </c>
      <c r="L16" s="11" t="s">
        <v>160</v>
      </c>
      <c r="M16" s="11" t="s">
        <v>267</v>
      </c>
      <c r="N16" s="11">
        <v>2022.0</v>
      </c>
      <c r="O16" s="11">
        <f>A4-N16</f>
        <v>4</v>
      </c>
      <c r="P16" s="11" t="s">
        <v>162</v>
      </c>
      <c r="Q16" s="11" t="s">
        <v>163</v>
      </c>
      <c r="R16" s="52" t="s">
        <v>310</v>
      </c>
      <c r="S16" s="52" t="s">
        <v>311</v>
      </c>
      <c r="T16" s="53">
        <f>VLOOKUP(B16,'Data aplikasi'!$A$2:$M$85,5,0)</f>
        <v>46713</v>
      </c>
      <c r="U16" s="54" t="str">
        <f t="shared" si="1"/>
        <v>Berlaku</v>
      </c>
      <c r="V16" s="53">
        <f>VLOOKUP(B16,'Data aplikasi'!$A$2:$M$85,6,0)</f>
        <v>46348</v>
      </c>
      <c r="W16" s="54" t="str">
        <f t="shared" si="2"/>
        <v>Berlaku</v>
      </c>
      <c r="X16" s="53">
        <f>VLOOKUP(B16,'Data aplikasi'!$A$2:$M$85,8,0)</f>
        <v>46303</v>
      </c>
      <c r="Y16" s="54" t="str">
        <f t="shared" si="3"/>
        <v>Akan Habis</v>
      </c>
      <c r="Z16" s="53">
        <f>VLOOKUP(B16,'Data aplikasi'!$A$2:$M$85,9,0)</f>
        <v>46303</v>
      </c>
      <c r="AA16" s="54" t="str">
        <f t="shared" si="4"/>
        <v>Akan Habis</v>
      </c>
      <c r="AB16" s="53">
        <f>VLOOKUP(B16,'Data aplikasi'!$A$2:$M$85,10,0)</f>
        <v>46548</v>
      </c>
      <c r="AC16" s="54" t="str">
        <f t="shared" si="5"/>
        <v>Berlaku</v>
      </c>
      <c r="AD16" s="55">
        <f>VLOOKUP(B16,'Data aplikasi'!$A$2:$M$85,11,0)</f>
        <v>46311</v>
      </c>
      <c r="AE16" s="56" t="str">
        <f t="shared" si="6"/>
        <v>Akan Habis</v>
      </c>
      <c r="AF16" s="57" t="s">
        <v>166</v>
      </c>
      <c r="AG16" s="57" t="s">
        <v>167</v>
      </c>
      <c r="AH16" s="133"/>
      <c r="AI16" s="115" t="s">
        <v>312</v>
      </c>
      <c r="AJ16" s="59"/>
      <c r="AK16" s="134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2"/>
    </row>
    <row r="17">
      <c r="A17" s="9">
        <v>11.0</v>
      </c>
      <c r="B17" s="10" t="s">
        <v>33</v>
      </c>
      <c r="C17" s="11" t="s">
        <v>153</v>
      </c>
      <c r="D17" s="11">
        <v>24.0</v>
      </c>
      <c r="E17" s="14" t="s">
        <v>8</v>
      </c>
      <c r="F17" s="11">
        <v>2022.0</v>
      </c>
      <c r="G17" s="11">
        <v>2022.0</v>
      </c>
      <c r="H17" s="11">
        <f>A4-F17</f>
        <v>4</v>
      </c>
      <c r="I17" s="51" t="s">
        <v>309</v>
      </c>
      <c r="J17" s="11">
        <v>7684.0</v>
      </c>
      <c r="K17" s="11" t="s">
        <v>243</v>
      </c>
      <c r="L17" s="11" t="s">
        <v>160</v>
      </c>
      <c r="M17" s="11" t="s">
        <v>267</v>
      </c>
      <c r="N17" s="11">
        <v>2022.0</v>
      </c>
      <c r="O17" s="11">
        <f>A4-N17</f>
        <v>4</v>
      </c>
      <c r="P17" s="11" t="s">
        <v>162</v>
      </c>
      <c r="Q17" s="11" t="s">
        <v>163</v>
      </c>
      <c r="R17" s="52" t="s">
        <v>313</v>
      </c>
      <c r="S17" s="52" t="s">
        <v>314</v>
      </c>
      <c r="T17" s="53">
        <f>VLOOKUP(B17,'Data aplikasi'!$A$2:$M$85,5,0)</f>
        <v>46680</v>
      </c>
      <c r="U17" s="54" t="str">
        <f t="shared" si="1"/>
        <v>Berlaku</v>
      </c>
      <c r="V17" s="53">
        <f>VLOOKUP(B17,'Data aplikasi'!$A$2:$M$85,6,0)</f>
        <v>46315</v>
      </c>
      <c r="W17" s="54" t="str">
        <f t="shared" si="2"/>
        <v>Akan Habis</v>
      </c>
      <c r="X17" s="53">
        <f>VLOOKUP(B17,'Data aplikasi'!$A$2:$M$85,8,0)</f>
        <v>46303</v>
      </c>
      <c r="Y17" s="54" t="str">
        <f t="shared" si="3"/>
        <v>Akan Habis</v>
      </c>
      <c r="Z17" s="53">
        <f>VLOOKUP(B17,'Data aplikasi'!$A$2:$M$85,9,0)</f>
        <v>46303</v>
      </c>
      <c r="AA17" s="54" t="str">
        <f t="shared" si="4"/>
        <v>Akan Habis</v>
      </c>
      <c r="AB17" s="53">
        <f>VLOOKUP(B17,'Data aplikasi'!$A$2:$M$85,10,0)</f>
        <v>46402</v>
      </c>
      <c r="AC17" s="54" t="str">
        <f t="shared" si="5"/>
        <v>Berlaku</v>
      </c>
      <c r="AD17" s="55">
        <f>VLOOKUP(B17,'Data aplikasi'!$A$2:$M$85,11,0)</f>
        <v>46311</v>
      </c>
      <c r="AE17" s="56" t="str">
        <f t="shared" si="6"/>
        <v>Akan Habis</v>
      </c>
      <c r="AF17" s="57" t="s">
        <v>166</v>
      </c>
      <c r="AG17" s="57" t="s">
        <v>167</v>
      </c>
      <c r="AH17" s="133"/>
      <c r="AI17" s="115" t="s">
        <v>315</v>
      </c>
      <c r="AJ17" s="59"/>
      <c r="AK17" s="135" t="s">
        <v>316</v>
      </c>
      <c r="AL17" s="78" t="s">
        <v>195</v>
      </c>
      <c r="AM17" s="80">
        <v>24.0</v>
      </c>
      <c r="AN17" s="62"/>
      <c r="AO17" s="82"/>
      <c r="AP17" s="82"/>
      <c r="AQ17" s="136"/>
      <c r="AR17" s="85"/>
      <c r="AS17" s="85"/>
      <c r="AT17" s="85"/>
      <c r="AU17" s="85"/>
      <c r="AV17" s="85"/>
      <c r="AW17" s="85"/>
      <c r="AX17" s="85"/>
    </row>
    <row r="18">
      <c r="A18" s="9">
        <v>12.0</v>
      </c>
      <c r="B18" s="10" t="s">
        <v>35</v>
      </c>
      <c r="C18" s="11" t="s">
        <v>153</v>
      </c>
      <c r="D18" s="11">
        <v>24.0</v>
      </c>
      <c r="E18" s="26" t="s">
        <v>36</v>
      </c>
      <c r="F18" s="19">
        <v>2022.0</v>
      </c>
      <c r="G18" s="19">
        <v>2022.0</v>
      </c>
      <c r="H18" s="11">
        <f>A4-F18</f>
        <v>4</v>
      </c>
      <c r="I18" s="137" t="s">
        <v>317</v>
      </c>
      <c r="J18" s="19">
        <v>7960.0</v>
      </c>
      <c r="K18" s="11" t="s">
        <v>243</v>
      </c>
      <c r="L18" s="11" t="s">
        <v>160</v>
      </c>
      <c r="M18" s="11" t="s">
        <v>267</v>
      </c>
      <c r="N18" s="11">
        <v>2012.0</v>
      </c>
      <c r="O18" s="11">
        <f>A4-N18</f>
        <v>14</v>
      </c>
      <c r="P18" s="11" t="s">
        <v>162</v>
      </c>
      <c r="Q18" s="19" t="s">
        <v>163</v>
      </c>
      <c r="R18" s="115" t="s">
        <v>318</v>
      </c>
      <c r="S18" s="115" t="s">
        <v>319</v>
      </c>
      <c r="T18" s="53">
        <f>VLOOKUP(B18,'Data aplikasi'!$A$2:$M$85,5,0)</f>
        <v>46708</v>
      </c>
      <c r="U18" s="54" t="str">
        <f t="shared" si="1"/>
        <v>Berlaku</v>
      </c>
      <c r="V18" s="53">
        <f>VLOOKUP(B18,'Data aplikasi'!$A$2:$M$85,6,0)</f>
        <v>46343</v>
      </c>
      <c r="W18" s="54" t="str">
        <f t="shared" si="2"/>
        <v>Akan Habis</v>
      </c>
      <c r="X18" s="53">
        <f>VLOOKUP(B18,'Data aplikasi'!$A$2:$M$85,8,0)</f>
        <v>46352</v>
      </c>
      <c r="Y18" s="54" t="str">
        <f t="shared" si="3"/>
        <v>Berlaku</v>
      </c>
      <c r="Z18" s="53">
        <f>VLOOKUP(B18,'Data aplikasi'!$A$2:$M$85,9,0)</f>
        <v>46352</v>
      </c>
      <c r="AA18" s="54" t="str">
        <f t="shared" si="4"/>
        <v>Berlaku</v>
      </c>
      <c r="AB18" s="53">
        <f>VLOOKUP(B18,'Data aplikasi'!$A$2:$M$85,10,0)</f>
        <v>46339</v>
      </c>
      <c r="AC18" s="54" t="str">
        <f t="shared" si="5"/>
        <v>Akan Habis</v>
      </c>
      <c r="AD18" s="55">
        <f>VLOOKUP(B18,'Data aplikasi'!$A$2:$M$85,11,0)</f>
        <v>46340</v>
      </c>
      <c r="AE18" s="56" t="str">
        <f t="shared" si="6"/>
        <v>Berlaku</v>
      </c>
      <c r="AF18" s="57" t="s">
        <v>166</v>
      </c>
      <c r="AG18" s="57" t="s">
        <v>167</v>
      </c>
      <c r="AH18" s="26"/>
      <c r="AI18" s="58"/>
      <c r="AJ18" s="138"/>
      <c r="AK18" s="76"/>
      <c r="AL18" s="78" t="s">
        <v>221</v>
      </c>
      <c r="AM18" s="70">
        <v>8.0</v>
      </c>
      <c r="AN18" s="62"/>
      <c r="AO18" s="82"/>
      <c r="AP18" s="82"/>
      <c r="AQ18" s="136"/>
      <c r="AR18" s="85"/>
      <c r="AS18" s="85"/>
      <c r="AT18" s="85"/>
      <c r="AU18" s="85"/>
      <c r="AV18" s="85"/>
      <c r="AW18" s="85"/>
      <c r="AX18" s="85"/>
    </row>
    <row r="19">
      <c r="A19" s="9">
        <v>13.0</v>
      </c>
      <c r="B19" s="10" t="s">
        <v>38</v>
      </c>
      <c r="C19" s="9" t="s">
        <v>153</v>
      </c>
      <c r="D19" s="9">
        <v>24.0</v>
      </c>
      <c r="E19" s="29" t="s">
        <v>39</v>
      </c>
      <c r="F19" s="22">
        <v>2023.0</v>
      </c>
      <c r="G19" s="22">
        <v>2023.0</v>
      </c>
      <c r="H19" s="11">
        <f>A4-F19</f>
        <v>3</v>
      </c>
      <c r="I19" s="139" t="s">
        <v>309</v>
      </c>
      <c r="J19" s="19">
        <v>7685.0</v>
      </c>
      <c r="K19" s="11" t="s">
        <v>243</v>
      </c>
      <c r="L19" s="9" t="s">
        <v>160</v>
      </c>
      <c r="M19" s="11" t="s">
        <v>161</v>
      </c>
      <c r="N19" s="9">
        <v>2023.0</v>
      </c>
      <c r="O19" s="11">
        <f>A4-N19</f>
        <v>3</v>
      </c>
      <c r="P19" s="9" t="s">
        <v>162</v>
      </c>
      <c r="Q19" s="22" t="s">
        <v>163</v>
      </c>
      <c r="R19" s="140" t="s">
        <v>320</v>
      </c>
      <c r="S19" s="140" t="s">
        <v>321</v>
      </c>
      <c r="T19" s="53">
        <f>VLOOKUP(B19,'Data aplikasi'!$A$2:$M$85,5,0)</f>
        <v>46913</v>
      </c>
      <c r="U19" s="54" t="str">
        <f t="shared" si="1"/>
        <v>Berlaku</v>
      </c>
      <c r="V19" s="53">
        <f>VLOOKUP(B19,'Data aplikasi'!$A$2:$M$85,6,0)</f>
        <v>46547</v>
      </c>
      <c r="W19" s="54" t="str">
        <f t="shared" si="2"/>
        <v>Berlaku</v>
      </c>
      <c r="X19" s="53">
        <f>VLOOKUP(B19,'Data aplikasi'!$A$2:$M$85,8,0)</f>
        <v>46424</v>
      </c>
      <c r="Y19" s="54" t="str">
        <f t="shared" si="3"/>
        <v>Berlaku</v>
      </c>
      <c r="Z19" s="53">
        <f>VLOOKUP(B19,'Data aplikasi'!$A$2:$M$85,9,0)</f>
        <v>46423</v>
      </c>
      <c r="AA19" s="54" t="str">
        <f t="shared" si="4"/>
        <v>Berlaku</v>
      </c>
      <c r="AB19" s="53">
        <f>VLOOKUP(B19,'Data aplikasi'!$A$2:$M$85,10,0)</f>
        <v>46669</v>
      </c>
      <c r="AC19" s="54" t="str">
        <f t="shared" si="5"/>
        <v>Berlaku</v>
      </c>
      <c r="AD19" s="55">
        <f>VLOOKUP(B19,'Data aplikasi'!$A$2:$M$85,11,0)</f>
        <v>46439</v>
      </c>
      <c r="AE19" s="56" t="str">
        <f t="shared" si="6"/>
        <v>Berlaku</v>
      </c>
      <c r="AF19" s="96" t="s">
        <v>322</v>
      </c>
      <c r="AG19" s="57" t="s">
        <v>167</v>
      </c>
      <c r="AH19" s="141"/>
      <c r="AI19" s="115" t="s">
        <v>323</v>
      </c>
      <c r="AJ19" s="138"/>
      <c r="AK19" s="76"/>
      <c r="AL19" s="142" t="s">
        <v>237</v>
      </c>
      <c r="AM19" s="80">
        <v>5.0</v>
      </c>
      <c r="AN19" s="62"/>
      <c r="AO19" s="121"/>
      <c r="AP19" s="121"/>
      <c r="AQ19" s="143"/>
      <c r="AR19" s="123"/>
      <c r="AS19" s="123"/>
      <c r="AT19" s="123"/>
      <c r="AU19" s="123"/>
      <c r="AV19" s="123"/>
      <c r="AW19" s="123"/>
      <c r="AX19" s="123"/>
    </row>
    <row r="20">
      <c r="A20" s="9">
        <v>14.0</v>
      </c>
      <c r="B20" s="10" t="s">
        <v>41</v>
      </c>
      <c r="C20" s="22" t="s">
        <v>324</v>
      </c>
      <c r="D20" s="22">
        <v>8.0</v>
      </c>
      <c r="E20" s="29" t="s">
        <v>39</v>
      </c>
      <c r="F20" s="22">
        <v>2022.0</v>
      </c>
      <c r="G20" s="22">
        <v>2023.0</v>
      </c>
      <c r="H20" s="11">
        <f>A4-F20</f>
        <v>4</v>
      </c>
      <c r="I20" s="139" t="s">
        <v>325</v>
      </c>
      <c r="J20" s="22">
        <v>7684.0</v>
      </c>
      <c r="K20" s="11" t="s">
        <v>243</v>
      </c>
      <c r="L20" s="9" t="s">
        <v>160</v>
      </c>
      <c r="M20" s="11" t="s">
        <v>161</v>
      </c>
      <c r="N20" s="9">
        <v>2023.0</v>
      </c>
      <c r="O20" s="11">
        <f>A4-N20</f>
        <v>3</v>
      </c>
      <c r="P20" s="22" t="s">
        <v>245</v>
      </c>
      <c r="Q20" s="22" t="s">
        <v>163</v>
      </c>
      <c r="R20" s="140" t="s">
        <v>326</v>
      </c>
      <c r="S20" s="140" t="s">
        <v>327</v>
      </c>
      <c r="T20" s="53">
        <f>VLOOKUP(B20,'Data aplikasi'!$A$2:$M$85,5,0)</f>
        <v>46981</v>
      </c>
      <c r="U20" s="54" t="str">
        <f t="shared" si="1"/>
        <v>Berlaku</v>
      </c>
      <c r="V20" s="53">
        <f>VLOOKUP(B20,'Data aplikasi'!$A$2:$M$85,6,0)</f>
        <v>46615</v>
      </c>
      <c r="W20" s="54" t="str">
        <f t="shared" si="2"/>
        <v>Berlaku</v>
      </c>
      <c r="X20" s="53" t="str">
        <f>VLOOKUP(B20,'Data aplikasi'!$A$2:$M$85,8,0)</f>
        <v/>
      </c>
      <c r="Y20" s="54" t="str">
        <f t="shared" si="3"/>
        <v>Habis</v>
      </c>
      <c r="Z20" s="53">
        <f>VLOOKUP(B20,'Data aplikasi'!$A$2:$M$85,9,0)</f>
        <v>46424</v>
      </c>
      <c r="AA20" s="54" t="str">
        <f t="shared" si="4"/>
        <v>Berlaku</v>
      </c>
      <c r="AB20" s="53">
        <f>VLOOKUP(B20,'Data aplikasi'!$A$2:$M$85,10,0)</f>
        <v>46684</v>
      </c>
      <c r="AC20" s="54" t="str">
        <f t="shared" si="5"/>
        <v>Berlaku</v>
      </c>
      <c r="AD20" s="55">
        <f>VLOOKUP(B20,'Data aplikasi'!$A$2:$M$85,11,0)</f>
        <v>46340</v>
      </c>
      <c r="AE20" s="56" t="str">
        <f t="shared" si="6"/>
        <v>Berlaku</v>
      </c>
      <c r="AF20" s="96" t="s">
        <v>322</v>
      </c>
      <c r="AG20" s="57" t="s">
        <v>167</v>
      </c>
      <c r="AH20" s="141"/>
      <c r="AI20" s="115" t="s">
        <v>328</v>
      </c>
      <c r="AJ20" s="138"/>
      <c r="AK20" s="129"/>
      <c r="AL20" s="131" t="s">
        <v>304</v>
      </c>
      <c r="AM20" s="61"/>
      <c r="AN20" s="61"/>
      <c r="AO20" s="144">
        <v>0.0</v>
      </c>
      <c r="AP20" s="144">
        <v>0.0</v>
      </c>
      <c r="AQ20" s="144">
        <v>0.0</v>
      </c>
      <c r="AR20" s="144">
        <v>0.0</v>
      </c>
      <c r="AS20" s="144">
        <v>0.0</v>
      </c>
      <c r="AT20" s="144">
        <v>0.0</v>
      </c>
      <c r="AU20" s="144">
        <v>0.0</v>
      </c>
      <c r="AV20" s="144">
        <v>0.0</v>
      </c>
      <c r="AW20" s="144">
        <v>0.0</v>
      </c>
      <c r="AX20" s="144">
        <v>0.0</v>
      </c>
    </row>
    <row r="21">
      <c r="A21" s="9">
        <v>15.0</v>
      </c>
      <c r="B21" s="10" t="s">
        <v>44</v>
      </c>
      <c r="C21" s="22" t="s">
        <v>240</v>
      </c>
      <c r="D21" s="22">
        <v>16.0</v>
      </c>
      <c r="E21" s="29" t="s">
        <v>39</v>
      </c>
      <c r="F21" s="22">
        <v>2018.0</v>
      </c>
      <c r="G21" s="22">
        <v>2018.0</v>
      </c>
      <c r="H21" s="11">
        <f>A4-F21</f>
        <v>8</v>
      </c>
      <c r="I21" s="139" t="s">
        <v>329</v>
      </c>
      <c r="J21" s="22">
        <v>7698.0</v>
      </c>
      <c r="K21" s="11" t="s">
        <v>159</v>
      </c>
      <c r="L21" s="9" t="s">
        <v>316</v>
      </c>
      <c r="M21" s="11" t="s">
        <v>161</v>
      </c>
      <c r="N21" s="9">
        <v>2018.0</v>
      </c>
      <c r="O21" s="11">
        <f>A4-N21</f>
        <v>8</v>
      </c>
      <c r="P21" s="22" t="s">
        <v>245</v>
      </c>
      <c r="Q21" s="22" t="s">
        <v>199</v>
      </c>
      <c r="R21" s="140" t="s">
        <v>330</v>
      </c>
      <c r="S21" s="140" t="s">
        <v>331</v>
      </c>
      <c r="T21" s="53">
        <f>VLOOKUP(B21,'Data aplikasi'!$A$2:$M$85,5,0)</f>
        <v>46877</v>
      </c>
      <c r="U21" s="54" t="str">
        <f t="shared" si="1"/>
        <v>Berlaku</v>
      </c>
      <c r="V21" s="53">
        <f>VLOOKUP(B21,'Data aplikasi'!$A$2:$M$85,6,0)</f>
        <v>46511</v>
      </c>
      <c r="W21" s="54" t="str">
        <f t="shared" si="2"/>
        <v>Berlaku</v>
      </c>
      <c r="X21" s="53" t="str">
        <f>VLOOKUP(B21,'Data aplikasi'!$A$2:$M$85,8,0)</f>
        <v/>
      </c>
      <c r="Y21" s="54" t="str">
        <f t="shared" si="3"/>
        <v>Habis</v>
      </c>
      <c r="Z21" s="53">
        <f>VLOOKUP(B21,'Data aplikasi'!$A$2:$M$85,9,0)</f>
        <v>46424</v>
      </c>
      <c r="AA21" s="54" t="str">
        <f t="shared" si="4"/>
        <v>Berlaku</v>
      </c>
      <c r="AB21" s="53">
        <f>VLOOKUP(B21,'Data aplikasi'!$A$2:$M$85,10,0)</f>
        <v>46505</v>
      </c>
      <c r="AC21" s="54" t="str">
        <f t="shared" si="5"/>
        <v>Berlaku</v>
      </c>
      <c r="AD21" s="55">
        <f>VLOOKUP(B21,'Data aplikasi'!$A$2:$M$85,11,0)</f>
        <v>46340</v>
      </c>
      <c r="AE21" s="56" t="str">
        <f t="shared" si="6"/>
        <v>Berlaku</v>
      </c>
      <c r="AF21" s="96" t="s">
        <v>322</v>
      </c>
      <c r="AG21" s="57" t="s">
        <v>167</v>
      </c>
      <c r="AH21" s="145"/>
      <c r="AI21" s="58"/>
      <c r="AJ21" s="146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</row>
    <row r="22">
      <c r="A22" s="9">
        <v>16.0</v>
      </c>
      <c r="B22" s="10" t="s">
        <v>46</v>
      </c>
      <c r="C22" s="11" t="s">
        <v>153</v>
      </c>
      <c r="D22" s="11">
        <v>24.0</v>
      </c>
      <c r="E22" s="14" t="s">
        <v>47</v>
      </c>
      <c r="F22" s="11">
        <v>2022.0</v>
      </c>
      <c r="G22" s="11">
        <v>2022.0</v>
      </c>
      <c r="H22" s="11">
        <f>A4-F22</f>
        <v>4</v>
      </c>
      <c r="I22" s="51" t="s">
        <v>309</v>
      </c>
      <c r="J22" s="11">
        <v>7684.0</v>
      </c>
      <c r="K22" s="11" t="s">
        <v>243</v>
      </c>
      <c r="L22" s="11" t="s">
        <v>160</v>
      </c>
      <c r="M22" s="11" t="s">
        <v>332</v>
      </c>
      <c r="N22" s="11">
        <v>2012.0</v>
      </c>
      <c r="O22" s="11">
        <f>A4-N22</f>
        <v>14</v>
      </c>
      <c r="P22" s="11" t="s">
        <v>162</v>
      </c>
      <c r="Q22" s="11" t="s">
        <v>163</v>
      </c>
      <c r="R22" s="52" t="s">
        <v>333</v>
      </c>
      <c r="S22" s="52" t="s">
        <v>334</v>
      </c>
      <c r="T22" s="53">
        <f>VLOOKUP(B22,'Data aplikasi'!$A$2:$M$85,5,0)</f>
        <v>46672</v>
      </c>
      <c r="U22" s="54" t="str">
        <f t="shared" si="1"/>
        <v>Berlaku</v>
      </c>
      <c r="V22" s="53">
        <f>VLOOKUP(B22,'Data aplikasi'!$A$2:$M$85,6,0)</f>
        <v>46307</v>
      </c>
      <c r="W22" s="54" t="str">
        <f t="shared" si="2"/>
        <v>Akan Habis</v>
      </c>
      <c r="X22" s="53">
        <f>VLOOKUP(B22,'Data aplikasi'!$A$2:$M$85,8,0)</f>
        <v>46315</v>
      </c>
      <c r="Y22" s="54" t="str">
        <f t="shared" si="3"/>
        <v>Akan Habis</v>
      </c>
      <c r="Z22" s="53">
        <f>VLOOKUP(B22,'Data aplikasi'!$A$2:$M$85,9,0)</f>
        <v>46315</v>
      </c>
      <c r="AA22" s="54" t="str">
        <f t="shared" si="4"/>
        <v>Akan Habis</v>
      </c>
      <c r="AB22" s="53">
        <f>VLOOKUP(B22,'Data aplikasi'!$A$2:$M$85,10,0)</f>
        <v>46437</v>
      </c>
      <c r="AC22" s="54" t="str">
        <f t="shared" si="5"/>
        <v>Berlaku</v>
      </c>
      <c r="AD22" s="55">
        <f>VLOOKUP(B22,'Data aplikasi'!$A$2:$M$85,11,0)</f>
        <v>46340</v>
      </c>
      <c r="AE22" s="56" t="str">
        <f t="shared" si="6"/>
        <v>Berlaku</v>
      </c>
      <c r="AF22" s="57" t="s">
        <v>166</v>
      </c>
      <c r="AG22" s="57" t="s">
        <v>167</v>
      </c>
      <c r="AH22" s="147"/>
      <c r="AI22" s="115" t="s">
        <v>335</v>
      </c>
      <c r="AJ22" s="146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</row>
    <row r="23">
      <c r="A23" s="9">
        <v>17.0</v>
      </c>
      <c r="B23" s="10" t="s">
        <v>51</v>
      </c>
      <c r="C23" s="11" t="s">
        <v>153</v>
      </c>
      <c r="D23" s="11">
        <v>24.0</v>
      </c>
      <c r="E23" s="14" t="s">
        <v>47</v>
      </c>
      <c r="F23" s="11">
        <v>2023.0</v>
      </c>
      <c r="G23" s="11">
        <v>2023.0</v>
      </c>
      <c r="H23" s="11">
        <f>A4-F23</f>
        <v>3</v>
      </c>
      <c r="I23" s="117" t="s">
        <v>336</v>
      </c>
      <c r="J23" s="11">
        <v>6374.0</v>
      </c>
      <c r="K23" s="11" t="s">
        <v>266</v>
      </c>
      <c r="L23" s="11" t="s">
        <v>160</v>
      </c>
      <c r="M23" s="11" t="s">
        <v>332</v>
      </c>
      <c r="N23" s="11">
        <v>2012.0</v>
      </c>
      <c r="O23" s="11">
        <f>A4-N23</f>
        <v>14</v>
      </c>
      <c r="P23" s="11" t="s">
        <v>162</v>
      </c>
      <c r="Q23" s="11" t="s">
        <v>270</v>
      </c>
      <c r="R23" s="52" t="s">
        <v>337</v>
      </c>
      <c r="S23" s="52" t="s">
        <v>338</v>
      </c>
      <c r="T23" s="53">
        <f>VLOOKUP(B23,'Data aplikasi'!$A$2:$M$85,5,0)</f>
        <v>46875</v>
      </c>
      <c r="U23" s="54" t="str">
        <f t="shared" si="1"/>
        <v>Berlaku</v>
      </c>
      <c r="V23" s="53">
        <f>VLOOKUP(B23,'Data aplikasi'!$A$2:$M$85,6,0)</f>
        <v>46509</v>
      </c>
      <c r="W23" s="54" t="str">
        <f t="shared" si="2"/>
        <v>Berlaku</v>
      </c>
      <c r="X23" s="53">
        <f>VLOOKUP(B23,'Data aplikasi'!$A$2:$M$85,8,0)</f>
        <v>46361</v>
      </c>
      <c r="Y23" s="54" t="str">
        <f t="shared" si="3"/>
        <v>Berlaku</v>
      </c>
      <c r="Z23" s="53">
        <f>VLOOKUP(B23,'Data aplikasi'!$A$2:$M$85,9,0)</f>
        <v>46361</v>
      </c>
      <c r="AA23" s="54" t="str">
        <f t="shared" si="4"/>
        <v>Berlaku</v>
      </c>
      <c r="AB23" s="53">
        <f>VLOOKUP(B23,'Data aplikasi'!$A$2:$M$85,10,0)</f>
        <v>46586</v>
      </c>
      <c r="AC23" s="54" t="str">
        <f t="shared" si="5"/>
        <v>Berlaku</v>
      </c>
      <c r="AD23" s="55">
        <f>VLOOKUP(B23,'Data aplikasi'!$A$2:$M$85,11,0)</f>
        <v>46340</v>
      </c>
      <c r="AE23" s="56" t="str">
        <f t="shared" si="6"/>
        <v>Berlaku</v>
      </c>
      <c r="AF23" s="57" t="s">
        <v>166</v>
      </c>
      <c r="AG23" s="57" t="s">
        <v>167</v>
      </c>
      <c r="AH23" s="14"/>
      <c r="AI23" s="115" t="s">
        <v>339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</row>
    <row r="24">
      <c r="A24" s="9">
        <v>18.0</v>
      </c>
      <c r="B24" s="10" t="s">
        <v>53</v>
      </c>
      <c r="C24" s="11" t="s">
        <v>153</v>
      </c>
      <c r="D24" s="11">
        <v>24.0</v>
      </c>
      <c r="E24" s="14" t="s">
        <v>47</v>
      </c>
      <c r="F24" s="11">
        <v>2023.0</v>
      </c>
      <c r="G24" s="11">
        <v>2023.0</v>
      </c>
      <c r="H24" s="11">
        <f>A4-F24</f>
        <v>3</v>
      </c>
      <c r="I24" s="117" t="s">
        <v>336</v>
      </c>
      <c r="J24" s="11">
        <v>6374.0</v>
      </c>
      <c r="K24" s="11" t="s">
        <v>266</v>
      </c>
      <c r="L24" s="11" t="s">
        <v>160</v>
      </c>
      <c r="M24" s="11" t="s">
        <v>161</v>
      </c>
      <c r="N24" s="11">
        <v>2013.0</v>
      </c>
      <c r="O24" s="11">
        <f>A4-N24</f>
        <v>13</v>
      </c>
      <c r="P24" s="11" t="s">
        <v>162</v>
      </c>
      <c r="Q24" s="11" t="s">
        <v>270</v>
      </c>
      <c r="R24" s="52" t="s">
        <v>340</v>
      </c>
      <c r="S24" s="52" t="s">
        <v>341</v>
      </c>
      <c r="T24" s="53">
        <f>VLOOKUP(B24,'Data aplikasi'!$A$2:$M$85,5,0)</f>
        <v>47114</v>
      </c>
      <c r="U24" s="54" t="str">
        <f t="shared" si="1"/>
        <v>Berlaku</v>
      </c>
      <c r="V24" s="53">
        <f>VLOOKUP(B24,'Data aplikasi'!$A$2:$M$85,6,0)</f>
        <v>46383</v>
      </c>
      <c r="W24" s="54" t="str">
        <f t="shared" si="2"/>
        <v>Berlaku</v>
      </c>
      <c r="X24" s="53">
        <f>VLOOKUP(B24,'Data aplikasi'!$A$2:$M$85,8,0)</f>
        <v>46331</v>
      </c>
      <c r="Y24" s="54" t="str">
        <f t="shared" si="3"/>
        <v>Akan Habis</v>
      </c>
      <c r="Z24" s="53">
        <f>VLOOKUP(B24,'Data aplikasi'!$A$2:$M$85,9,0)</f>
        <v>46331</v>
      </c>
      <c r="AA24" s="54" t="str">
        <f t="shared" si="4"/>
        <v>Berlaku</v>
      </c>
      <c r="AB24" s="53">
        <f>VLOOKUP(B24,'Data aplikasi'!$A$2:$M$85,10,0)</f>
        <v>46884</v>
      </c>
      <c r="AC24" s="54" t="str">
        <f t="shared" si="5"/>
        <v>Berlaku</v>
      </c>
      <c r="AD24" s="55">
        <f>VLOOKUP(B24,'Data aplikasi'!$A$2:$M$85,11,0)</f>
        <v>46360</v>
      </c>
      <c r="AE24" s="56" t="str">
        <f t="shared" si="6"/>
        <v>Berlaku</v>
      </c>
      <c r="AF24" s="57" t="s">
        <v>166</v>
      </c>
      <c r="AG24" s="57" t="s">
        <v>167</v>
      </c>
      <c r="AH24" s="14"/>
      <c r="AI24" s="115" t="s">
        <v>342</v>
      </c>
      <c r="AJ24" s="59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</row>
    <row r="25">
      <c r="A25" s="9">
        <v>19.0</v>
      </c>
      <c r="B25" s="10" t="s">
        <v>54</v>
      </c>
      <c r="C25" s="11" t="s">
        <v>153</v>
      </c>
      <c r="D25" s="11">
        <v>24.0</v>
      </c>
      <c r="E25" s="14" t="s">
        <v>47</v>
      </c>
      <c r="F25" s="11">
        <v>2023.0</v>
      </c>
      <c r="G25" s="11">
        <v>2023.0</v>
      </c>
      <c r="H25" s="11">
        <f>A4-F25</f>
        <v>3</v>
      </c>
      <c r="I25" s="117" t="s">
        <v>336</v>
      </c>
      <c r="J25" s="11">
        <v>6374.0</v>
      </c>
      <c r="K25" s="11" t="s">
        <v>266</v>
      </c>
      <c r="L25" s="11" t="s">
        <v>160</v>
      </c>
      <c r="M25" s="11" t="s">
        <v>161</v>
      </c>
      <c r="N25" s="11">
        <v>2013.0</v>
      </c>
      <c r="O25" s="11">
        <f>A4-N25</f>
        <v>13</v>
      </c>
      <c r="P25" s="11" t="s">
        <v>162</v>
      </c>
      <c r="Q25" s="11" t="s">
        <v>270</v>
      </c>
      <c r="R25" s="52" t="s">
        <v>343</v>
      </c>
      <c r="S25" s="52" t="s">
        <v>344</v>
      </c>
      <c r="T25" s="53">
        <f>VLOOKUP(B25,'Data aplikasi'!$A$2:$M$85,5,0)</f>
        <v>47114</v>
      </c>
      <c r="U25" s="54" t="str">
        <f t="shared" si="1"/>
        <v>Berlaku</v>
      </c>
      <c r="V25" s="53">
        <f>VLOOKUP(B25,'Data aplikasi'!$A$2:$M$85,6,0)</f>
        <v>46383</v>
      </c>
      <c r="W25" s="54" t="str">
        <f t="shared" si="2"/>
        <v>Berlaku</v>
      </c>
      <c r="X25" s="53">
        <f>VLOOKUP(B25,'Data aplikasi'!$A$2:$M$85,8,0)</f>
        <v>46331</v>
      </c>
      <c r="Y25" s="54" t="str">
        <f t="shared" si="3"/>
        <v>Akan Habis</v>
      </c>
      <c r="Z25" s="53">
        <f>VLOOKUP(B25,'Data aplikasi'!$A$2:$M$85,9,0)</f>
        <v>46331</v>
      </c>
      <c r="AA25" s="54" t="str">
        <f t="shared" si="4"/>
        <v>Berlaku</v>
      </c>
      <c r="AB25" s="53">
        <f>VLOOKUP(B25,'Data aplikasi'!$A$2:$M$85,10,0)</f>
        <v>46912</v>
      </c>
      <c r="AC25" s="54" t="str">
        <f t="shared" si="5"/>
        <v>Berlaku</v>
      </c>
      <c r="AD25" s="55">
        <f>VLOOKUP(B25,'Data aplikasi'!$A$2:$M$85,11,0)</f>
        <v>46360</v>
      </c>
      <c r="AE25" s="56" t="str">
        <f t="shared" si="6"/>
        <v>Berlaku</v>
      </c>
      <c r="AF25" s="57" t="s">
        <v>166</v>
      </c>
      <c r="AG25" s="57" t="s">
        <v>167</v>
      </c>
      <c r="AH25" s="14"/>
      <c r="AI25" s="115" t="s">
        <v>345</v>
      </c>
      <c r="AJ25" s="59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</row>
    <row r="26">
      <c r="A26" s="9">
        <v>20.0</v>
      </c>
      <c r="B26" s="10" t="s">
        <v>55</v>
      </c>
      <c r="C26" s="9" t="s">
        <v>153</v>
      </c>
      <c r="D26" s="9">
        <v>24.0</v>
      </c>
      <c r="E26" s="24" t="s">
        <v>47</v>
      </c>
      <c r="F26" s="9">
        <v>2024.0</v>
      </c>
      <c r="G26" s="9">
        <v>2024.0</v>
      </c>
      <c r="H26" s="11">
        <f>A4-F26</f>
        <v>2</v>
      </c>
      <c r="I26" s="117" t="s">
        <v>336</v>
      </c>
      <c r="J26" s="9">
        <v>6374.0</v>
      </c>
      <c r="K26" s="11" t="s">
        <v>266</v>
      </c>
      <c r="L26" s="9" t="s">
        <v>160</v>
      </c>
      <c r="M26" s="11" t="s">
        <v>161</v>
      </c>
      <c r="N26" s="9">
        <v>2014.0</v>
      </c>
      <c r="O26" s="11">
        <f>A4-N26</f>
        <v>12</v>
      </c>
      <c r="P26" s="9" t="s">
        <v>162</v>
      </c>
      <c r="Q26" s="9" t="s">
        <v>270</v>
      </c>
      <c r="R26" s="118" t="s">
        <v>346</v>
      </c>
      <c r="S26" s="118" t="s">
        <v>347</v>
      </c>
      <c r="T26" s="53">
        <f>VLOOKUP(B26,'Data aplikasi'!$A$2:$M$85,5,0)</f>
        <v>47429</v>
      </c>
      <c r="U26" s="54" t="str">
        <f t="shared" si="1"/>
        <v>Berlaku</v>
      </c>
      <c r="V26" s="53">
        <f>VLOOKUP(B26,'Data aplikasi'!$A$2:$M$85,6,0)</f>
        <v>46333</v>
      </c>
      <c r="W26" s="54" t="str">
        <f t="shared" si="2"/>
        <v>Akan Habis</v>
      </c>
      <c r="X26" s="53">
        <f>VLOOKUP(B26,'Data aplikasi'!$A$2:$M$85,8,0)</f>
        <v>46331</v>
      </c>
      <c r="Y26" s="54" t="str">
        <f t="shared" si="3"/>
        <v>Akan Habis</v>
      </c>
      <c r="Z26" s="53">
        <f>VLOOKUP(B26,'Data aplikasi'!$A$2:$M$85,9,0)</f>
        <v>46331</v>
      </c>
      <c r="AA26" s="54" t="str">
        <f t="shared" si="4"/>
        <v>Berlaku</v>
      </c>
      <c r="AB26" s="53">
        <f>VLOOKUP(B26,'Data aplikasi'!$A$2:$M$85,10,0)</f>
        <v>46351</v>
      </c>
      <c r="AC26" s="54" t="str">
        <f t="shared" si="5"/>
        <v>Akan Habis</v>
      </c>
      <c r="AD26" s="55">
        <f>VLOOKUP(B26,'Data aplikasi'!$A$2:$M$85,11,0)</f>
        <v>46340</v>
      </c>
      <c r="AE26" s="56" t="str">
        <f t="shared" si="6"/>
        <v>Berlaku</v>
      </c>
      <c r="AF26" s="57" t="s">
        <v>166</v>
      </c>
      <c r="AG26" s="57" t="s">
        <v>167</v>
      </c>
      <c r="AH26" s="24"/>
      <c r="AI26" s="115" t="s">
        <v>348</v>
      </c>
      <c r="AJ26" s="59"/>
      <c r="AK26" s="59"/>
      <c r="AL26" s="59"/>
      <c r="AM26" s="59"/>
      <c r="AN26" s="59"/>
      <c r="AO26" s="59"/>
      <c r="AP26" s="59"/>
      <c r="AQ26" s="148"/>
      <c r="AR26" s="148"/>
      <c r="AS26" s="59"/>
      <c r="AT26" s="59"/>
      <c r="AU26" s="59"/>
      <c r="AV26" s="59"/>
      <c r="AW26" s="59"/>
      <c r="AX26" s="59"/>
    </row>
    <row r="27">
      <c r="A27" s="9">
        <v>21.0</v>
      </c>
      <c r="B27" s="10" t="s">
        <v>56</v>
      </c>
      <c r="C27" s="9" t="s">
        <v>153</v>
      </c>
      <c r="D27" s="9">
        <v>24.0</v>
      </c>
      <c r="E27" s="24" t="s">
        <v>47</v>
      </c>
      <c r="F27" s="9">
        <v>2024.0</v>
      </c>
      <c r="G27" s="9">
        <v>2024.0</v>
      </c>
      <c r="H27" s="11">
        <f>A4-F27</f>
        <v>2</v>
      </c>
      <c r="I27" s="117" t="s">
        <v>336</v>
      </c>
      <c r="J27" s="9">
        <v>6374.0</v>
      </c>
      <c r="K27" s="11" t="s">
        <v>266</v>
      </c>
      <c r="L27" s="9" t="s">
        <v>160</v>
      </c>
      <c r="M27" s="11" t="s">
        <v>161</v>
      </c>
      <c r="N27" s="9">
        <v>2014.0</v>
      </c>
      <c r="O27" s="11">
        <f>A4-N27</f>
        <v>12</v>
      </c>
      <c r="P27" s="9" t="s">
        <v>162</v>
      </c>
      <c r="Q27" s="9" t="s">
        <v>270</v>
      </c>
      <c r="R27" s="118" t="s">
        <v>349</v>
      </c>
      <c r="S27" s="118" t="s">
        <v>350</v>
      </c>
      <c r="T27" s="53">
        <f>VLOOKUP(B27,'Data aplikasi'!$A$2:$M$85,5,0)</f>
        <v>47475</v>
      </c>
      <c r="U27" s="54" t="str">
        <f t="shared" si="1"/>
        <v>Berlaku</v>
      </c>
      <c r="V27" s="53">
        <f>VLOOKUP(B27,'Data aplikasi'!$A$2:$M$85,6,0)</f>
        <v>46379</v>
      </c>
      <c r="W27" s="54" t="str">
        <f t="shared" si="2"/>
        <v>Berlaku</v>
      </c>
      <c r="X27" s="53">
        <f>VLOOKUP(B27,'Data aplikasi'!$A$2:$M$85,8,0)</f>
        <v>46361</v>
      </c>
      <c r="Y27" s="54" t="str">
        <f t="shared" si="3"/>
        <v>Berlaku</v>
      </c>
      <c r="Z27" s="53">
        <f>VLOOKUP(B27,'Data aplikasi'!$A$2:$M$85,9,0)</f>
        <v>46361</v>
      </c>
      <c r="AA27" s="54" t="str">
        <f t="shared" si="4"/>
        <v>Berlaku</v>
      </c>
      <c r="AB27" s="53">
        <f>VLOOKUP(B27,'Data aplikasi'!$A$2:$M$85,10,0)</f>
        <v>46429</v>
      </c>
      <c r="AC27" s="54" t="str">
        <f t="shared" si="5"/>
        <v>Berlaku</v>
      </c>
      <c r="AD27" s="55">
        <f>VLOOKUP(B27,'Data aplikasi'!$A$2:$M$85,11,0)</f>
        <v>46340</v>
      </c>
      <c r="AE27" s="56" t="str">
        <f t="shared" si="6"/>
        <v>Berlaku</v>
      </c>
      <c r="AF27" s="57" t="s">
        <v>166</v>
      </c>
      <c r="AG27" s="57" t="s">
        <v>167</v>
      </c>
      <c r="AH27" s="24"/>
      <c r="AI27" s="115" t="s">
        <v>355</v>
      </c>
      <c r="AJ27" s="59"/>
      <c r="AK27" s="59"/>
      <c r="AL27" s="59"/>
      <c r="AM27" s="59"/>
      <c r="AN27" s="59"/>
      <c r="AO27" s="59"/>
      <c r="AP27" s="59"/>
      <c r="AQ27" s="148"/>
      <c r="AR27" s="148"/>
      <c r="AS27" s="59"/>
      <c r="AT27" s="59"/>
      <c r="AU27" s="59"/>
      <c r="AV27" s="59"/>
      <c r="AW27" s="59"/>
      <c r="AX27" s="59"/>
    </row>
    <row r="28">
      <c r="A28" s="9">
        <v>22.0</v>
      </c>
      <c r="B28" s="10" t="s">
        <v>57</v>
      </c>
      <c r="C28" s="9" t="s">
        <v>153</v>
      </c>
      <c r="D28" s="9">
        <v>24.0</v>
      </c>
      <c r="E28" s="24" t="s">
        <v>47</v>
      </c>
      <c r="F28" s="9">
        <v>2024.0</v>
      </c>
      <c r="G28" s="9">
        <v>2024.0</v>
      </c>
      <c r="H28" s="11">
        <f>A4-F28</f>
        <v>2</v>
      </c>
      <c r="I28" s="117" t="s">
        <v>336</v>
      </c>
      <c r="J28" s="9">
        <v>6374.0</v>
      </c>
      <c r="K28" s="11" t="s">
        <v>266</v>
      </c>
      <c r="L28" s="9" t="s">
        <v>160</v>
      </c>
      <c r="M28" s="11" t="s">
        <v>161</v>
      </c>
      <c r="N28" s="9">
        <v>2014.0</v>
      </c>
      <c r="O28" s="11">
        <f>A4-N28</f>
        <v>12</v>
      </c>
      <c r="P28" s="9" t="s">
        <v>162</v>
      </c>
      <c r="Q28" s="9" t="s">
        <v>270</v>
      </c>
      <c r="R28" s="118" t="s">
        <v>356</v>
      </c>
      <c r="S28" s="39" t="s">
        <v>357</v>
      </c>
      <c r="T28" s="53">
        <f>VLOOKUP(B28,'Data aplikasi'!$A$2:$M$85,5,0)</f>
        <v>47475</v>
      </c>
      <c r="U28" s="54" t="str">
        <f t="shared" si="1"/>
        <v>Berlaku</v>
      </c>
      <c r="V28" s="53">
        <f>VLOOKUP(B28,'Data aplikasi'!$A$2:$M$85,6,0)</f>
        <v>46379</v>
      </c>
      <c r="W28" s="54" t="str">
        <f t="shared" si="2"/>
        <v>Berlaku</v>
      </c>
      <c r="X28" s="53">
        <f>VLOOKUP(B28,'Data aplikasi'!$A$2:$M$85,8,0)</f>
        <v>46361</v>
      </c>
      <c r="Y28" s="54" t="str">
        <f t="shared" si="3"/>
        <v>Berlaku</v>
      </c>
      <c r="Z28" s="53">
        <f>VLOOKUP(B28,'Data aplikasi'!$A$2:$M$85,9,0)</f>
        <v>46361</v>
      </c>
      <c r="AA28" s="54" t="str">
        <f t="shared" si="4"/>
        <v>Berlaku</v>
      </c>
      <c r="AB28" s="53">
        <f>VLOOKUP(B28,'Data aplikasi'!$A$2:$M$85,10,0)</f>
        <v>46430</v>
      </c>
      <c r="AC28" s="54" t="str">
        <f t="shared" si="5"/>
        <v>Berlaku</v>
      </c>
      <c r="AD28" s="55">
        <f>VLOOKUP(B28,'Data aplikasi'!$A$2:$M$85,11,0)</f>
        <v>46340</v>
      </c>
      <c r="AE28" s="56" t="str">
        <f t="shared" si="6"/>
        <v>Berlaku</v>
      </c>
      <c r="AF28" s="57" t="s">
        <v>166</v>
      </c>
      <c r="AG28" s="57" t="s">
        <v>167</v>
      </c>
      <c r="AH28" s="24"/>
      <c r="AI28" s="115" t="s">
        <v>360</v>
      </c>
      <c r="AJ28" s="59"/>
      <c r="AK28" s="59"/>
      <c r="AL28" s="59"/>
      <c r="AM28" s="59"/>
      <c r="AN28" s="59"/>
      <c r="AO28" s="59"/>
      <c r="AP28" s="59"/>
      <c r="AQ28" s="148"/>
      <c r="AR28" s="148"/>
      <c r="AS28" s="59"/>
      <c r="AT28" s="59"/>
      <c r="AU28" s="59"/>
      <c r="AV28" s="59"/>
      <c r="AW28" s="59"/>
      <c r="AX28" s="59"/>
    </row>
    <row r="29">
      <c r="A29" s="9">
        <v>23.0</v>
      </c>
      <c r="B29" s="10" t="s">
        <v>58</v>
      </c>
      <c r="C29" s="9" t="s">
        <v>153</v>
      </c>
      <c r="D29" s="9">
        <v>24.0</v>
      </c>
      <c r="E29" s="24" t="s">
        <v>47</v>
      </c>
      <c r="F29" s="9">
        <v>2024.0</v>
      </c>
      <c r="G29" s="9">
        <v>2024.0</v>
      </c>
      <c r="H29" s="11">
        <f>A4-F29</f>
        <v>2</v>
      </c>
      <c r="I29" s="117" t="s">
        <v>336</v>
      </c>
      <c r="J29" s="9">
        <v>6374.0</v>
      </c>
      <c r="K29" s="11" t="s">
        <v>266</v>
      </c>
      <c r="L29" s="9" t="s">
        <v>160</v>
      </c>
      <c r="M29" s="11" t="s">
        <v>161</v>
      </c>
      <c r="N29" s="9">
        <v>2014.0</v>
      </c>
      <c r="O29" s="11">
        <f>A4-N29</f>
        <v>12</v>
      </c>
      <c r="P29" s="9" t="s">
        <v>162</v>
      </c>
      <c r="Q29" s="9" t="s">
        <v>270</v>
      </c>
      <c r="R29" s="118" t="s">
        <v>361</v>
      </c>
      <c r="S29" s="118" t="s">
        <v>362</v>
      </c>
      <c r="T29" s="53">
        <f>VLOOKUP(B29,'Data aplikasi'!$A$2:$M$85,5,0)</f>
        <v>47475</v>
      </c>
      <c r="U29" s="54" t="str">
        <f t="shared" si="1"/>
        <v>Berlaku</v>
      </c>
      <c r="V29" s="53">
        <f>VLOOKUP(B29,'Data aplikasi'!$A$2:$M$85,6,0)</f>
        <v>46379</v>
      </c>
      <c r="W29" s="54" t="str">
        <f t="shared" si="2"/>
        <v>Berlaku</v>
      </c>
      <c r="X29" s="53">
        <f>VLOOKUP(B29,'Data aplikasi'!$A$2:$M$85,8,0)</f>
        <v>46332</v>
      </c>
      <c r="Y29" s="54" t="str">
        <f t="shared" si="3"/>
        <v>Akan Habis</v>
      </c>
      <c r="Z29" s="53">
        <f>VLOOKUP(B29,'Data aplikasi'!$A$2:$M$85,9,0)</f>
        <v>46332</v>
      </c>
      <c r="AA29" s="54" t="str">
        <f t="shared" si="4"/>
        <v>Berlaku</v>
      </c>
      <c r="AB29" s="53">
        <f>VLOOKUP(B29,'Data aplikasi'!$A$2:$M$85,10,0)</f>
        <v>46452</v>
      </c>
      <c r="AC29" s="54" t="str">
        <f t="shared" si="5"/>
        <v>Berlaku</v>
      </c>
      <c r="AD29" s="55">
        <f>VLOOKUP(B29,'Data aplikasi'!$A$2:$M$85,11,0)</f>
        <v>46340</v>
      </c>
      <c r="AE29" s="56" t="str">
        <f t="shared" si="6"/>
        <v>Berlaku</v>
      </c>
      <c r="AF29" s="57" t="s">
        <v>166</v>
      </c>
      <c r="AG29" s="57" t="s">
        <v>167</v>
      </c>
      <c r="AH29" s="24"/>
      <c r="AI29" s="115" t="s">
        <v>363</v>
      </c>
      <c r="AJ29" s="59"/>
      <c r="AK29" s="59"/>
      <c r="AL29" s="59"/>
      <c r="AM29" s="59"/>
      <c r="AN29" s="59"/>
      <c r="AO29" s="59"/>
      <c r="AP29" s="59"/>
      <c r="AQ29" s="148"/>
      <c r="AR29" s="148"/>
      <c r="AS29" s="59"/>
      <c r="AT29" s="59"/>
      <c r="AU29" s="59"/>
      <c r="AV29" s="59"/>
      <c r="AW29" s="59"/>
      <c r="AX29" s="59"/>
    </row>
    <row r="30">
      <c r="A30" s="9">
        <v>24.0</v>
      </c>
      <c r="B30" s="10" t="s">
        <v>59</v>
      </c>
      <c r="C30" s="9" t="s">
        <v>153</v>
      </c>
      <c r="D30" s="9">
        <v>24.0</v>
      </c>
      <c r="E30" s="24" t="s">
        <v>47</v>
      </c>
      <c r="F30" s="9">
        <v>2025.0</v>
      </c>
      <c r="G30" s="9">
        <v>2025.0</v>
      </c>
      <c r="H30" s="9">
        <f>A4-F30</f>
        <v>1</v>
      </c>
      <c r="I30" s="117" t="s">
        <v>336</v>
      </c>
      <c r="J30" s="9">
        <v>6374.0</v>
      </c>
      <c r="K30" s="11" t="s">
        <v>266</v>
      </c>
      <c r="L30" s="9" t="s">
        <v>160</v>
      </c>
      <c r="M30" s="9" t="s">
        <v>161</v>
      </c>
      <c r="N30" s="9">
        <v>2015.0</v>
      </c>
      <c r="O30" s="9">
        <f>A4-N30</f>
        <v>11</v>
      </c>
      <c r="P30" s="9" t="s">
        <v>162</v>
      </c>
      <c r="Q30" s="9" t="s">
        <v>270</v>
      </c>
      <c r="R30" s="118" t="s">
        <v>364</v>
      </c>
      <c r="S30" s="118" t="s">
        <v>365</v>
      </c>
      <c r="T30" s="53">
        <f>VLOOKUP(B30,'Data aplikasi'!$A$2:$M$85,5,0)</f>
        <v>47833</v>
      </c>
      <c r="U30" s="153" t="str">
        <f t="shared" si="1"/>
        <v>Berlaku</v>
      </c>
      <c r="V30" s="53">
        <f>VLOOKUP(B30,'Data aplikasi'!$A$2:$M$85,6,0)</f>
        <v>46372</v>
      </c>
      <c r="W30" s="54" t="str">
        <f t="shared" si="2"/>
        <v>Berlaku</v>
      </c>
      <c r="X30" s="53">
        <f>VLOOKUP(B30,'Data aplikasi'!$A$2:$M$85,8,0)</f>
        <v>46332</v>
      </c>
      <c r="Y30" s="54" t="str">
        <f t="shared" si="3"/>
        <v>Akan Habis</v>
      </c>
      <c r="Z30" s="53">
        <f>VLOOKUP(B30,'Data aplikasi'!$A$2:$M$85,9,0)</f>
        <v>46332</v>
      </c>
      <c r="AA30" s="153" t="str">
        <f t="shared" si="4"/>
        <v>Berlaku</v>
      </c>
      <c r="AB30" s="53">
        <f>VLOOKUP(B30,'Data aplikasi'!$A$2:$M$85,10,0)</f>
        <v>46814</v>
      </c>
      <c r="AC30" s="153" t="str">
        <f t="shared" si="5"/>
        <v>Berlaku</v>
      </c>
      <c r="AD30" s="55">
        <f>VLOOKUP(B30,'Data aplikasi'!$A$2:$M$85,11,0)</f>
        <v>46459</v>
      </c>
      <c r="AE30" s="154" t="str">
        <f t="shared" si="6"/>
        <v>Berlaku</v>
      </c>
      <c r="AF30" s="155" t="s">
        <v>166</v>
      </c>
      <c r="AG30" s="155" t="s">
        <v>167</v>
      </c>
      <c r="AH30" s="156"/>
      <c r="AI30" s="29" t="s">
        <v>366</v>
      </c>
      <c r="AJ30" s="119"/>
      <c r="AK30" s="119"/>
      <c r="AL30" s="119"/>
      <c r="AM30" s="119"/>
      <c r="AN30" s="119"/>
      <c r="AO30" s="119"/>
      <c r="AP30" s="119"/>
      <c r="AQ30" s="157"/>
      <c r="AR30" s="157"/>
      <c r="AS30" s="119"/>
      <c r="AT30" s="119"/>
      <c r="AU30" s="119"/>
      <c r="AV30" s="119"/>
      <c r="AW30" s="119"/>
      <c r="AX30" s="119"/>
    </row>
    <row r="31">
      <c r="A31" s="9">
        <v>25.0</v>
      </c>
      <c r="B31" s="10" t="s">
        <v>62</v>
      </c>
      <c r="C31" s="9" t="s">
        <v>153</v>
      </c>
      <c r="D31" s="9">
        <v>24.0</v>
      </c>
      <c r="E31" s="24" t="s">
        <v>47</v>
      </c>
      <c r="F31" s="9">
        <v>2025.0</v>
      </c>
      <c r="G31" s="9">
        <v>2025.0</v>
      </c>
      <c r="H31" s="9">
        <f>A4-F31</f>
        <v>1</v>
      </c>
      <c r="I31" s="117" t="s">
        <v>336</v>
      </c>
      <c r="J31" s="9">
        <v>6374.0</v>
      </c>
      <c r="K31" s="11" t="s">
        <v>266</v>
      </c>
      <c r="L31" s="9" t="s">
        <v>160</v>
      </c>
      <c r="M31" s="9" t="s">
        <v>161</v>
      </c>
      <c r="N31" s="9">
        <v>2015.0</v>
      </c>
      <c r="O31" s="9">
        <f>A4-N31</f>
        <v>11</v>
      </c>
      <c r="P31" s="9" t="s">
        <v>162</v>
      </c>
      <c r="Q31" s="9" t="s">
        <v>270</v>
      </c>
      <c r="R31" s="118" t="s">
        <v>367</v>
      </c>
      <c r="S31" s="118" t="s">
        <v>368</v>
      </c>
      <c r="T31" s="53">
        <f>VLOOKUP(B31,'Data aplikasi'!$A$2:$M$85,5,0)</f>
        <v>47833</v>
      </c>
      <c r="U31" s="153" t="str">
        <f t="shared" si="1"/>
        <v>Berlaku</v>
      </c>
      <c r="V31" s="53">
        <f>VLOOKUP(B31,'Data aplikasi'!$A$2:$M$85,6,0)</f>
        <v>46372</v>
      </c>
      <c r="W31" s="54" t="str">
        <f t="shared" si="2"/>
        <v>Berlaku</v>
      </c>
      <c r="X31" s="53">
        <f>VLOOKUP(B31,'Data aplikasi'!$A$2:$M$85,8,0)</f>
        <v>46332</v>
      </c>
      <c r="Y31" s="54" t="str">
        <f t="shared" si="3"/>
        <v>Akan Habis</v>
      </c>
      <c r="Z31" s="53">
        <f>VLOOKUP(B31,'Data aplikasi'!$A$2:$M$85,9,0)</f>
        <v>46332</v>
      </c>
      <c r="AA31" s="153" t="str">
        <f t="shared" si="4"/>
        <v>Berlaku</v>
      </c>
      <c r="AB31" s="53">
        <f>VLOOKUP(B31,'Data aplikasi'!$A$2:$M$85,10,0)</f>
        <v>46816</v>
      </c>
      <c r="AC31" s="153" t="str">
        <f t="shared" si="5"/>
        <v>Berlaku</v>
      </c>
      <c r="AD31" s="55">
        <f>VLOOKUP(B31,'Data aplikasi'!$A$2:$M$85,11,0)</f>
        <v>46459</v>
      </c>
      <c r="AE31" s="154" t="str">
        <f t="shared" si="6"/>
        <v>Berlaku</v>
      </c>
      <c r="AF31" s="155" t="s">
        <v>166</v>
      </c>
      <c r="AG31" s="155" t="s">
        <v>167</v>
      </c>
      <c r="AH31" s="156"/>
      <c r="AI31" s="29" t="s">
        <v>369</v>
      </c>
      <c r="AJ31" s="119"/>
      <c r="AK31" s="119"/>
      <c r="AL31" s="119"/>
      <c r="AM31" s="119"/>
      <c r="AN31" s="119"/>
      <c r="AO31" s="119"/>
      <c r="AP31" s="119"/>
      <c r="AQ31" s="157"/>
      <c r="AR31" s="157"/>
      <c r="AS31" s="119"/>
      <c r="AT31" s="119"/>
      <c r="AU31" s="119"/>
      <c r="AV31" s="119"/>
      <c r="AW31" s="119"/>
      <c r="AX31" s="119"/>
    </row>
    <row r="32">
      <c r="A32" s="9">
        <v>26.0</v>
      </c>
      <c r="B32" s="10" t="s">
        <v>64</v>
      </c>
      <c r="C32" s="9" t="s">
        <v>153</v>
      </c>
      <c r="D32" s="9">
        <v>24.0</v>
      </c>
      <c r="E32" s="24" t="s">
        <v>47</v>
      </c>
      <c r="F32" s="9">
        <v>2025.0</v>
      </c>
      <c r="G32" s="9">
        <v>2025.0</v>
      </c>
      <c r="H32" s="9">
        <f>A4-F32</f>
        <v>1</v>
      </c>
      <c r="I32" s="117" t="s">
        <v>336</v>
      </c>
      <c r="J32" s="9">
        <v>6374.0</v>
      </c>
      <c r="K32" s="9" t="s">
        <v>266</v>
      </c>
      <c r="L32" s="9" t="s">
        <v>160</v>
      </c>
      <c r="M32" s="9" t="s">
        <v>161</v>
      </c>
      <c r="N32" s="9">
        <v>2015.0</v>
      </c>
      <c r="O32" s="9">
        <f>A4-N32</f>
        <v>11</v>
      </c>
      <c r="P32" s="9" t="s">
        <v>162</v>
      </c>
      <c r="Q32" s="9" t="s">
        <v>270</v>
      </c>
      <c r="R32" s="118" t="s">
        <v>370</v>
      </c>
      <c r="S32" s="118" t="s">
        <v>371</v>
      </c>
      <c r="T32" s="53">
        <f>VLOOKUP(B32,'Data aplikasi'!$A$2:$M$85,5,0)</f>
        <v>47833</v>
      </c>
      <c r="U32" s="153" t="str">
        <f t="shared" si="1"/>
        <v>Berlaku</v>
      </c>
      <c r="V32" s="53">
        <f>VLOOKUP(B32,'Data aplikasi'!$A$2:$M$85,6,0)</f>
        <v>46372</v>
      </c>
      <c r="W32" s="54" t="str">
        <f t="shared" si="2"/>
        <v>Berlaku</v>
      </c>
      <c r="X32" s="53">
        <f>VLOOKUP(B32,'Data aplikasi'!$A$2:$M$85,8,0)</f>
        <v>46332</v>
      </c>
      <c r="Y32" s="54" t="str">
        <f t="shared" si="3"/>
        <v>Akan Habis</v>
      </c>
      <c r="Z32" s="53">
        <f>VLOOKUP(B32,'Data aplikasi'!$A$2:$M$85,9,0)</f>
        <v>46332</v>
      </c>
      <c r="AA32" s="153" t="str">
        <f t="shared" si="4"/>
        <v>Berlaku</v>
      </c>
      <c r="AB32" s="53">
        <f>VLOOKUP(B32,'Data aplikasi'!$A$2:$M$85,10,0)</f>
        <v>46817</v>
      </c>
      <c r="AC32" s="153" t="str">
        <f t="shared" si="5"/>
        <v>Berlaku</v>
      </c>
      <c r="AD32" s="55">
        <f>VLOOKUP(B32,'Data aplikasi'!$A$2:$M$85,11,0)</f>
        <v>46459</v>
      </c>
      <c r="AE32" s="154" t="str">
        <f t="shared" si="6"/>
        <v>Berlaku</v>
      </c>
      <c r="AF32" s="155" t="s">
        <v>166</v>
      </c>
      <c r="AG32" s="155" t="s">
        <v>167</v>
      </c>
      <c r="AH32" s="156"/>
      <c r="AI32" s="29" t="s">
        <v>372</v>
      </c>
      <c r="AJ32" s="119"/>
      <c r="AK32" s="119"/>
      <c r="AL32" s="119"/>
      <c r="AM32" s="119"/>
      <c r="AN32" s="119"/>
      <c r="AO32" s="119"/>
      <c r="AP32" s="119"/>
      <c r="AQ32" s="157"/>
      <c r="AR32" s="157"/>
      <c r="AS32" s="119"/>
      <c r="AT32" s="119"/>
      <c r="AU32" s="119"/>
      <c r="AV32" s="119"/>
      <c r="AW32" s="119"/>
      <c r="AX32" s="119"/>
    </row>
    <row r="33">
      <c r="A33" s="9">
        <v>27.0</v>
      </c>
      <c r="B33" s="10" t="s">
        <v>66</v>
      </c>
      <c r="C33" s="11" t="s">
        <v>153</v>
      </c>
      <c r="D33" s="11">
        <v>24.0</v>
      </c>
      <c r="E33" s="14" t="s">
        <v>47</v>
      </c>
      <c r="F33" s="11">
        <v>2025.0</v>
      </c>
      <c r="G33" s="11">
        <v>2025.0</v>
      </c>
      <c r="H33" s="11">
        <f>A4-F33</f>
        <v>1</v>
      </c>
      <c r="I33" s="51" t="s">
        <v>373</v>
      </c>
      <c r="J33" s="11">
        <v>6374.0</v>
      </c>
      <c r="K33" s="11" t="s">
        <v>266</v>
      </c>
      <c r="L33" s="11" t="s">
        <v>160</v>
      </c>
      <c r="M33" s="11" t="s">
        <v>161</v>
      </c>
      <c r="N33" s="11">
        <v>2015.0</v>
      </c>
      <c r="O33" s="11">
        <f>A4-N33</f>
        <v>11</v>
      </c>
      <c r="P33" s="11" t="s">
        <v>162</v>
      </c>
      <c r="Q33" s="11" t="s">
        <v>270</v>
      </c>
      <c r="R33" s="52" t="s">
        <v>374</v>
      </c>
      <c r="S33" s="52" t="s">
        <v>375</v>
      </c>
      <c r="T33" s="53">
        <f>VLOOKUP(B33,'Data aplikasi'!$A$2:$M$85,5,0)</f>
        <v>47625</v>
      </c>
      <c r="U33" s="54" t="str">
        <f t="shared" si="1"/>
        <v>Berlaku</v>
      </c>
      <c r="V33" s="53">
        <f>VLOOKUP(B33,'Data aplikasi'!$A$2:$M$85,6,0)</f>
        <v>46529</v>
      </c>
      <c r="W33" s="54" t="str">
        <f t="shared" si="2"/>
        <v>Berlaku</v>
      </c>
      <c r="X33" s="53">
        <f>VLOOKUP(B33,'Data aplikasi'!$A$2:$M$85,8,0)</f>
        <v>46331</v>
      </c>
      <c r="Y33" s="54" t="str">
        <f t="shared" si="3"/>
        <v>Akan Habis</v>
      </c>
      <c r="Z33" s="53">
        <f>VLOOKUP(B33,'Data aplikasi'!$A$2:$M$85,9,0)</f>
        <v>46331</v>
      </c>
      <c r="AA33" s="54" t="str">
        <f t="shared" si="4"/>
        <v>Berlaku</v>
      </c>
      <c r="AB33" s="53">
        <f>VLOOKUP(B33,'Data aplikasi'!$A$2:$M$85,10,0)</f>
        <v>46571</v>
      </c>
      <c r="AC33" s="54" t="str">
        <f t="shared" si="5"/>
        <v>Berlaku</v>
      </c>
      <c r="AD33" s="55">
        <f>VLOOKUP(B33,'Data aplikasi'!$A$2:$M$85,11,0)</f>
        <v>46340</v>
      </c>
      <c r="AE33" s="56" t="str">
        <f t="shared" si="6"/>
        <v>Berlaku</v>
      </c>
      <c r="AF33" s="57" t="s">
        <v>166</v>
      </c>
      <c r="AG33" s="57" t="s">
        <v>167</v>
      </c>
      <c r="AH33" s="14"/>
      <c r="AI33" s="158" t="s">
        <v>376</v>
      </c>
      <c r="AJ33" s="59"/>
      <c r="AK33" s="59"/>
      <c r="AL33" s="59"/>
      <c r="AM33" s="59"/>
      <c r="AN33" s="59"/>
      <c r="AO33" s="59"/>
      <c r="AP33" s="59"/>
      <c r="AQ33" s="148"/>
      <c r="AR33" s="148"/>
      <c r="AS33" s="59"/>
      <c r="AT33" s="59"/>
      <c r="AU33" s="59"/>
      <c r="AV33" s="59"/>
      <c r="AW33" s="59"/>
      <c r="AX33" s="59"/>
    </row>
    <row r="34">
      <c r="A34" s="9">
        <v>28.0</v>
      </c>
      <c r="B34" s="10" t="s">
        <v>68</v>
      </c>
      <c r="C34" s="11" t="s">
        <v>153</v>
      </c>
      <c r="D34" s="11">
        <v>24.0</v>
      </c>
      <c r="E34" s="14" t="s">
        <v>47</v>
      </c>
      <c r="F34" s="11">
        <v>2025.0</v>
      </c>
      <c r="G34" s="11">
        <v>2025.0</v>
      </c>
      <c r="H34" s="11">
        <f>A4-F34</f>
        <v>1</v>
      </c>
      <c r="I34" s="51" t="s">
        <v>373</v>
      </c>
      <c r="J34" s="11">
        <v>6374.0</v>
      </c>
      <c r="K34" s="11" t="s">
        <v>266</v>
      </c>
      <c r="L34" s="11" t="s">
        <v>160</v>
      </c>
      <c r="M34" s="11" t="s">
        <v>161</v>
      </c>
      <c r="N34" s="11">
        <v>2015.0</v>
      </c>
      <c r="O34" s="11">
        <f>A4-N34</f>
        <v>11</v>
      </c>
      <c r="P34" s="11" t="s">
        <v>162</v>
      </c>
      <c r="Q34" s="11" t="s">
        <v>270</v>
      </c>
      <c r="R34" s="52" t="s">
        <v>377</v>
      </c>
      <c r="S34" s="52" t="s">
        <v>378</v>
      </c>
      <c r="T34" s="53">
        <f>VLOOKUP(B34,'Data aplikasi'!$A$2:$M$85,5,0)</f>
        <v>47625</v>
      </c>
      <c r="U34" s="54" t="str">
        <f t="shared" si="1"/>
        <v>Berlaku</v>
      </c>
      <c r="V34" s="53">
        <f>VLOOKUP(B34,'Data aplikasi'!$A$2:$M$85,6,0)</f>
        <v>46529</v>
      </c>
      <c r="W34" s="54" t="str">
        <f t="shared" si="2"/>
        <v>Berlaku</v>
      </c>
      <c r="X34" s="53">
        <f>VLOOKUP(B34,'Data aplikasi'!$A$2:$M$85,8,0)</f>
        <v>46360</v>
      </c>
      <c r="Y34" s="54" t="str">
        <f t="shared" si="3"/>
        <v>Berlaku</v>
      </c>
      <c r="Z34" s="53">
        <f>VLOOKUP(B34,'Data aplikasi'!$A$2:$M$85,9,0)</f>
        <v>46331</v>
      </c>
      <c r="AA34" s="54" t="str">
        <f t="shared" si="4"/>
        <v>Berlaku</v>
      </c>
      <c r="AB34" s="53">
        <f>VLOOKUP(B34,'Data aplikasi'!$A$2:$M$85,10,0)</f>
        <v>46575</v>
      </c>
      <c r="AC34" s="54" t="str">
        <f t="shared" si="5"/>
        <v>Berlaku</v>
      </c>
      <c r="AD34" s="55">
        <f>VLOOKUP(B34,'Data aplikasi'!$A$2:$M$85,11,0)</f>
        <v>46340</v>
      </c>
      <c r="AE34" s="56" t="str">
        <f t="shared" si="6"/>
        <v>Berlaku</v>
      </c>
      <c r="AF34" s="57" t="s">
        <v>166</v>
      </c>
      <c r="AG34" s="57" t="s">
        <v>167</v>
      </c>
      <c r="AH34" s="14"/>
      <c r="AI34" s="158" t="s">
        <v>379</v>
      </c>
      <c r="AJ34" s="59"/>
      <c r="AK34" s="59"/>
      <c r="AL34" s="59"/>
      <c r="AM34" s="59"/>
      <c r="AN34" s="59"/>
      <c r="AO34" s="59"/>
      <c r="AP34" s="59"/>
      <c r="AQ34" s="148"/>
      <c r="AR34" s="148"/>
      <c r="AS34" s="59"/>
      <c r="AT34" s="59"/>
      <c r="AU34" s="59"/>
      <c r="AV34" s="59"/>
      <c r="AW34" s="59"/>
      <c r="AX34" s="59"/>
    </row>
    <row r="35">
      <c r="A35" s="9">
        <v>29.0</v>
      </c>
      <c r="B35" s="10" t="s">
        <v>69</v>
      </c>
      <c r="C35" s="11" t="s">
        <v>153</v>
      </c>
      <c r="D35" s="11">
        <v>24.0</v>
      </c>
      <c r="E35" s="14" t="s">
        <v>47</v>
      </c>
      <c r="F35" s="11">
        <v>2025.0</v>
      </c>
      <c r="G35" s="11">
        <v>2025.0</v>
      </c>
      <c r="H35" s="11">
        <f>A4-F35</f>
        <v>1</v>
      </c>
      <c r="I35" s="51" t="s">
        <v>373</v>
      </c>
      <c r="J35" s="11">
        <v>6374.0</v>
      </c>
      <c r="K35" s="11" t="s">
        <v>266</v>
      </c>
      <c r="L35" s="11" t="s">
        <v>160</v>
      </c>
      <c r="M35" s="11" t="s">
        <v>161</v>
      </c>
      <c r="N35" s="11">
        <v>2015.0</v>
      </c>
      <c r="O35" s="11">
        <f>A4-N35</f>
        <v>11</v>
      </c>
      <c r="P35" s="11" t="s">
        <v>162</v>
      </c>
      <c r="Q35" s="11" t="s">
        <v>270</v>
      </c>
      <c r="R35" s="14" t="s">
        <v>380</v>
      </c>
      <c r="S35" s="52" t="s">
        <v>381</v>
      </c>
      <c r="T35" s="53">
        <f>VLOOKUP(B35,'Data aplikasi'!$A$2:$M$85,5,0)</f>
        <v>47625</v>
      </c>
      <c r="U35" s="54" t="str">
        <f t="shared" si="1"/>
        <v>Berlaku</v>
      </c>
      <c r="V35" s="53">
        <f>VLOOKUP(B35,'Data aplikasi'!$A$2:$M$85,6,0)</f>
        <v>46529</v>
      </c>
      <c r="W35" s="54" t="str">
        <f t="shared" si="2"/>
        <v>Berlaku</v>
      </c>
      <c r="X35" s="53">
        <f>VLOOKUP(B35,'Data aplikasi'!$A$2:$M$85,8,0)</f>
        <v>46331</v>
      </c>
      <c r="Y35" s="54" t="str">
        <f t="shared" si="3"/>
        <v>Akan Habis</v>
      </c>
      <c r="Z35" s="53">
        <f>VLOOKUP(B35,'Data aplikasi'!$A$2:$M$85,9,0)</f>
        <v>46331</v>
      </c>
      <c r="AA35" s="54" t="str">
        <f t="shared" si="4"/>
        <v>Berlaku</v>
      </c>
      <c r="AB35" s="53">
        <f>VLOOKUP(B35,'Data aplikasi'!$A$2:$M$85,10,0)</f>
        <v>46570</v>
      </c>
      <c r="AC35" s="54" t="str">
        <f t="shared" si="5"/>
        <v>Berlaku</v>
      </c>
      <c r="AD35" s="55">
        <f>VLOOKUP(B35,'Data aplikasi'!$A$2:$M$85,11,0)</f>
        <v>46340</v>
      </c>
      <c r="AE35" s="56" t="str">
        <f t="shared" si="6"/>
        <v>Berlaku</v>
      </c>
      <c r="AF35" s="57" t="s">
        <v>166</v>
      </c>
      <c r="AG35" s="57" t="s">
        <v>167</v>
      </c>
      <c r="AH35" s="14"/>
      <c r="AI35" s="158" t="s">
        <v>382</v>
      </c>
      <c r="AJ35" s="59"/>
      <c r="AK35" s="59"/>
      <c r="AL35" s="59"/>
      <c r="AM35" s="59"/>
      <c r="AN35" s="59"/>
      <c r="AO35" s="59"/>
      <c r="AP35" s="59"/>
      <c r="AQ35" s="148"/>
      <c r="AR35" s="148"/>
      <c r="AS35" s="59"/>
      <c r="AT35" s="138"/>
      <c r="AU35" s="138"/>
      <c r="AV35" s="138"/>
      <c r="AW35" s="138"/>
      <c r="AX35" s="138"/>
    </row>
    <row r="36">
      <c r="A36" s="9">
        <v>30.0</v>
      </c>
      <c r="B36" s="10" t="s">
        <v>70</v>
      </c>
      <c r="C36" s="11" t="s">
        <v>153</v>
      </c>
      <c r="D36" s="11">
        <v>24.0</v>
      </c>
      <c r="E36" s="14" t="s">
        <v>47</v>
      </c>
      <c r="F36" s="11">
        <v>2025.0</v>
      </c>
      <c r="G36" s="11">
        <v>2025.0</v>
      </c>
      <c r="H36" s="11">
        <f>A4-F36</f>
        <v>1</v>
      </c>
      <c r="I36" s="51" t="s">
        <v>373</v>
      </c>
      <c r="J36" s="11">
        <v>6374.0</v>
      </c>
      <c r="K36" s="11" t="s">
        <v>266</v>
      </c>
      <c r="L36" s="11" t="s">
        <v>160</v>
      </c>
      <c r="M36" s="11" t="s">
        <v>161</v>
      </c>
      <c r="N36" s="11">
        <v>2015.0</v>
      </c>
      <c r="O36" s="11">
        <f>A4-N36</f>
        <v>11</v>
      </c>
      <c r="P36" s="11" t="s">
        <v>162</v>
      </c>
      <c r="Q36" s="11" t="s">
        <v>270</v>
      </c>
      <c r="R36" s="14">
        <v>4.00963001792246E14</v>
      </c>
      <c r="S36" s="52" t="s">
        <v>383</v>
      </c>
      <c r="T36" s="53">
        <f>VLOOKUP(B36,'Data aplikasi'!$A$2:$M$85,5,0)</f>
        <v>47716</v>
      </c>
      <c r="U36" s="54" t="str">
        <f t="shared" si="1"/>
        <v>Berlaku</v>
      </c>
      <c r="V36" s="53">
        <f>VLOOKUP(B36,'Data aplikasi'!$A$2:$M$85,6,0)</f>
        <v>46620</v>
      </c>
      <c r="W36" s="54" t="str">
        <f t="shared" si="2"/>
        <v>Berlaku</v>
      </c>
      <c r="X36" s="53">
        <f>VLOOKUP(B36,'Data aplikasi'!$A$2:$M$85,8,0)</f>
        <v>46311</v>
      </c>
      <c r="Y36" s="54" t="str">
        <f t="shared" si="3"/>
        <v>Akan Habis</v>
      </c>
      <c r="Z36" s="53">
        <f>VLOOKUP(B36,'Data aplikasi'!$A$2:$M$85,9,0)</f>
        <v>46311</v>
      </c>
      <c r="AA36" s="54" t="str">
        <f t="shared" si="4"/>
        <v>Akan Habis</v>
      </c>
      <c r="AB36" s="53">
        <f>VLOOKUP(B36,'Data aplikasi'!$A$2:$M$85,10,0)</f>
        <v>46688</v>
      </c>
      <c r="AC36" s="54" t="str">
        <f t="shared" si="5"/>
        <v>Berlaku</v>
      </c>
      <c r="AD36" s="55">
        <f>VLOOKUP(B36,'Data aplikasi'!$A$2:$M$85,11,0)</f>
        <v>46332</v>
      </c>
      <c r="AE36" s="56" t="str">
        <f t="shared" si="6"/>
        <v>Berlaku</v>
      </c>
      <c r="AF36" s="57" t="s">
        <v>166</v>
      </c>
      <c r="AG36" s="57" t="s">
        <v>167</v>
      </c>
      <c r="AH36" s="14"/>
      <c r="AI36" s="158" t="s">
        <v>384</v>
      </c>
      <c r="AJ36" s="59"/>
      <c r="AK36" s="59"/>
      <c r="AL36" s="59"/>
      <c r="AM36" s="59"/>
      <c r="AN36" s="59"/>
      <c r="AO36" s="59"/>
      <c r="AP36" s="59"/>
      <c r="AQ36" s="148"/>
      <c r="AR36" s="148"/>
      <c r="AS36" s="59"/>
      <c r="AT36" s="138"/>
      <c r="AU36" s="138"/>
      <c r="AV36" s="138"/>
      <c r="AW36" s="138"/>
      <c r="AX36" s="138"/>
    </row>
    <row r="37">
      <c r="A37" s="9">
        <v>31.0</v>
      </c>
      <c r="B37" s="10" t="s">
        <v>71</v>
      </c>
      <c r="C37" s="11" t="s">
        <v>153</v>
      </c>
      <c r="D37" s="11">
        <v>24.0</v>
      </c>
      <c r="E37" s="14" t="s">
        <v>47</v>
      </c>
      <c r="F37" s="11">
        <v>2025.0</v>
      </c>
      <c r="G37" s="11">
        <v>2025.0</v>
      </c>
      <c r="H37" s="11">
        <f t="shared" ref="H37:H42" si="8">$A$4-F37</f>
        <v>1</v>
      </c>
      <c r="I37" s="51" t="s">
        <v>373</v>
      </c>
      <c r="J37" s="11">
        <v>6374.0</v>
      </c>
      <c r="K37" s="11" t="s">
        <v>266</v>
      </c>
      <c r="L37" s="11" t="s">
        <v>160</v>
      </c>
      <c r="M37" s="11" t="s">
        <v>161</v>
      </c>
      <c r="N37" s="11">
        <v>2014.0</v>
      </c>
      <c r="O37" s="11">
        <f t="shared" ref="O37:O42" si="9">$A$4-N37</f>
        <v>12</v>
      </c>
      <c r="P37" s="46" t="s">
        <v>162</v>
      </c>
      <c r="Q37" s="11" t="s">
        <v>270</v>
      </c>
      <c r="R37" s="14" t="s">
        <v>385</v>
      </c>
      <c r="S37" s="52" t="s">
        <v>386</v>
      </c>
      <c r="T37" s="53">
        <f>VLOOKUP(B37,'Data aplikasi'!$A$2:$M$85,5,0)</f>
        <v>47779</v>
      </c>
      <c r="U37" s="54" t="str">
        <f t="shared" si="1"/>
        <v>Berlaku</v>
      </c>
      <c r="V37" s="53">
        <f>VLOOKUP(B37,'Data aplikasi'!$A$2:$M$85,6,0)</f>
        <v>46318</v>
      </c>
      <c r="W37" s="54" t="str">
        <f t="shared" si="2"/>
        <v>Akan Habis</v>
      </c>
      <c r="X37" s="53">
        <f>VLOOKUP(B37,'Data aplikasi'!$A$2:$M$85,8,0)</f>
        <v>46337</v>
      </c>
      <c r="Y37" s="54" t="str">
        <f t="shared" si="3"/>
        <v>Akan Habis</v>
      </c>
      <c r="Z37" s="53">
        <f>VLOOKUP(B37,'Data aplikasi'!$A$2:$M$85,9,0)</f>
        <v>46337</v>
      </c>
      <c r="AA37" s="54" t="str">
        <f t="shared" si="4"/>
        <v>Berlaku</v>
      </c>
      <c r="AB37" s="53">
        <f>VLOOKUP(B37,'Data aplikasi'!$A$2:$M$85,10,0)</f>
        <v>46719</v>
      </c>
      <c r="AC37" s="54" t="str">
        <f t="shared" si="5"/>
        <v>Berlaku</v>
      </c>
      <c r="AD37" s="55">
        <f>VLOOKUP(B37,'Data aplikasi'!$A$2:$M$85,11,0)</f>
        <v>46373</v>
      </c>
      <c r="AE37" s="56" t="str">
        <f t="shared" si="6"/>
        <v>Berlaku</v>
      </c>
      <c r="AF37" s="57" t="s">
        <v>166</v>
      </c>
      <c r="AG37" s="57" t="s">
        <v>167</v>
      </c>
      <c r="AH37" s="14"/>
      <c r="AI37" s="158" t="s">
        <v>389</v>
      </c>
      <c r="AJ37" s="59"/>
      <c r="AK37" s="59"/>
      <c r="AL37" s="59"/>
      <c r="AM37" s="59"/>
      <c r="AN37" s="59"/>
      <c r="AO37" s="59"/>
      <c r="AP37" s="59"/>
      <c r="AQ37" s="148"/>
      <c r="AR37" s="148"/>
      <c r="AS37" s="59"/>
      <c r="AT37" s="138"/>
      <c r="AU37" s="138"/>
      <c r="AV37" s="138"/>
      <c r="AW37" s="138"/>
      <c r="AX37" s="138"/>
    </row>
    <row r="38">
      <c r="A38" s="9">
        <v>32.0</v>
      </c>
      <c r="B38" s="10" t="s">
        <v>72</v>
      </c>
      <c r="C38" s="11" t="s">
        <v>153</v>
      </c>
      <c r="D38" s="11">
        <v>24.0</v>
      </c>
      <c r="E38" s="14" t="s">
        <v>47</v>
      </c>
      <c r="F38" s="11">
        <v>2025.0</v>
      </c>
      <c r="G38" s="11">
        <v>2025.0</v>
      </c>
      <c r="H38" s="11">
        <f t="shared" si="8"/>
        <v>1</v>
      </c>
      <c r="I38" s="51" t="s">
        <v>373</v>
      </c>
      <c r="J38" s="11">
        <v>6374.0</v>
      </c>
      <c r="K38" s="11" t="s">
        <v>266</v>
      </c>
      <c r="L38" s="11" t="s">
        <v>160</v>
      </c>
      <c r="M38" s="11" t="s">
        <v>161</v>
      </c>
      <c r="N38" s="11">
        <v>2015.0</v>
      </c>
      <c r="O38" s="11">
        <f t="shared" si="9"/>
        <v>11</v>
      </c>
      <c r="P38" s="46" t="s">
        <v>162</v>
      </c>
      <c r="Q38" s="11" t="s">
        <v>270</v>
      </c>
      <c r="R38" s="14" t="s">
        <v>390</v>
      </c>
      <c r="S38" s="52" t="s">
        <v>391</v>
      </c>
      <c r="T38" s="53">
        <f>VLOOKUP(B38,'Data aplikasi'!$A$2:$M$85,5,0)</f>
        <v>47779</v>
      </c>
      <c r="U38" s="54" t="str">
        <f t="shared" si="1"/>
        <v>Berlaku</v>
      </c>
      <c r="V38" s="53">
        <f>VLOOKUP(B38,'Data aplikasi'!$A$2:$M$85,6,0)</f>
        <v>46318</v>
      </c>
      <c r="W38" s="54" t="str">
        <f t="shared" si="2"/>
        <v>Akan Habis</v>
      </c>
      <c r="X38" s="53">
        <f>VLOOKUP(B38,'Data aplikasi'!$A$2:$M$85,8,0)</f>
        <v>46337</v>
      </c>
      <c r="Y38" s="54" t="str">
        <f t="shared" si="3"/>
        <v>Akan Habis</v>
      </c>
      <c r="Z38" s="53">
        <f>VLOOKUP(B38,'Data aplikasi'!$A$2:$M$85,9,0)</f>
        <v>46337</v>
      </c>
      <c r="AA38" s="54" t="str">
        <f t="shared" si="4"/>
        <v>Berlaku</v>
      </c>
      <c r="AB38" s="53">
        <f>VLOOKUP(B38,'Data aplikasi'!$A$2:$M$85,10,0)</f>
        <v>46717</v>
      </c>
      <c r="AC38" s="54" t="str">
        <f t="shared" si="5"/>
        <v>Berlaku</v>
      </c>
      <c r="AD38" s="55">
        <f>VLOOKUP(B38,'Data aplikasi'!$A$2:$M$85,11,0)</f>
        <v>46373</v>
      </c>
      <c r="AE38" s="56" t="str">
        <f t="shared" si="6"/>
        <v>Berlaku</v>
      </c>
      <c r="AF38" s="57" t="s">
        <v>166</v>
      </c>
      <c r="AG38" s="57" t="s">
        <v>167</v>
      </c>
      <c r="AH38" s="14"/>
      <c r="AI38" s="158" t="s">
        <v>392</v>
      </c>
      <c r="AJ38" s="59"/>
      <c r="AK38" s="59"/>
      <c r="AL38" s="59"/>
      <c r="AM38" s="59"/>
      <c r="AN38" s="59"/>
      <c r="AO38" s="59"/>
      <c r="AP38" s="59"/>
      <c r="AQ38" s="148"/>
      <c r="AR38" s="148"/>
      <c r="AS38" s="59"/>
      <c r="AT38" s="138"/>
      <c r="AU38" s="138"/>
      <c r="AV38" s="138"/>
      <c r="AW38" s="138"/>
      <c r="AX38" s="138"/>
    </row>
    <row r="39">
      <c r="A39" s="9">
        <v>33.0</v>
      </c>
      <c r="B39" s="10" t="s">
        <v>73</v>
      </c>
      <c r="C39" s="11" t="s">
        <v>153</v>
      </c>
      <c r="D39" s="11">
        <v>24.0</v>
      </c>
      <c r="E39" s="14" t="s">
        <v>47</v>
      </c>
      <c r="F39" s="11">
        <v>2025.0</v>
      </c>
      <c r="G39" s="11">
        <v>2025.0</v>
      </c>
      <c r="H39" s="11">
        <f t="shared" si="8"/>
        <v>1</v>
      </c>
      <c r="I39" s="51" t="s">
        <v>373</v>
      </c>
      <c r="J39" s="11">
        <v>6374.0</v>
      </c>
      <c r="K39" s="11" t="s">
        <v>266</v>
      </c>
      <c r="L39" s="11" t="s">
        <v>160</v>
      </c>
      <c r="M39" s="11" t="s">
        <v>161</v>
      </c>
      <c r="N39" s="11">
        <v>2015.0</v>
      </c>
      <c r="O39" s="11">
        <f t="shared" si="9"/>
        <v>11</v>
      </c>
      <c r="P39" s="46" t="s">
        <v>162</v>
      </c>
      <c r="Q39" s="11" t="s">
        <v>270</v>
      </c>
      <c r="R39" s="14" t="s">
        <v>393</v>
      </c>
      <c r="S39" s="52" t="s">
        <v>394</v>
      </c>
      <c r="T39" s="53">
        <f>VLOOKUP(B39,'Data aplikasi'!$A$2:$M$85,5,0)</f>
        <v>47779</v>
      </c>
      <c r="U39" s="54" t="str">
        <f t="shared" si="1"/>
        <v>Berlaku</v>
      </c>
      <c r="V39" s="53">
        <f>VLOOKUP(B39,'Data aplikasi'!$A$2:$M$85,6,0)</f>
        <v>46318</v>
      </c>
      <c r="W39" s="54" t="str">
        <f t="shared" si="2"/>
        <v>Akan Habis</v>
      </c>
      <c r="X39" s="53">
        <f>VLOOKUP(B39,'Data aplikasi'!$A$2:$M$85,8,0)</f>
        <v>46337</v>
      </c>
      <c r="Y39" s="54" t="str">
        <f t="shared" si="3"/>
        <v>Akan Habis</v>
      </c>
      <c r="Z39" s="53">
        <f>VLOOKUP(B39,'Data aplikasi'!$A$2:$M$85,9,0)</f>
        <v>46337</v>
      </c>
      <c r="AA39" s="54" t="str">
        <f t="shared" si="4"/>
        <v>Berlaku</v>
      </c>
      <c r="AB39" s="53">
        <f>VLOOKUP(B39,'Data aplikasi'!$A$2:$M$85,10,0)</f>
        <v>46718</v>
      </c>
      <c r="AC39" s="54" t="str">
        <f t="shared" si="5"/>
        <v>Berlaku</v>
      </c>
      <c r="AD39" s="55">
        <f>VLOOKUP(B39,'Data aplikasi'!$A$2:$M$85,11,0)</f>
        <v>46373</v>
      </c>
      <c r="AE39" s="56" t="str">
        <f t="shared" si="6"/>
        <v>Berlaku</v>
      </c>
      <c r="AF39" s="57" t="s">
        <v>166</v>
      </c>
      <c r="AG39" s="57" t="s">
        <v>167</v>
      </c>
      <c r="AH39" s="14"/>
      <c r="AI39" s="158" t="s">
        <v>396</v>
      </c>
      <c r="AJ39" s="59"/>
      <c r="AK39" s="59"/>
      <c r="AL39" s="59"/>
      <c r="AM39" s="59"/>
      <c r="AN39" s="59"/>
      <c r="AO39" s="59"/>
      <c r="AP39" s="59"/>
      <c r="AQ39" s="148"/>
      <c r="AR39" s="148"/>
      <c r="AS39" s="59"/>
      <c r="AT39" s="138"/>
      <c r="AU39" s="138"/>
      <c r="AV39" s="138"/>
      <c r="AW39" s="138"/>
      <c r="AX39" s="138"/>
    </row>
    <row r="40">
      <c r="A40" s="9">
        <v>34.0</v>
      </c>
      <c r="B40" s="10" t="s">
        <v>74</v>
      </c>
      <c r="C40" s="11" t="s">
        <v>153</v>
      </c>
      <c r="D40" s="11">
        <v>24.0</v>
      </c>
      <c r="E40" s="14" t="s">
        <v>47</v>
      </c>
      <c r="F40" s="11">
        <v>2025.0</v>
      </c>
      <c r="G40" s="11">
        <v>2025.0</v>
      </c>
      <c r="H40" s="11">
        <f t="shared" si="8"/>
        <v>1</v>
      </c>
      <c r="I40" s="51" t="s">
        <v>373</v>
      </c>
      <c r="J40" s="11">
        <v>6374.0</v>
      </c>
      <c r="K40" s="11" t="s">
        <v>266</v>
      </c>
      <c r="L40" s="11" t="s">
        <v>160</v>
      </c>
      <c r="M40" s="11" t="s">
        <v>161</v>
      </c>
      <c r="N40" s="11">
        <v>2015.0</v>
      </c>
      <c r="O40" s="11">
        <f t="shared" si="9"/>
        <v>11</v>
      </c>
      <c r="P40" s="46" t="s">
        <v>162</v>
      </c>
      <c r="Q40" s="11" t="s">
        <v>270</v>
      </c>
      <c r="R40" s="14">
        <v>4.009530019504E13</v>
      </c>
      <c r="S40" s="52" t="s">
        <v>397</v>
      </c>
      <c r="T40" s="53">
        <f>VLOOKUP(B40,'Data aplikasi'!$A$2:$M$85,5,0)</f>
        <v>47801</v>
      </c>
      <c r="U40" s="54" t="str">
        <f t="shared" si="1"/>
        <v>Berlaku</v>
      </c>
      <c r="V40" s="53">
        <f>VLOOKUP(B40,'Data aplikasi'!$A$2:$M$85,6,0)</f>
        <v>46340</v>
      </c>
      <c r="W40" s="54" t="str">
        <f t="shared" si="2"/>
        <v>Akan Habis</v>
      </c>
      <c r="X40" s="53">
        <f>VLOOKUP(B40,'Data aplikasi'!$A$2:$M$85,8,0)</f>
        <v>46337</v>
      </c>
      <c r="Y40" s="54" t="str">
        <f t="shared" si="3"/>
        <v>Akan Habis</v>
      </c>
      <c r="Z40" s="53">
        <f>VLOOKUP(B40,'Data aplikasi'!$A$2:$M$85,9,0)</f>
        <v>46337</v>
      </c>
      <c r="AA40" s="54" t="str">
        <f t="shared" si="4"/>
        <v>Berlaku</v>
      </c>
      <c r="AB40" s="53">
        <f>VLOOKUP(B40,'Data aplikasi'!$A$2:$M$85,10,0)</f>
        <v>46723</v>
      </c>
      <c r="AC40" s="54" t="str">
        <f t="shared" si="5"/>
        <v>Berlaku</v>
      </c>
      <c r="AD40" s="55">
        <f>VLOOKUP(B40,'Data aplikasi'!$A$2:$M$85,11,0)</f>
        <v>46374</v>
      </c>
      <c r="AE40" s="56" t="str">
        <f t="shared" si="6"/>
        <v>Berlaku</v>
      </c>
      <c r="AF40" s="57" t="s">
        <v>166</v>
      </c>
      <c r="AG40" s="57" t="s">
        <v>167</v>
      </c>
      <c r="AH40" s="14"/>
      <c r="AI40" s="158" t="s">
        <v>398</v>
      </c>
      <c r="AJ40" s="59"/>
      <c r="AK40" s="59"/>
      <c r="AL40" s="59"/>
      <c r="AM40" s="59"/>
      <c r="AN40" s="59"/>
      <c r="AO40" s="59"/>
      <c r="AP40" s="59"/>
      <c r="AQ40" s="148"/>
      <c r="AR40" s="148"/>
      <c r="AS40" s="59"/>
      <c r="AT40" s="138"/>
      <c r="AU40" s="138"/>
      <c r="AV40" s="138"/>
      <c r="AW40" s="138"/>
      <c r="AX40" s="138"/>
    </row>
    <row r="41">
      <c r="A41" s="9">
        <v>35.0</v>
      </c>
      <c r="B41" s="10" t="s">
        <v>75</v>
      </c>
      <c r="C41" s="11" t="s">
        <v>153</v>
      </c>
      <c r="D41" s="11">
        <v>24.0</v>
      </c>
      <c r="E41" s="14" t="s">
        <v>47</v>
      </c>
      <c r="F41" s="11">
        <v>2025.0</v>
      </c>
      <c r="G41" s="11">
        <v>2025.0</v>
      </c>
      <c r="H41" s="11">
        <f t="shared" si="8"/>
        <v>1</v>
      </c>
      <c r="I41" s="51" t="s">
        <v>373</v>
      </c>
      <c r="J41" s="11">
        <v>6374.0</v>
      </c>
      <c r="K41" s="11" t="s">
        <v>266</v>
      </c>
      <c r="L41" s="11" t="s">
        <v>160</v>
      </c>
      <c r="M41" s="11" t="s">
        <v>161</v>
      </c>
      <c r="N41" s="11">
        <v>2015.0</v>
      </c>
      <c r="O41" s="11">
        <f t="shared" si="9"/>
        <v>11</v>
      </c>
      <c r="P41" s="46" t="s">
        <v>162</v>
      </c>
      <c r="Q41" s="11" t="s">
        <v>270</v>
      </c>
      <c r="R41" s="14" t="s">
        <v>399</v>
      </c>
      <c r="S41" s="52" t="s">
        <v>400</v>
      </c>
      <c r="T41" s="53">
        <f>VLOOKUP(B41,'Data aplikasi'!$A$2:$M$85,5,0)</f>
        <v>47801</v>
      </c>
      <c r="U41" s="54" t="str">
        <f t="shared" si="1"/>
        <v>Berlaku</v>
      </c>
      <c r="V41" s="53">
        <f>VLOOKUP(B41,'Data aplikasi'!$A$2:$M$85,6,0)</f>
        <v>46340</v>
      </c>
      <c r="W41" s="54" t="str">
        <f t="shared" si="2"/>
        <v>Akan Habis</v>
      </c>
      <c r="X41" s="53">
        <f>VLOOKUP(B41,'Data aplikasi'!$A$2:$M$85,8,0)</f>
        <v>46337</v>
      </c>
      <c r="Y41" s="54" t="str">
        <f t="shared" si="3"/>
        <v>Akan Habis</v>
      </c>
      <c r="Z41" s="53">
        <f>VLOOKUP(B41,'Data aplikasi'!$A$2:$M$85,9,0)</f>
        <v>46337</v>
      </c>
      <c r="AA41" s="54" t="str">
        <f t="shared" si="4"/>
        <v>Berlaku</v>
      </c>
      <c r="AB41" s="53">
        <f>VLOOKUP(B41,'Data aplikasi'!$A$2:$M$85,10,0)</f>
        <v>46724</v>
      </c>
      <c r="AC41" s="54" t="str">
        <f t="shared" si="5"/>
        <v>Berlaku</v>
      </c>
      <c r="AD41" s="55">
        <f>VLOOKUP(B41,'Data aplikasi'!$A$2:$M$85,11,0)</f>
        <v>46374</v>
      </c>
      <c r="AE41" s="56" t="str">
        <f t="shared" si="6"/>
        <v>Berlaku</v>
      </c>
      <c r="AF41" s="57" t="s">
        <v>166</v>
      </c>
      <c r="AG41" s="57" t="s">
        <v>167</v>
      </c>
      <c r="AH41" s="14"/>
      <c r="AI41" s="158" t="s">
        <v>401</v>
      </c>
      <c r="AJ41" s="59"/>
      <c r="AK41" s="59"/>
      <c r="AL41" s="59"/>
      <c r="AM41" s="59"/>
      <c r="AN41" s="59"/>
      <c r="AO41" s="59"/>
      <c r="AP41" s="59"/>
      <c r="AQ41" s="148"/>
      <c r="AR41" s="148"/>
      <c r="AS41" s="59"/>
      <c r="AT41" s="138"/>
      <c r="AU41" s="138"/>
      <c r="AV41" s="138"/>
      <c r="AW41" s="138"/>
      <c r="AX41" s="138"/>
    </row>
    <row r="42">
      <c r="A42" s="9">
        <v>36.0</v>
      </c>
      <c r="B42" s="10" t="s">
        <v>76</v>
      </c>
      <c r="C42" s="11" t="s">
        <v>153</v>
      </c>
      <c r="D42" s="11">
        <v>24.0</v>
      </c>
      <c r="E42" s="14" t="s">
        <v>47</v>
      </c>
      <c r="F42" s="11">
        <v>2026.0</v>
      </c>
      <c r="G42" s="11">
        <v>2026.0</v>
      </c>
      <c r="H42" s="11">
        <f t="shared" si="8"/>
        <v>0</v>
      </c>
      <c r="I42" s="51" t="s">
        <v>373</v>
      </c>
      <c r="J42" s="11">
        <v>6374.0</v>
      </c>
      <c r="K42" s="11" t="s">
        <v>266</v>
      </c>
      <c r="L42" s="11" t="s">
        <v>160</v>
      </c>
      <c r="M42" s="11" t="s">
        <v>161</v>
      </c>
      <c r="N42" s="11">
        <v>2026.0</v>
      </c>
      <c r="O42" s="11">
        <f t="shared" si="9"/>
        <v>0</v>
      </c>
      <c r="P42" s="46" t="s">
        <v>162</v>
      </c>
      <c r="Q42" s="11" t="s">
        <v>270</v>
      </c>
      <c r="R42" s="14" t="s">
        <v>402</v>
      </c>
      <c r="S42" s="52" t="s">
        <v>403</v>
      </c>
      <c r="T42" s="53">
        <f>VLOOKUP(B42,'Data aplikasi'!$A$2:$M$85,5,0)</f>
        <v>47973</v>
      </c>
      <c r="U42" s="54" t="str">
        <f t="shared" si="1"/>
        <v>Berlaku</v>
      </c>
      <c r="V42" s="53">
        <f>VLOOKUP(B42,'Data aplikasi'!$A$2:$M$85,6,0)</f>
        <v>46512</v>
      </c>
      <c r="W42" s="54" t="str">
        <f t="shared" si="2"/>
        <v>Berlaku</v>
      </c>
      <c r="X42" s="53">
        <f>VLOOKUP(B42,'Data aplikasi'!$A$2:$M$85,8,0)</f>
        <v>46358</v>
      </c>
      <c r="Y42" s="54" t="str">
        <f t="shared" si="3"/>
        <v>Berlaku</v>
      </c>
      <c r="Z42" s="53">
        <f>VLOOKUP(B42,'Data aplikasi'!$A$2:$M$85,9,0)</f>
        <v>46358</v>
      </c>
      <c r="AA42" s="54" t="str">
        <f t="shared" si="4"/>
        <v>Berlaku</v>
      </c>
      <c r="AB42" s="53">
        <f>VLOOKUP(B42,'Data aplikasi'!$A$2:$M$85,10,0)</f>
        <v>46914</v>
      </c>
      <c r="AC42" s="54" t="str">
        <f t="shared" si="5"/>
        <v>Berlaku</v>
      </c>
      <c r="AD42" s="55">
        <f>VLOOKUP(B42,'Data aplikasi'!$A$2:$M$85,11,0)</f>
        <v>46395</v>
      </c>
      <c r="AE42" s="56" t="str">
        <f t="shared" si="6"/>
        <v>Berlaku</v>
      </c>
      <c r="AF42" s="57" t="s">
        <v>166</v>
      </c>
      <c r="AG42" s="57" t="s">
        <v>167</v>
      </c>
      <c r="AH42" s="14"/>
      <c r="AI42" s="158" t="s">
        <v>404</v>
      </c>
      <c r="AJ42" s="59"/>
      <c r="AK42" s="59"/>
      <c r="AL42" s="59"/>
      <c r="AM42" s="59"/>
      <c r="AN42" s="59"/>
      <c r="AO42" s="59"/>
      <c r="AP42" s="59"/>
      <c r="AQ42" s="148"/>
      <c r="AR42" s="148"/>
      <c r="AS42" s="59"/>
      <c r="AT42" s="138"/>
      <c r="AU42" s="138"/>
      <c r="AV42" s="138"/>
      <c r="AW42" s="138"/>
      <c r="AX42" s="138"/>
    </row>
    <row r="43">
      <c r="A43" s="9">
        <v>37.0</v>
      </c>
      <c r="B43" s="10" t="s">
        <v>77</v>
      </c>
      <c r="C43" s="19" t="s">
        <v>240</v>
      </c>
      <c r="D43" s="19">
        <v>16.0</v>
      </c>
      <c r="E43" s="14" t="s">
        <v>78</v>
      </c>
      <c r="F43" s="11">
        <v>2022.0</v>
      </c>
      <c r="G43" s="11">
        <v>2023.0</v>
      </c>
      <c r="H43" s="11">
        <f>A4-F43</f>
        <v>4</v>
      </c>
      <c r="I43" s="51" t="s">
        <v>405</v>
      </c>
      <c r="J43" s="11">
        <v>7698.0</v>
      </c>
      <c r="K43" s="11" t="s">
        <v>266</v>
      </c>
      <c r="L43" s="11" t="s">
        <v>160</v>
      </c>
      <c r="M43" s="11" t="s">
        <v>332</v>
      </c>
      <c r="N43" s="11">
        <v>2023.0</v>
      </c>
      <c r="O43" s="11">
        <f>A4-N43</f>
        <v>3</v>
      </c>
      <c r="P43" s="11" t="s">
        <v>245</v>
      </c>
      <c r="Q43" s="11" t="s">
        <v>199</v>
      </c>
      <c r="R43" s="52" t="s">
        <v>406</v>
      </c>
      <c r="S43" s="52" t="s">
        <v>407</v>
      </c>
      <c r="T43" s="53">
        <f>VLOOKUP(B43,'Data aplikasi'!$A$2:$M$85,5,0)</f>
        <v>47102</v>
      </c>
      <c r="U43" s="54" t="str">
        <f t="shared" si="1"/>
        <v>Berlaku</v>
      </c>
      <c r="V43" s="53">
        <f>VLOOKUP(B43,'Data aplikasi'!$A$2:$M$85,6,0)</f>
        <v>46371</v>
      </c>
      <c r="W43" s="54" t="str">
        <f t="shared" si="2"/>
        <v>Berlaku</v>
      </c>
      <c r="X43" s="53" t="str">
        <f>VLOOKUP(B43,'Data aplikasi'!$A$2:$M$85,8,0)</f>
        <v/>
      </c>
      <c r="Y43" s="54" t="str">
        <f t="shared" si="3"/>
        <v>Habis</v>
      </c>
      <c r="Z43" s="53">
        <f>VLOOKUP(B43,'Data aplikasi'!$A$2:$M$85,9,0)</f>
        <v>46367</v>
      </c>
      <c r="AA43" s="54" t="str">
        <f t="shared" si="4"/>
        <v>Berlaku</v>
      </c>
      <c r="AB43" s="53">
        <f>VLOOKUP(B43,'Data aplikasi'!$A$2:$M$85,10,0)</f>
        <v>46765</v>
      </c>
      <c r="AC43" s="54" t="str">
        <f t="shared" si="5"/>
        <v>Berlaku</v>
      </c>
      <c r="AD43" s="55">
        <f>VLOOKUP(B43,'Data aplikasi'!$A$2:$M$85,11,0)</f>
        <v>46360</v>
      </c>
      <c r="AE43" s="56" t="str">
        <f t="shared" si="6"/>
        <v>Berlaku</v>
      </c>
      <c r="AF43" s="96" t="s">
        <v>203</v>
      </c>
      <c r="AG43" s="57" t="s">
        <v>167</v>
      </c>
      <c r="AH43" s="24"/>
      <c r="AI43" s="115" t="s">
        <v>408</v>
      </c>
      <c r="AJ43" s="59"/>
      <c r="AK43" s="59"/>
      <c r="AL43" s="59"/>
      <c r="AM43" s="59"/>
      <c r="AN43" s="59"/>
      <c r="AO43" s="59"/>
      <c r="AP43" s="59"/>
      <c r="AQ43" s="148"/>
      <c r="AR43" s="148"/>
      <c r="AS43" s="59"/>
      <c r="AT43" s="138"/>
      <c r="AU43" s="138"/>
      <c r="AV43" s="138"/>
      <c r="AW43" s="138"/>
      <c r="AX43" s="138"/>
    </row>
    <row r="44">
      <c r="A44" s="9">
        <v>38.0</v>
      </c>
      <c r="B44" s="10" t="s">
        <v>79</v>
      </c>
      <c r="C44" s="19" t="s">
        <v>240</v>
      </c>
      <c r="D44" s="19">
        <v>16.0</v>
      </c>
      <c r="E44" s="14" t="s">
        <v>78</v>
      </c>
      <c r="F44" s="11">
        <v>2022.0</v>
      </c>
      <c r="G44" s="11">
        <v>2023.0</v>
      </c>
      <c r="H44" s="11">
        <f>A4-F44</f>
        <v>4</v>
      </c>
      <c r="I44" s="51" t="s">
        <v>405</v>
      </c>
      <c r="J44" s="11">
        <v>7698.0</v>
      </c>
      <c r="K44" s="11" t="s">
        <v>266</v>
      </c>
      <c r="L44" s="11" t="s">
        <v>160</v>
      </c>
      <c r="M44" s="11" t="s">
        <v>332</v>
      </c>
      <c r="N44" s="11">
        <v>2023.0</v>
      </c>
      <c r="O44" s="11">
        <f>A4-N44</f>
        <v>3</v>
      </c>
      <c r="P44" s="11" t="s">
        <v>245</v>
      </c>
      <c r="Q44" s="11" t="s">
        <v>199</v>
      </c>
      <c r="R44" s="52" t="s">
        <v>409</v>
      </c>
      <c r="S44" s="52" t="s">
        <v>410</v>
      </c>
      <c r="T44" s="53">
        <f>VLOOKUP(B44,'Data aplikasi'!$A$2:$M$85,5,0)</f>
        <v>47102</v>
      </c>
      <c r="U44" s="54" t="str">
        <f t="shared" si="1"/>
        <v>Berlaku</v>
      </c>
      <c r="V44" s="53">
        <f>VLOOKUP(B44,'Data aplikasi'!$A$2:$M$85,6,0)</f>
        <v>46371</v>
      </c>
      <c r="W44" s="54" t="str">
        <f t="shared" si="2"/>
        <v>Berlaku</v>
      </c>
      <c r="X44" s="53" t="str">
        <f>VLOOKUP(B44,'Data aplikasi'!$A$2:$M$85,8,0)</f>
        <v/>
      </c>
      <c r="Y44" s="54" t="str">
        <f t="shared" si="3"/>
        <v>Habis</v>
      </c>
      <c r="Z44" s="53">
        <f>VLOOKUP(B44,'Data aplikasi'!$A$2:$M$85,9,0)</f>
        <v>46367</v>
      </c>
      <c r="AA44" s="54" t="str">
        <f t="shared" si="4"/>
        <v>Berlaku</v>
      </c>
      <c r="AB44" s="53">
        <f>VLOOKUP(B44,'Data aplikasi'!$A$2:$M$85,10,0)</f>
        <v>46765</v>
      </c>
      <c r="AC44" s="54" t="str">
        <f t="shared" si="5"/>
        <v>Berlaku</v>
      </c>
      <c r="AD44" s="55">
        <f>VLOOKUP(B44,'Data aplikasi'!$A$2:$M$85,11,0)</f>
        <v>46360</v>
      </c>
      <c r="AE44" s="56" t="str">
        <f t="shared" si="6"/>
        <v>Berlaku</v>
      </c>
      <c r="AF44" s="96" t="s">
        <v>203</v>
      </c>
      <c r="AG44" s="57" t="s">
        <v>167</v>
      </c>
      <c r="AH44" s="24"/>
      <c r="AI44" s="115" t="s">
        <v>411</v>
      </c>
      <c r="AJ44" s="59"/>
      <c r="AK44" s="59"/>
      <c r="AL44" s="59"/>
      <c r="AM44" s="59"/>
      <c r="AN44" s="59"/>
      <c r="AO44" s="59"/>
      <c r="AP44" s="59"/>
      <c r="AQ44" s="148"/>
      <c r="AR44" s="148"/>
      <c r="AS44" s="59"/>
      <c r="AT44" s="138"/>
      <c r="AU44" s="138"/>
      <c r="AV44" s="138"/>
      <c r="AW44" s="138"/>
      <c r="AX44" s="138"/>
    </row>
    <row r="45">
      <c r="A45" s="9">
        <v>39.0</v>
      </c>
      <c r="B45" s="10" t="s">
        <v>80</v>
      </c>
      <c r="C45" s="19" t="s">
        <v>240</v>
      </c>
      <c r="D45" s="19">
        <v>16.0</v>
      </c>
      <c r="E45" s="14" t="s">
        <v>78</v>
      </c>
      <c r="F45" s="11">
        <v>2022.0</v>
      </c>
      <c r="G45" s="11">
        <v>2024.0</v>
      </c>
      <c r="H45" s="11">
        <f>A4-F45</f>
        <v>4</v>
      </c>
      <c r="I45" s="51" t="s">
        <v>412</v>
      </c>
      <c r="J45" s="11">
        <v>7698.0</v>
      </c>
      <c r="K45" s="11" t="s">
        <v>266</v>
      </c>
      <c r="L45" s="11" t="s">
        <v>160</v>
      </c>
      <c r="M45" s="11" t="s">
        <v>332</v>
      </c>
      <c r="N45" s="11">
        <v>2024.0</v>
      </c>
      <c r="O45" s="11">
        <f>A4-N45</f>
        <v>2</v>
      </c>
      <c r="P45" s="11" t="s">
        <v>245</v>
      </c>
      <c r="Q45" s="11" t="s">
        <v>199</v>
      </c>
      <c r="R45" s="52" t="s">
        <v>413</v>
      </c>
      <c r="S45" s="52" t="s">
        <v>414</v>
      </c>
      <c r="T45" s="53">
        <f>VLOOKUP(B45,'Data aplikasi'!$A$2:$M$85,5,0)</f>
        <v>47213</v>
      </c>
      <c r="U45" s="54" t="str">
        <f t="shared" si="1"/>
        <v>Berlaku</v>
      </c>
      <c r="V45" s="53">
        <f>VLOOKUP(B45,'Data aplikasi'!$A$2:$M$85,6,0)</f>
        <v>46482</v>
      </c>
      <c r="W45" s="54" t="str">
        <f t="shared" si="2"/>
        <v>Berlaku</v>
      </c>
      <c r="X45" s="53" t="str">
        <f>VLOOKUP(B45,'Data aplikasi'!$A$2:$M$85,8,0)</f>
        <v/>
      </c>
      <c r="Y45" s="54" t="str">
        <f t="shared" si="3"/>
        <v>Habis</v>
      </c>
      <c r="Z45" s="53">
        <f>VLOOKUP(B45,'Data aplikasi'!$A$2:$M$85,9,0)</f>
        <v>46305</v>
      </c>
      <c r="AA45" s="54" t="str">
        <f t="shared" si="4"/>
        <v>Akan Habis</v>
      </c>
      <c r="AB45" s="53">
        <f>VLOOKUP(B45,'Data aplikasi'!$A$2:$M$85,10,0)</f>
        <v>46893</v>
      </c>
      <c r="AC45" s="54" t="str">
        <f t="shared" si="5"/>
        <v>Berlaku</v>
      </c>
      <c r="AD45" s="55">
        <f>VLOOKUP(B45,'Data aplikasi'!$A$2:$M$85,11,0)</f>
        <v>46304</v>
      </c>
      <c r="AE45" s="56" t="str">
        <f t="shared" si="6"/>
        <v>Akan Habis</v>
      </c>
      <c r="AF45" s="96" t="s">
        <v>203</v>
      </c>
      <c r="AG45" s="57" t="s">
        <v>167</v>
      </c>
      <c r="AH45" s="14"/>
      <c r="AI45" s="115" t="s">
        <v>415</v>
      </c>
      <c r="AJ45" s="59"/>
      <c r="AK45" s="59"/>
      <c r="AL45" s="59"/>
      <c r="AM45" s="59"/>
      <c r="AN45" s="59"/>
      <c r="AO45" s="59"/>
      <c r="AP45" s="59"/>
      <c r="AQ45" s="148"/>
      <c r="AR45" s="148"/>
      <c r="AS45" s="59"/>
      <c r="AT45" s="59"/>
      <c r="AU45" s="59"/>
      <c r="AV45" s="59"/>
      <c r="AW45" s="59"/>
      <c r="AX45" s="59"/>
    </row>
    <row r="46">
      <c r="A46" s="9">
        <v>40.0</v>
      </c>
      <c r="B46" s="10" t="s">
        <v>81</v>
      </c>
      <c r="C46" s="11" t="s">
        <v>153</v>
      </c>
      <c r="D46" s="11">
        <v>24.0</v>
      </c>
      <c r="E46" s="14" t="s">
        <v>78</v>
      </c>
      <c r="F46" s="11">
        <v>2023.0</v>
      </c>
      <c r="G46" s="11">
        <v>2024.0</v>
      </c>
      <c r="H46" s="11">
        <f>A4-F46</f>
        <v>3</v>
      </c>
      <c r="I46" s="51" t="s">
        <v>416</v>
      </c>
      <c r="J46" s="11">
        <v>7698.0</v>
      </c>
      <c r="K46" s="11" t="s">
        <v>266</v>
      </c>
      <c r="L46" s="11" t="s">
        <v>160</v>
      </c>
      <c r="M46" s="11" t="s">
        <v>332</v>
      </c>
      <c r="N46" s="11">
        <v>2024.0</v>
      </c>
      <c r="O46" s="11">
        <f>A4-N46</f>
        <v>2</v>
      </c>
      <c r="P46" s="11" t="s">
        <v>162</v>
      </c>
      <c r="Q46" s="11" t="s">
        <v>199</v>
      </c>
      <c r="R46" s="52" t="s">
        <v>417</v>
      </c>
      <c r="S46" s="52" t="s">
        <v>418</v>
      </c>
      <c r="T46" s="53">
        <f>VLOOKUP(B46,'Data aplikasi'!$A$2:$M$85,5,0)</f>
        <v>47213</v>
      </c>
      <c r="U46" s="54" t="str">
        <f t="shared" si="1"/>
        <v>Berlaku</v>
      </c>
      <c r="V46" s="53">
        <f>VLOOKUP(B46,'Data aplikasi'!$A$2:$M$85,6,0)</f>
        <v>46482</v>
      </c>
      <c r="W46" s="54" t="str">
        <f t="shared" si="2"/>
        <v>Berlaku</v>
      </c>
      <c r="X46" s="53">
        <f>VLOOKUP(B46,'Data aplikasi'!$A$2:$M$85,8,0)</f>
        <v>46305</v>
      </c>
      <c r="Y46" s="54" t="str">
        <f t="shared" si="3"/>
        <v>Akan Habis</v>
      </c>
      <c r="Z46" s="53">
        <f>VLOOKUP(B46,'Data aplikasi'!$A$2:$M$85,9,0)</f>
        <v>46305</v>
      </c>
      <c r="AA46" s="54" t="str">
        <f t="shared" si="4"/>
        <v>Akan Habis</v>
      </c>
      <c r="AB46" s="53">
        <f>VLOOKUP(B46,'Data aplikasi'!$A$2:$M$85,10,0)</f>
        <v>46885</v>
      </c>
      <c r="AC46" s="54" t="str">
        <f t="shared" si="5"/>
        <v>Berlaku</v>
      </c>
      <c r="AD46" s="55">
        <f>VLOOKUP(B46,'Data aplikasi'!$A$2:$M$85,11,0)</f>
        <v>46304</v>
      </c>
      <c r="AE46" s="56" t="str">
        <f t="shared" si="6"/>
        <v>Akan Habis</v>
      </c>
      <c r="AF46" s="96" t="s">
        <v>203</v>
      </c>
      <c r="AG46" s="57" t="s">
        <v>167</v>
      </c>
      <c r="AH46" s="14"/>
      <c r="AI46" s="115" t="s">
        <v>419</v>
      </c>
      <c r="AJ46" s="59"/>
      <c r="AK46" s="59"/>
      <c r="AL46" s="59"/>
      <c r="AM46" s="59"/>
      <c r="AN46" s="59"/>
      <c r="AO46" s="59"/>
      <c r="AP46" s="59"/>
      <c r="AQ46" s="148"/>
      <c r="AR46" s="148"/>
      <c r="AS46" s="59"/>
      <c r="AT46" s="59"/>
      <c r="AU46" s="59"/>
      <c r="AV46" s="59"/>
      <c r="AW46" s="59"/>
      <c r="AX46" s="59"/>
    </row>
    <row r="47">
      <c r="A47" s="9">
        <v>41.0</v>
      </c>
      <c r="B47" s="10" t="s">
        <v>83</v>
      </c>
      <c r="C47" s="11" t="s">
        <v>153</v>
      </c>
      <c r="D47" s="11">
        <v>24.0</v>
      </c>
      <c r="E47" s="14" t="s">
        <v>78</v>
      </c>
      <c r="F47" s="11">
        <v>2023.0</v>
      </c>
      <c r="G47" s="11">
        <v>2024.0</v>
      </c>
      <c r="H47" s="11">
        <f>A4-F47</f>
        <v>3</v>
      </c>
      <c r="I47" s="51" t="s">
        <v>416</v>
      </c>
      <c r="J47" s="11">
        <v>7698.0</v>
      </c>
      <c r="K47" s="11" t="s">
        <v>266</v>
      </c>
      <c r="L47" s="11" t="s">
        <v>160</v>
      </c>
      <c r="M47" s="11" t="s">
        <v>332</v>
      </c>
      <c r="N47" s="11">
        <v>2024.0</v>
      </c>
      <c r="O47" s="11">
        <f>A4-N47</f>
        <v>2</v>
      </c>
      <c r="P47" s="11" t="s">
        <v>162</v>
      </c>
      <c r="Q47" s="11" t="s">
        <v>199</v>
      </c>
      <c r="R47" s="52" t="s">
        <v>420</v>
      </c>
      <c r="S47" s="52" t="s">
        <v>421</v>
      </c>
      <c r="T47" s="53">
        <f>VLOOKUP(B47,'Data aplikasi'!$A$2:$M$85,5,0)</f>
        <v>47225</v>
      </c>
      <c r="U47" s="54" t="str">
        <f t="shared" si="1"/>
        <v>Berlaku</v>
      </c>
      <c r="V47" s="53">
        <f>VLOOKUP(B47,'Data aplikasi'!$A$2:$M$85,6,0)</f>
        <v>46482</v>
      </c>
      <c r="W47" s="54" t="str">
        <f t="shared" si="2"/>
        <v>Berlaku</v>
      </c>
      <c r="X47" s="53">
        <f>VLOOKUP(B47,'Data aplikasi'!$A$2:$M$85,8,0)</f>
        <v>46317</v>
      </c>
      <c r="Y47" s="54" t="str">
        <f t="shared" si="3"/>
        <v>Akan Habis</v>
      </c>
      <c r="Z47" s="53">
        <f>VLOOKUP(B47,'Data aplikasi'!$A$2:$M$85,9,0)</f>
        <v>46317</v>
      </c>
      <c r="AA47" s="54" t="str">
        <f t="shared" si="4"/>
        <v>Berlaku</v>
      </c>
      <c r="AB47" s="53">
        <f>VLOOKUP(B47,'Data aplikasi'!$A$2:$M$85,10,0)</f>
        <v>46941</v>
      </c>
      <c r="AC47" s="54" t="str">
        <f t="shared" si="5"/>
        <v>Berlaku</v>
      </c>
      <c r="AD47" s="55">
        <f>VLOOKUP(B47,'Data aplikasi'!$A$2:$M$85,11,0)</f>
        <v>46340</v>
      </c>
      <c r="AE47" s="56" t="str">
        <f t="shared" si="6"/>
        <v>Berlaku</v>
      </c>
      <c r="AF47" s="96" t="s">
        <v>203</v>
      </c>
      <c r="AG47" s="57" t="s">
        <v>167</v>
      </c>
      <c r="AH47" s="14"/>
      <c r="AI47" s="115" t="s">
        <v>422</v>
      </c>
      <c r="AJ47" s="59"/>
      <c r="AK47" s="59"/>
      <c r="AL47" s="59"/>
      <c r="AM47" s="59"/>
      <c r="AN47" s="59"/>
      <c r="AO47" s="59"/>
      <c r="AP47" s="59"/>
      <c r="AQ47" s="148"/>
      <c r="AR47" s="148"/>
      <c r="AS47" s="59"/>
      <c r="AT47" s="59"/>
      <c r="AU47" s="59"/>
      <c r="AV47" s="59"/>
      <c r="AW47" s="59"/>
      <c r="AX47" s="59"/>
    </row>
    <row r="48">
      <c r="A48" s="9">
        <v>42.0</v>
      </c>
      <c r="B48" s="10" t="s">
        <v>84</v>
      </c>
      <c r="C48" s="19" t="s">
        <v>240</v>
      </c>
      <c r="D48" s="19">
        <v>16.0</v>
      </c>
      <c r="E48" s="14" t="s">
        <v>85</v>
      </c>
      <c r="F48" s="11">
        <v>2022.0</v>
      </c>
      <c r="G48" s="11">
        <v>2023.0</v>
      </c>
      <c r="H48" s="11">
        <f>A4-F48</f>
        <v>4</v>
      </c>
      <c r="I48" s="51" t="s">
        <v>405</v>
      </c>
      <c r="J48" s="11">
        <v>7698.0</v>
      </c>
      <c r="K48" s="11" t="s">
        <v>266</v>
      </c>
      <c r="L48" s="11" t="s">
        <v>160</v>
      </c>
      <c r="M48" s="11" t="s">
        <v>332</v>
      </c>
      <c r="N48" s="11">
        <v>2023.0</v>
      </c>
      <c r="O48" s="11">
        <f>A4-N48</f>
        <v>3</v>
      </c>
      <c r="P48" s="11" t="s">
        <v>245</v>
      </c>
      <c r="Q48" s="11" t="s">
        <v>199</v>
      </c>
      <c r="R48" s="52" t="s">
        <v>423</v>
      </c>
      <c r="S48" s="52" t="s">
        <v>424</v>
      </c>
      <c r="T48" s="53">
        <f>VLOOKUP(B48,'Data aplikasi'!$A$2:$M$85,5,0)</f>
        <v>47102</v>
      </c>
      <c r="U48" s="54" t="str">
        <f t="shared" si="1"/>
        <v>Berlaku</v>
      </c>
      <c r="V48" s="53">
        <f>VLOOKUP(B48,'Data aplikasi'!$A$2:$M$85,6,0)</f>
        <v>46371</v>
      </c>
      <c r="W48" s="54" t="str">
        <f t="shared" si="2"/>
        <v>Berlaku</v>
      </c>
      <c r="X48" s="53" t="str">
        <f>VLOOKUP(B48,'Data aplikasi'!$A$2:$M$85,8,0)</f>
        <v/>
      </c>
      <c r="Y48" s="54" t="str">
        <f t="shared" si="3"/>
        <v>Habis</v>
      </c>
      <c r="Z48" s="53">
        <f>VLOOKUP(B48,'Data aplikasi'!$A$2:$M$85,9,0)</f>
        <v>46367</v>
      </c>
      <c r="AA48" s="54" t="str">
        <f t="shared" si="4"/>
        <v>Berlaku</v>
      </c>
      <c r="AB48" s="53">
        <f>VLOOKUP(B48,'Data aplikasi'!$A$2:$M$85,10,0)</f>
        <v>46767</v>
      </c>
      <c r="AC48" s="54" t="str">
        <f t="shared" si="5"/>
        <v>Berlaku</v>
      </c>
      <c r="AD48" s="55">
        <f>VLOOKUP(B48,'Data aplikasi'!$A$2:$M$85,11,0)</f>
        <v>46360</v>
      </c>
      <c r="AE48" s="56" t="str">
        <f t="shared" si="6"/>
        <v>Berlaku</v>
      </c>
      <c r="AF48" s="96" t="s">
        <v>203</v>
      </c>
      <c r="AG48" s="57" t="s">
        <v>167</v>
      </c>
      <c r="AH48" s="24"/>
      <c r="AI48" s="115" t="s">
        <v>425</v>
      </c>
      <c r="AJ48" s="59"/>
      <c r="AK48" s="59"/>
      <c r="AL48" s="59"/>
      <c r="AM48" s="59"/>
      <c r="AN48" s="59"/>
      <c r="AO48" s="59"/>
      <c r="AP48" s="59"/>
      <c r="AQ48" s="148"/>
      <c r="AR48" s="148"/>
      <c r="AS48" s="59"/>
      <c r="AT48" s="59"/>
      <c r="AU48" s="59"/>
      <c r="AV48" s="59"/>
      <c r="AW48" s="59"/>
      <c r="AX48" s="59"/>
    </row>
    <row r="49">
      <c r="A49" s="9">
        <v>43.0</v>
      </c>
      <c r="B49" s="10" t="s">
        <v>86</v>
      </c>
      <c r="C49" s="19" t="s">
        <v>240</v>
      </c>
      <c r="D49" s="19">
        <v>16.0</v>
      </c>
      <c r="E49" s="14" t="s">
        <v>85</v>
      </c>
      <c r="F49" s="11">
        <v>2022.0</v>
      </c>
      <c r="G49" s="11">
        <v>2024.0</v>
      </c>
      <c r="H49" s="11">
        <f>A4-F49</f>
        <v>4</v>
      </c>
      <c r="I49" s="51" t="s">
        <v>412</v>
      </c>
      <c r="J49" s="11">
        <v>7698.0</v>
      </c>
      <c r="K49" s="11" t="s">
        <v>266</v>
      </c>
      <c r="L49" s="11" t="s">
        <v>160</v>
      </c>
      <c r="M49" s="11" t="s">
        <v>332</v>
      </c>
      <c r="N49" s="11">
        <v>2024.0</v>
      </c>
      <c r="O49" s="11">
        <f>A4-N49</f>
        <v>2</v>
      </c>
      <c r="P49" s="11" t="s">
        <v>245</v>
      </c>
      <c r="Q49" s="11" t="s">
        <v>199</v>
      </c>
      <c r="R49" s="52" t="s">
        <v>426</v>
      </c>
      <c r="S49" s="52" t="s">
        <v>427</v>
      </c>
      <c r="T49" s="53">
        <f>VLOOKUP(B49,'Data aplikasi'!$A$2:$M$85,5,0)</f>
        <v>47213</v>
      </c>
      <c r="U49" s="54" t="str">
        <f t="shared" si="1"/>
        <v>Berlaku</v>
      </c>
      <c r="V49" s="53">
        <f>VLOOKUP(B49,'Data aplikasi'!$A$2:$M$85,6,0)</f>
        <v>46482</v>
      </c>
      <c r="W49" s="54" t="str">
        <f t="shared" si="2"/>
        <v>Berlaku</v>
      </c>
      <c r="X49" s="53" t="str">
        <f>VLOOKUP(B49,'Data aplikasi'!$A$2:$M$85,8,0)</f>
        <v/>
      </c>
      <c r="Y49" s="54" t="str">
        <f t="shared" si="3"/>
        <v>Habis</v>
      </c>
      <c r="Z49" s="53">
        <f>VLOOKUP(B49,'Data aplikasi'!$A$2:$M$85,9,0)</f>
        <v>46314</v>
      </c>
      <c r="AA49" s="54" t="str">
        <f t="shared" si="4"/>
        <v>Akan Habis</v>
      </c>
      <c r="AB49" s="53">
        <f>VLOOKUP(B49,'Data aplikasi'!$A$2:$M$85,10,0)</f>
        <v>46894</v>
      </c>
      <c r="AC49" s="54" t="str">
        <f t="shared" si="5"/>
        <v>Berlaku</v>
      </c>
      <c r="AD49" s="55">
        <f>VLOOKUP(B49,'Data aplikasi'!$A$2:$M$85,11,0)</f>
        <v>46304</v>
      </c>
      <c r="AE49" s="56" t="str">
        <f t="shared" si="6"/>
        <v>Akan Habis</v>
      </c>
      <c r="AF49" s="96" t="s">
        <v>203</v>
      </c>
      <c r="AG49" s="57" t="s">
        <v>167</v>
      </c>
      <c r="AH49" s="14"/>
      <c r="AI49" s="115" t="s">
        <v>428</v>
      </c>
      <c r="AJ49" s="59"/>
      <c r="AK49" s="59"/>
      <c r="AL49" s="59"/>
      <c r="AM49" s="59"/>
      <c r="AN49" s="59"/>
      <c r="AO49" s="59"/>
      <c r="AP49" s="59"/>
      <c r="AQ49" s="148"/>
      <c r="AR49" s="148"/>
      <c r="AS49" s="59"/>
      <c r="AT49" s="59"/>
      <c r="AU49" s="59"/>
      <c r="AV49" s="59"/>
      <c r="AW49" s="59"/>
      <c r="AX49" s="59"/>
    </row>
    <row r="50">
      <c r="A50" s="9">
        <v>44.0</v>
      </c>
      <c r="B50" s="10" t="s">
        <v>87</v>
      </c>
      <c r="C50" s="11" t="s">
        <v>153</v>
      </c>
      <c r="D50" s="11">
        <v>24.0</v>
      </c>
      <c r="E50" s="14" t="s">
        <v>85</v>
      </c>
      <c r="F50" s="11">
        <v>2023.0</v>
      </c>
      <c r="G50" s="11">
        <v>2024.0</v>
      </c>
      <c r="H50" s="11">
        <f>A4-F50</f>
        <v>3</v>
      </c>
      <c r="I50" s="51" t="s">
        <v>429</v>
      </c>
      <c r="J50" s="11">
        <v>7698.0</v>
      </c>
      <c r="K50" s="11" t="s">
        <v>266</v>
      </c>
      <c r="L50" s="11" t="s">
        <v>160</v>
      </c>
      <c r="M50" s="11" t="s">
        <v>332</v>
      </c>
      <c r="N50" s="11">
        <v>2023.0</v>
      </c>
      <c r="O50" s="11">
        <f>A4-N50</f>
        <v>3</v>
      </c>
      <c r="P50" s="11" t="s">
        <v>162</v>
      </c>
      <c r="Q50" s="11" t="s">
        <v>199</v>
      </c>
      <c r="R50" s="52" t="s">
        <v>430</v>
      </c>
      <c r="S50" s="52" t="s">
        <v>431</v>
      </c>
      <c r="T50" s="53">
        <f>VLOOKUP(B50,'Data aplikasi'!$A$2:$M$85,5,0)</f>
        <v>47184</v>
      </c>
      <c r="U50" s="54" t="str">
        <f t="shared" si="1"/>
        <v>Berlaku</v>
      </c>
      <c r="V50" s="53">
        <f>VLOOKUP(B50,'Data aplikasi'!$A$2:$M$85,6,0)</f>
        <v>46453</v>
      </c>
      <c r="W50" s="54" t="str">
        <f t="shared" si="2"/>
        <v>Berlaku</v>
      </c>
      <c r="X50" s="53">
        <f>VLOOKUP(B50,'Data aplikasi'!$A$2:$M$85,8,0)</f>
        <v>46456</v>
      </c>
      <c r="Y50" s="54" t="str">
        <f t="shared" si="3"/>
        <v>Berlaku</v>
      </c>
      <c r="Z50" s="53">
        <f>VLOOKUP(B50,'Data aplikasi'!$A$2:$M$85,9,0)</f>
        <v>46456</v>
      </c>
      <c r="AA50" s="54" t="str">
        <f t="shared" si="4"/>
        <v>Berlaku</v>
      </c>
      <c r="AB50" s="53">
        <f>VLOOKUP(B50,'Data aplikasi'!$A$2:$M$85,10,0)</f>
        <v>46806</v>
      </c>
      <c r="AC50" s="54" t="str">
        <f t="shared" si="5"/>
        <v>Berlaku</v>
      </c>
      <c r="AD50" s="55">
        <f>VLOOKUP(B50,'Data aplikasi'!$A$2:$M$85,11,0)</f>
        <v>46449</v>
      </c>
      <c r="AE50" s="56" t="str">
        <f t="shared" si="6"/>
        <v>Berlaku</v>
      </c>
      <c r="AF50" s="96" t="s">
        <v>203</v>
      </c>
      <c r="AG50" s="57" t="s">
        <v>167</v>
      </c>
      <c r="AH50" s="14"/>
      <c r="AI50" s="115" t="s">
        <v>432</v>
      </c>
      <c r="AJ50" s="59"/>
      <c r="AK50" s="59"/>
      <c r="AL50" s="59"/>
      <c r="AM50" s="59"/>
      <c r="AN50" s="59"/>
      <c r="AO50" s="59"/>
      <c r="AP50" s="59"/>
      <c r="AQ50" s="148"/>
      <c r="AR50" s="148"/>
      <c r="AS50" s="59"/>
      <c r="AT50" s="59"/>
      <c r="AU50" s="59"/>
      <c r="AV50" s="59"/>
      <c r="AW50" s="59"/>
      <c r="AX50" s="59"/>
    </row>
    <row r="51">
      <c r="A51" s="9">
        <v>45.0</v>
      </c>
      <c r="B51" s="10" t="s">
        <v>88</v>
      </c>
      <c r="C51" s="22" t="s">
        <v>324</v>
      </c>
      <c r="D51" s="22">
        <v>8.0</v>
      </c>
      <c r="E51" s="24" t="s">
        <v>85</v>
      </c>
      <c r="F51" s="9">
        <v>2022.0</v>
      </c>
      <c r="G51" s="9">
        <v>2024.0</v>
      </c>
      <c r="H51" s="11">
        <f>A4-F51</f>
        <v>4</v>
      </c>
      <c r="I51" s="117" t="s">
        <v>433</v>
      </c>
      <c r="J51" s="9">
        <v>7698.0</v>
      </c>
      <c r="K51" s="11" t="s">
        <v>266</v>
      </c>
      <c r="L51" s="9" t="s">
        <v>160</v>
      </c>
      <c r="M51" s="9" t="s">
        <v>332</v>
      </c>
      <c r="N51" s="9">
        <v>2024.0</v>
      </c>
      <c r="O51" s="11">
        <f>A4-N51</f>
        <v>2</v>
      </c>
      <c r="P51" s="9" t="s">
        <v>245</v>
      </c>
      <c r="Q51" s="9" t="s">
        <v>199</v>
      </c>
      <c r="R51" s="118" t="s">
        <v>434</v>
      </c>
      <c r="S51" s="118" t="s">
        <v>435</v>
      </c>
      <c r="T51" s="53">
        <f>VLOOKUP(B51,'Data aplikasi'!$A$2:$M$85,5,0)</f>
        <v>47253</v>
      </c>
      <c r="U51" s="54" t="str">
        <f t="shared" si="1"/>
        <v>Berlaku</v>
      </c>
      <c r="V51" s="53">
        <f>VLOOKUP(B51,'Data aplikasi'!$A$2:$M$85,6,0)</f>
        <v>46522</v>
      </c>
      <c r="W51" s="54" t="str">
        <f t="shared" si="2"/>
        <v>Berlaku</v>
      </c>
      <c r="X51" s="53" t="str">
        <f>VLOOKUP(B51,'Data aplikasi'!$A$2:$M$85,8,0)</f>
        <v/>
      </c>
      <c r="Y51" s="54" t="str">
        <f t="shared" si="3"/>
        <v>Habis</v>
      </c>
      <c r="Z51" s="53">
        <f>VLOOKUP(B51,'Data aplikasi'!$A$2:$M$85,9,0)</f>
        <v>46367</v>
      </c>
      <c r="AA51" s="54" t="str">
        <f t="shared" si="4"/>
        <v>Berlaku</v>
      </c>
      <c r="AB51" s="53">
        <f>VLOOKUP(B51,'Data aplikasi'!$A$2:$M$85,10,0)</f>
        <v>46923</v>
      </c>
      <c r="AC51" s="54" t="str">
        <f t="shared" si="5"/>
        <v>Berlaku</v>
      </c>
      <c r="AD51" s="55">
        <f>VLOOKUP(B51,'Data aplikasi'!$A$2:$M$85,11,0)</f>
        <v>46340</v>
      </c>
      <c r="AE51" s="56" t="str">
        <f t="shared" si="6"/>
        <v>Berlaku</v>
      </c>
      <c r="AF51" s="96" t="s">
        <v>203</v>
      </c>
      <c r="AG51" s="57" t="s">
        <v>167</v>
      </c>
      <c r="AH51" s="14"/>
      <c r="AI51" s="115" t="s">
        <v>436</v>
      </c>
      <c r="AJ51" s="59"/>
      <c r="AK51" s="59"/>
      <c r="AL51" s="59"/>
      <c r="AM51" s="59"/>
      <c r="AN51" s="59"/>
      <c r="AO51" s="59"/>
      <c r="AP51" s="59"/>
      <c r="AQ51" s="148"/>
      <c r="AR51" s="148"/>
      <c r="AS51" s="59"/>
      <c r="AT51" s="59"/>
      <c r="AU51" s="59"/>
      <c r="AV51" s="59"/>
      <c r="AW51" s="59"/>
      <c r="AX51" s="59"/>
    </row>
    <row r="52">
      <c r="A52" s="9">
        <v>46.0</v>
      </c>
      <c r="B52" s="10" t="s">
        <v>89</v>
      </c>
      <c r="C52" s="11" t="s">
        <v>153</v>
      </c>
      <c r="D52" s="11">
        <v>24.0</v>
      </c>
      <c r="E52" s="14" t="s">
        <v>85</v>
      </c>
      <c r="F52" s="11">
        <v>2023.0</v>
      </c>
      <c r="G52" s="11">
        <v>2024.0</v>
      </c>
      <c r="H52" s="11">
        <f>A4-F52</f>
        <v>3</v>
      </c>
      <c r="I52" s="51" t="s">
        <v>416</v>
      </c>
      <c r="J52" s="11">
        <v>7698.0</v>
      </c>
      <c r="K52" s="11" t="s">
        <v>266</v>
      </c>
      <c r="L52" s="11" t="s">
        <v>160</v>
      </c>
      <c r="M52" s="11" t="s">
        <v>332</v>
      </c>
      <c r="N52" s="11">
        <v>2023.0</v>
      </c>
      <c r="O52" s="11">
        <f>A4-N52</f>
        <v>3</v>
      </c>
      <c r="P52" s="11" t="s">
        <v>162</v>
      </c>
      <c r="Q52" s="11" t="s">
        <v>199</v>
      </c>
      <c r="R52" s="52" t="s">
        <v>437</v>
      </c>
      <c r="S52" s="52" t="s">
        <v>438</v>
      </c>
      <c r="T52" s="53">
        <f>VLOOKUP(B52,'Data aplikasi'!$A$2:$M$85,5,0)</f>
        <v>47184</v>
      </c>
      <c r="U52" s="54" t="str">
        <f t="shared" si="1"/>
        <v>Berlaku</v>
      </c>
      <c r="V52" s="53">
        <f>VLOOKUP(B52,'Data aplikasi'!$A$2:$M$85,6,0)</f>
        <v>46453</v>
      </c>
      <c r="W52" s="54" t="str">
        <f t="shared" si="2"/>
        <v>Berlaku</v>
      </c>
      <c r="X52" s="53">
        <f>VLOOKUP(B52,'Data aplikasi'!$A$2:$M$85,8,0)</f>
        <v>46456</v>
      </c>
      <c r="Y52" s="54" t="str">
        <f t="shared" si="3"/>
        <v>Berlaku</v>
      </c>
      <c r="Z52" s="53">
        <f>VLOOKUP(B52,'Data aplikasi'!$A$2:$M$85,9,0)</f>
        <v>46456</v>
      </c>
      <c r="AA52" s="54" t="str">
        <f t="shared" si="4"/>
        <v>Berlaku</v>
      </c>
      <c r="AB52" s="53">
        <f>VLOOKUP(B52,'Data aplikasi'!$A$2:$M$85,10,0)</f>
        <v>46451</v>
      </c>
      <c r="AC52" s="54" t="str">
        <f t="shared" si="5"/>
        <v>Berlaku</v>
      </c>
      <c r="AD52" s="55">
        <f>VLOOKUP(B52,'Data aplikasi'!$A$2:$M$85,11,0)</f>
        <v>46340</v>
      </c>
      <c r="AE52" s="56" t="str">
        <f t="shared" si="6"/>
        <v>Berlaku</v>
      </c>
      <c r="AF52" s="96" t="s">
        <v>203</v>
      </c>
      <c r="AG52" s="57" t="s">
        <v>167</v>
      </c>
      <c r="AH52" s="14"/>
      <c r="AI52" s="115" t="s">
        <v>439</v>
      </c>
      <c r="AJ52" s="59"/>
      <c r="AK52" s="59"/>
      <c r="AL52" s="59"/>
      <c r="AM52" s="59"/>
      <c r="AN52" s="59"/>
      <c r="AO52" s="59"/>
      <c r="AP52" s="59"/>
      <c r="AQ52" s="148"/>
      <c r="AR52" s="148"/>
      <c r="AS52" s="59"/>
      <c r="AT52" s="59"/>
      <c r="AU52" s="59"/>
      <c r="AV52" s="59"/>
      <c r="AW52" s="59"/>
      <c r="AX52" s="59"/>
    </row>
    <row r="53">
      <c r="A53" s="9">
        <v>47.0</v>
      </c>
      <c r="B53" s="10" t="s">
        <v>91</v>
      </c>
      <c r="C53" s="19" t="s">
        <v>240</v>
      </c>
      <c r="D53" s="19">
        <v>16.0</v>
      </c>
      <c r="E53" s="14" t="s">
        <v>85</v>
      </c>
      <c r="F53" s="11">
        <v>2023.0</v>
      </c>
      <c r="G53" s="11">
        <v>2025.0</v>
      </c>
      <c r="H53" s="11">
        <f>A4-F53</f>
        <v>3</v>
      </c>
      <c r="I53" s="51" t="s">
        <v>440</v>
      </c>
      <c r="J53" s="11">
        <v>7700.0</v>
      </c>
      <c r="K53" s="11" t="s">
        <v>266</v>
      </c>
      <c r="L53" s="11" t="s">
        <v>160</v>
      </c>
      <c r="M53" s="11" t="s">
        <v>332</v>
      </c>
      <c r="N53" s="11">
        <v>2025.0</v>
      </c>
      <c r="O53" s="11">
        <f>A4-N53</f>
        <v>1</v>
      </c>
      <c r="P53" s="11" t="s">
        <v>245</v>
      </c>
      <c r="Q53" s="11" t="s">
        <v>441</v>
      </c>
      <c r="R53" s="52" t="s">
        <v>442</v>
      </c>
      <c r="S53" s="52" t="s">
        <v>443</v>
      </c>
      <c r="T53" s="53">
        <f>VLOOKUP(B53,'Data aplikasi'!$A$2:$M$85,5,0)</f>
        <v>47596</v>
      </c>
      <c r="U53" s="54" t="str">
        <f t="shared" si="1"/>
        <v>Berlaku</v>
      </c>
      <c r="V53" s="53">
        <f>VLOOKUP(B53,'Data aplikasi'!$A$2:$M$85,6,0)</f>
        <v>46500</v>
      </c>
      <c r="W53" s="54" t="str">
        <f t="shared" si="2"/>
        <v>Berlaku</v>
      </c>
      <c r="X53" s="53" t="str">
        <f>VLOOKUP(B53,'Data aplikasi'!$A$2:$M$85,8,0)</f>
        <v/>
      </c>
      <c r="Y53" s="54" t="str">
        <f t="shared" si="3"/>
        <v>Habis</v>
      </c>
      <c r="Z53" s="53">
        <f>VLOOKUP(B53,'Data aplikasi'!$A$2:$M$85,9,0)</f>
        <v>46337</v>
      </c>
      <c r="AA53" s="54" t="str">
        <f t="shared" si="4"/>
        <v>Berlaku</v>
      </c>
      <c r="AB53" s="53">
        <f>VLOOKUP(B53,'Data aplikasi'!$A$2:$M$85,10,0)</f>
        <v>46542</v>
      </c>
      <c r="AC53" s="54" t="str">
        <f t="shared" si="5"/>
        <v>Berlaku</v>
      </c>
      <c r="AD53" s="55">
        <f>VLOOKUP(B53,'Data aplikasi'!$A$2:$M$85,11,0)</f>
        <v>46347</v>
      </c>
      <c r="AE53" s="56" t="str">
        <f t="shared" si="6"/>
        <v>Berlaku</v>
      </c>
      <c r="AF53" s="96" t="s">
        <v>444</v>
      </c>
      <c r="AG53" s="57" t="s">
        <v>167</v>
      </c>
      <c r="AH53" s="14"/>
      <c r="AI53" s="115" t="s">
        <v>445</v>
      </c>
      <c r="AJ53" s="59"/>
      <c r="AK53" s="59"/>
      <c r="AL53" s="59"/>
      <c r="AM53" s="59"/>
      <c r="AN53" s="59"/>
      <c r="AO53" s="59"/>
      <c r="AP53" s="59"/>
      <c r="AQ53" s="148"/>
      <c r="AR53" s="148"/>
      <c r="AS53" s="59"/>
      <c r="AT53" s="59"/>
      <c r="AU53" s="59"/>
      <c r="AV53" s="59"/>
      <c r="AW53" s="59"/>
      <c r="AX53" s="59"/>
    </row>
    <row r="54">
      <c r="A54" s="9">
        <v>48.0</v>
      </c>
      <c r="B54" s="10" t="s">
        <v>92</v>
      </c>
      <c r="C54" s="11" t="s">
        <v>240</v>
      </c>
      <c r="D54" s="11">
        <v>16.0</v>
      </c>
      <c r="E54" s="24" t="s">
        <v>85</v>
      </c>
      <c r="F54" s="19">
        <v>2024.0</v>
      </c>
      <c r="G54" s="19">
        <v>2025.0</v>
      </c>
      <c r="H54" s="11">
        <f>A4-F54</f>
        <v>2</v>
      </c>
      <c r="I54" s="137" t="s">
        <v>440</v>
      </c>
      <c r="J54" s="19">
        <v>6600.0</v>
      </c>
      <c r="K54" s="11" t="s">
        <v>266</v>
      </c>
      <c r="L54" s="11" t="s">
        <v>160</v>
      </c>
      <c r="M54" s="11" t="s">
        <v>161</v>
      </c>
      <c r="N54" s="11">
        <v>2025.0</v>
      </c>
      <c r="O54" s="11">
        <f>A4-N54</f>
        <v>1</v>
      </c>
      <c r="P54" s="11" t="s">
        <v>245</v>
      </c>
      <c r="Q54" s="11" t="s">
        <v>441</v>
      </c>
      <c r="R54" s="115" t="s">
        <v>446</v>
      </c>
      <c r="S54" s="115" t="s">
        <v>447</v>
      </c>
      <c r="T54" s="53">
        <f>VLOOKUP(B54,'Data aplikasi'!$A$2:$M$85,5,0)</f>
        <v>47720</v>
      </c>
      <c r="U54" s="54" t="str">
        <f t="shared" si="1"/>
        <v>Berlaku</v>
      </c>
      <c r="V54" s="53">
        <f>VLOOKUP(B54,'Data aplikasi'!$A$2:$M$85,6,0)</f>
        <v>46624</v>
      </c>
      <c r="W54" s="54" t="str">
        <f t="shared" si="2"/>
        <v>Berlaku</v>
      </c>
      <c r="X54" s="53" t="str">
        <f>VLOOKUP(B54,'Data aplikasi'!$A$2:$M$85,8,0)</f>
        <v/>
      </c>
      <c r="Y54" s="54" t="str">
        <f t="shared" si="3"/>
        <v>Habis</v>
      </c>
      <c r="Z54" s="53">
        <f>VLOOKUP(B54,'Data aplikasi'!$A$2:$M$85,9,0)</f>
        <v>46456</v>
      </c>
      <c r="AA54" s="54" t="str">
        <f t="shared" si="4"/>
        <v>Berlaku</v>
      </c>
      <c r="AB54" s="53">
        <f>VLOOKUP(B54,'Data aplikasi'!$A$2:$M$85,10,0)</f>
        <v>46668</v>
      </c>
      <c r="AC54" s="54" t="str">
        <f t="shared" si="5"/>
        <v>Berlaku</v>
      </c>
      <c r="AD54" s="55">
        <f>VLOOKUP(B54,'Data aplikasi'!$A$2:$M$85,11,0)</f>
        <v>46293</v>
      </c>
      <c r="AE54" s="56" t="str">
        <f t="shared" si="6"/>
        <v>Habis</v>
      </c>
      <c r="AF54" s="96" t="s">
        <v>444</v>
      </c>
      <c r="AG54" s="57" t="s">
        <v>167</v>
      </c>
      <c r="AH54" s="163"/>
      <c r="AI54" s="115" t="s">
        <v>448</v>
      </c>
      <c r="AJ54" s="59"/>
      <c r="AK54" s="59"/>
      <c r="AL54" s="59"/>
      <c r="AM54" s="59"/>
      <c r="AN54" s="59"/>
      <c r="AO54" s="59"/>
      <c r="AP54" s="59"/>
      <c r="AQ54" s="148"/>
      <c r="AR54" s="148"/>
      <c r="AS54" s="59"/>
      <c r="AT54" s="59"/>
      <c r="AU54" s="59"/>
      <c r="AV54" s="59"/>
      <c r="AW54" s="59"/>
      <c r="AX54" s="59"/>
    </row>
    <row r="55">
      <c r="A55" s="9">
        <v>49.0</v>
      </c>
      <c r="B55" s="10" t="s">
        <v>93</v>
      </c>
      <c r="C55" s="19" t="s">
        <v>240</v>
      </c>
      <c r="D55" s="19">
        <v>16.0</v>
      </c>
      <c r="E55" s="26" t="s">
        <v>94</v>
      </c>
      <c r="F55" s="19">
        <v>2022.0</v>
      </c>
      <c r="G55" s="19">
        <v>2022.0</v>
      </c>
      <c r="H55" s="11">
        <f>A4-F55</f>
        <v>4</v>
      </c>
      <c r="I55" s="137" t="s">
        <v>449</v>
      </c>
      <c r="J55" s="19">
        <v>7684.0</v>
      </c>
      <c r="K55" s="11" t="s">
        <v>243</v>
      </c>
      <c r="L55" s="11" t="s">
        <v>160</v>
      </c>
      <c r="M55" s="11" t="s">
        <v>332</v>
      </c>
      <c r="N55" s="11">
        <v>2022.0</v>
      </c>
      <c r="O55" s="11">
        <f>A4-N55</f>
        <v>4</v>
      </c>
      <c r="P55" s="19" t="s">
        <v>245</v>
      </c>
      <c r="Q55" s="19" t="s">
        <v>163</v>
      </c>
      <c r="R55" s="115" t="s">
        <v>450</v>
      </c>
      <c r="S55" s="115" t="s">
        <v>451</v>
      </c>
      <c r="T55" s="53">
        <f>VLOOKUP(B55,'Data aplikasi'!$A$2:$M$85,5,0)</f>
        <v>46693</v>
      </c>
      <c r="U55" s="54" t="str">
        <f t="shared" si="1"/>
        <v>Berlaku</v>
      </c>
      <c r="V55" s="53">
        <f>VLOOKUP(B55,'Data aplikasi'!$A$2:$M$85,6,0)</f>
        <v>46693</v>
      </c>
      <c r="W55" s="54" t="str">
        <f t="shared" si="2"/>
        <v>Berlaku</v>
      </c>
      <c r="X55" s="53" t="str">
        <f>VLOOKUP(B55,'Data aplikasi'!$A$2:$M$85,8,0)</f>
        <v/>
      </c>
      <c r="Y55" s="54" t="str">
        <f t="shared" si="3"/>
        <v>Habis</v>
      </c>
      <c r="Z55" s="53">
        <f>VLOOKUP(B55,'Data aplikasi'!$A$2:$M$85,9,0)</f>
        <v>46453</v>
      </c>
      <c r="AA55" s="54" t="str">
        <f t="shared" si="4"/>
        <v>Berlaku</v>
      </c>
      <c r="AB55" s="53">
        <f>VLOOKUP(B55,'Data aplikasi'!$A$2:$M$85,10,0)</f>
        <v>46962</v>
      </c>
      <c r="AC55" s="54" t="str">
        <f t="shared" si="5"/>
        <v>Berlaku</v>
      </c>
      <c r="AD55" s="55">
        <f>VLOOKUP(B55,'Data aplikasi'!$A$2:$M$85,11,0)</f>
        <v>46439</v>
      </c>
      <c r="AE55" s="56" t="str">
        <f t="shared" si="6"/>
        <v>Berlaku</v>
      </c>
      <c r="AF55" s="57" t="s">
        <v>166</v>
      </c>
      <c r="AG55" s="57" t="s">
        <v>167</v>
      </c>
      <c r="AH55" s="26"/>
      <c r="AI55" s="115" t="s">
        <v>452</v>
      </c>
      <c r="AJ55" s="59"/>
      <c r="AK55" s="59"/>
      <c r="AL55" s="59"/>
      <c r="AM55" s="59"/>
      <c r="AN55" s="59"/>
      <c r="AO55" s="59"/>
      <c r="AP55" s="59"/>
      <c r="AQ55" s="148"/>
      <c r="AR55" s="148"/>
      <c r="AS55" s="59"/>
      <c r="AT55" s="138"/>
      <c r="AU55" s="138"/>
      <c r="AV55" s="138"/>
      <c r="AW55" s="138"/>
      <c r="AX55" s="138"/>
    </row>
    <row r="56">
      <c r="A56" s="9">
        <v>50.0</v>
      </c>
      <c r="B56" s="10" t="s">
        <v>95</v>
      </c>
      <c r="C56" s="11" t="s">
        <v>153</v>
      </c>
      <c r="D56" s="11">
        <v>24.0</v>
      </c>
      <c r="E56" s="26" t="s">
        <v>94</v>
      </c>
      <c r="F56" s="19">
        <v>2020.0</v>
      </c>
      <c r="G56" s="19">
        <v>2020.0</v>
      </c>
      <c r="H56" s="11">
        <f>A4-F56</f>
        <v>6</v>
      </c>
      <c r="I56" s="137" t="s">
        <v>453</v>
      </c>
      <c r="J56" s="19">
        <v>7684.0</v>
      </c>
      <c r="K56" s="11" t="s">
        <v>159</v>
      </c>
      <c r="L56" s="11" t="s">
        <v>160</v>
      </c>
      <c r="M56" s="11" t="s">
        <v>161</v>
      </c>
      <c r="N56" s="11">
        <v>2020.0</v>
      </c>
      <c r="O56" s="11">
        <f>A4-N56</f>
        <v>6</v>
      </c>
      <c r="P56" s="11" t="s">
        <v>162</v>
      </c>
      <c r="Q56" s="19" t="s">
        <v>163</v>
      </c>
      <c r="R56" s="115" t="s">
        <v>454</v>
      </c>
      <c r="S56" s="115" t="s">
        <v>455</v>
      </c>
      <c r="T56" s="53">
        <f>VLOOKUP(B56,'Data aplikasi'!$A$2:$M$85,5,0)</f>
        <v>47720</v>
      </c>
      <c r="U56" s="54" t="str">
        <f t="shared" si="1"/>
        <v>Berlaku</v>
      </c>
      <c r="V56" s="53">
        <f>VLOOKUP(B56,'Data aplikasi'!$A$2:$M$85,6,0)</f>
        <v>46624</v>
      </c>
      <c r="W56" s="54" t="str">
        <f t="shared" si="2"/>
        <v>Berlaku</v>
      </c>
      <c r="X56" s="53">
        <f>VLOOKUP(B56,'Data aplikasi'!$A$2:$M$85,8,0)</f>
        <v>46421</v>
      </c>
      <c r="Y56" s="54" t="str">
        <f t="shared" si="3"/>
        <v>Berlaku</v>
      </c>
      <c r="Z56" s="53">
        <f>VLOOKUP(B56,'Data aplikasi'!$A$2:$M$85,9,0)</f>
        <v>46421</v>
      </c>
      <c r="AA56" s="54" t="str">
        <f t="shared" si="4"/>
        <v>Berlaku</v>
      </c>
      <c r="AB56" s="53">
        <f>VLOOKUP(B56,'Data aplikasi'!$A$2:$M$85,10,0)</f>
        <v>46942</v>
      </c>
      <c r="AC56" s="54" t="str">
        <f t="shared" si="5"/>
        <v>Berlaku</v>
      </c>
      <c r="AD56" s="55">
        <f>VLOOKUP(B56,'Data aplikasi'!$A$2:$M$85,11,0)</f>
        <v>46340</v>
      </c>
      <c r="AE56" s="56" t="str">
        <f t="shared" si="6"/>
        <v>Berlaku</v>
      </c>
      <c r="AF56" s="57" t="s">
        <v>166</v>
      </c>
      <c r="AG56" s="57" t="s">
        <v>167</v>
      </c>
      <c r="AH56" s="164"/>
      <c r="AI56" s="58"/>
      <c r="AJ56" s="138"/>
      <c r="AK56" s="138"/>
      <c r="AL56" s="138"/>
      <c r="AM56" s="138"/>
      <c r="AN56" s="138"/>
      <c r="AO56" s="138"/>
      <c r="AP56" s="138"/>
      <c r="AQ56" s="138"/>
      <c r="AR56" s="138"/>
      <c r="AS56" s="138"/>
      <c r="AT56" s="138"/>
      <c r="AU56" s="138"/>
      <c r="AV56" s="138"/>
      <c r="AW56" s="138"/>
      <c r="AX56" s="138"/>
    </row>
    <row r="57">
      <c r="A57" s="9">
        <v>51.0</v>
      </c>
      <c r="B57" s="10" t="s">
        <v>97</v>
      </c>
      <c r="C57" s="11" t="s">
        <v>153</v>
      </c>
      <c r="D57" s="11">
        <v>24.0</v>
      </c>
      <c r="E57" s="26" t="s">
        <v>94</v>
      </c>
      <c r="F57" s="19">
        <v>2020.0</v>
      </c>
      <c r="G57" s="19">
        <v>2020.0</v>
      </c>
      <c r="H57" s="11">
        <f>A4-F57</f>
        <v>6</v>
      </c>
      <c r="I57" s="137" t="s">
        <v>456</v>
      </c>
      <c r="J57" s="19">
        <v>7684.0</v>
      </c>
      <c r="K57" s="11" t="s">
        <v>159</v>
      </c>
      <c r="L57" s="11" t="s">
        <v>160</v>
      </c>
      <c r="M57" s="11" t="s">
        <v>161</v>
      </c>
      <c r="N57" s="11">
        <v>2020.0</v>
      </c>
      <c r="O57" s="11">
        <f>A4-N57</f>
        <v>6</v>
      </c>
      <c r="P57" s="11" t="s">
        <v>162</v>
      </c>
      <c r="Q57" s="19" t="s">
        <v>163</v>
      </c>
      <c r="R57" s="115" t="s">
        <v>457</v>
      </c>
      <c r="S57" s="115" t="s">
        <v>458</v>
      </c>
      <c r="T57" s="53">
        <f>VLOOKUP(B57,'Data aplikasi'!$A$2:$M$85,5,0)</f>
        <v>47720</v>
      </c>
      <c r="U57" s="54" t="str">
        <f t="shared" si="1"/>
        <v>Berlaku</v>
      </c>
      <c r="V57" s="53">
        <f>VLOOKUP(B57,'Data aplikasi'!$A$2:$M$85,6,0)</f>
        <v>46624</v>
      </c>
      <c r="W57" s="54" t="str">
        <f t="shared" si="2"/>
        <v>Berlaku</v>
      </c>
      <c r="X57" s="53">
        <f>VLOOKUP(B57,'Data aplikasi'!$A$2:$M$85,8,0)</f>
        <v>46421</v>
      </c>
      <c r="Y57" s="54" t="str">
        <f t="shared" si="3"/>
        <v>Berlaku</v>
      </c>
      <c r="Z57" s="53">
        <f>VLOOKUP(B57,'Data aplikasi'!$A$2:$M$85,9,0)</f>
        <v>46421</v>
      </c>
      <c r="AA57" s="54" t="str">
        <f t="shared" si="4"/>
        <v>Berlaku</v>
      </c>
      <c r="AB57" s="53">
        <f>VLOOKUP(B57,'Data aplikasi'!$A$2:$M$85,10,0)</f>
        <v>46843</v>
      </c>
      <c r="AC57" s="54" t="str">
        <f t="shared" si="5"/>
        <v>Berlaku</v>
      </c>
      <c r="AD57" s="55">
        <f>VLOOKUP(B57,'Data aplikasi'!$A$2:$M$85,11,0)</f>
        <v>46341</v>
      </c>
      <c r="AE57" s="56" t="str">
        <f t="shared" si="6"/>
        <v>Berlaku</v>
      </c>
      <c r="AF57" s="57" t="s">
        <v>166</v>
      </c>
      <c r="AG57" s="57" t="s">
        <v>167</v>
      </c>
      <c r="AH57" s="164"/>
      <c r="AI57" s="58"/>
      <c r="AJ57" s="138"/>
      <c r="AK57" s="138"/>
      <c r="AL57" s="138"/>
      <c r="AM57" s="138"/>
      <c r="AN57" s="138"/>
      <c r="AO57" s="138"/>
      <c r="AP57" s="138"/>
      <c r="AQ57" s="165"/>
      <c r="AR57" s="20"/>
      <c r="AS57" s="138"/>
      <c r="AT57" s="59"/>
      <c r="AU57" s="59"/>
      <c r="AV57" s="59"/>
      <c r="AW57" s="59"/>
      <c r="AX57" s="59"/>
    </row>
    <row r="58">
      <c r="A58" s="9">
        <v>52.0</v>
      </c>
      <c r="B58" s="39" t="s">
        <v>98</v>
      </c>
      <c r="C58" s="22" t="s">
        <v>240</v>
      </c>
      <c r="D58" s="22">
        <v>16.0</v>
      </c>
      <c r="E58" s="29" t="s">
        <v>100</v>
      </c>
      <c r="F58" s="22">
        <v>2022.0</v>
      </c>
      <c r="G58" s="22">
        <v>2022.0</v>
      </c>
      <c r="H58" s="11">
        <f>A4-F58</f>
        <v>4</v>
      </c>
      <c r="I58" s="139" t="s">
        <v>459</v>
      </c>
      <c r="J58" s="22">
        <v>7698.0</v>
      </c>
      <c r="K58" s="11" t="s">
        <v>266</v>
      </c>
      <c r="L58" s="22" t="s">
        <v>160</v>
      </c>
      <c r="M58" s="11" t="s">
        <v>161</v>
      </c>
      <c r="N58" s="22">
        <v>2022.0</v>
      </c>
      <c r="O58" s="11">
        <f>A4-N58</f>
        <v>4</v>
      </c>
      <c r="P58" s="22" t="s">
        <v>245</v>
      </c>
      <c r="Q58" s="9" t="s">
        <v>199</v>
      </c>
      <c r="R58" s="140" t="s">
        <v>460</v>
      </c>
      <c r="S58" s="140" t="s">
        <v>461</v>
      </c>
      <c r="T58" s="53">
        <f>VLOOKUP(B58,'Data aplikasi'!$A$2:$M$85,5,0)</f>
        <v>46705</v>
      </c>
      <c r="U58" s="54" t="str">
        <f t="shared" si="1"/>
        <v>Berlaku</v>
      </c>
      <c r="V58" s="53">
        <f>VLOOKUP(B58,'Data aplikasi'!$A$2:$M$85,6,0)</f>
        <v>46340</v>
      </c>
      <c r="W58" s="54" t="str">
        <f t="shared" si="2"/>
        <v>Akan Habis</v>
      </c>
      <c r="X58" s="53" t="str">
        <f>VLOOKUP(B58,'Data aplikasi'!$A$2:$M$85,8,0)</f>
        <v/>
      </c>
      <c r="Y58" s="54" t="str">
        <f t="shared" si="3"/>
        <v>Habis</v>
      </c>
      <c r="Z58" s="53">
        <f>VLOOKUP(B58,'Data aplikasi'!$A$2:$M$85,9,0)</f>
        <v>46330</v>
      </c>
      <c r="AA58" s="54" t="str">
        <f t="shared" si="4"/>
        <v>Berlaku</v>
      </c>
      <c r="AB58" s="53">
        <f>VLOOKUP(B58,'Data aplikasi'!$A$2:$M$85,10,0)</f>
        <v>46648</v>
      </c>
      <c r="AC58" s="54" t="str">
        <f t="shared" si="5"/>
        <v>Berlaku</v>
      </c>
      <c r="AD58" s="55">
        <f>VLOOKUP(B58,'Data aplikasi'!$A$2:$M$85,11,0)</f>
        <v>46340</v>
      </c>
      <c r="AE58" s="56" t="str">
        <f t="shared" si="6"/>
        <v>Berlaku</v>
      </c>
      <c r="AF58" s="57" t="s">
        <v>166</v>
      </c>
      <c r="AG58" s="57" t="s">
        <v>167</v>
      </c>
      <c r="AH58" s="29"/>
      <c r="AI58" s="115" t="s">
        <v>462</v>
      </c>
      <c r="AJ58" s="138"/>
      <c r="AK58" s="138"/>
      <c r="AL58" s="138"/>
      <c r="AM58" s="138"/>
      <c r="AN58" s="138"/>
      <c r="AO58" s="138"/>
      <c r="AP58" s="138"/>
      <c r="AQ58" s="165"/>
      <c r="AR58" s="20"/>
      <c r="AS58" s="138"/>
      <c r="AT58" s="59"/>
      <c r="AU58" s="59"/>
      <c r="AV58" s="59"/>
      <c r="AW58" s="59"/>
      <c r="AX58" s="59"/>
    </row>
    <row r="59">
      <c r="A59" s="9">
        <v>53.0</v>
      </c>
      <c r="B59" s="39" t="s">
        <v>101</v>
      </c>
      <c r="C59" s="19" t="s">
        <v>240</v>
      </c>
      <c r="D59" s="19">
        <v>16.0</v>
      </c>
      <c r="E59" s="26" t="s">
        <v>100</v>
      </c>
      <c r="F59" s="19">
        <v>2022.0</v>
      </c>
      <c r="G59" s="19">
        <v>2022.0</v>
      </c>
      <c r="H59" s="11">
        <f>A4-F59</f>
        <v>4</v>
      </c>
      <c r="I59" s="139" t="s">
        <v>459</v>
      </c>
      <c r="J59" s="22">
        <v>7698.0</v>
      </c>
      <c r="K59" s="11" t="s">
        <v>266</v>
      </c>
      <c r="L59" s="19" t="s">
        <v>160</v>
      </c>
      <c r="M59" s="11" t="s">
        <v>161</v>
      </c>
      <c r="N59" s="19">
        <v>2022.0</v>
      </c>
      <c r="O59" s="11">
        <f>A4-N59</f>
        <v>4</v>
      </c>
      <c r="P59" s="19" t="s">
        <v>245</v>
      </c>
      <c r="Q59" s="11" t="s">
        <v>199</v>
      </c>
      <c r="R59" s="140" t="s">
        <v>463</v>
      </c>
      <c r="S59" s="140" t="s">
        <v>464</v>
      </c>
      <c r="T59" s="53">
        <f>VLOOKUP(B59,'Data aplikasi'!$A$2:$M$85,5,0)</f>
        <v>46706</v>
      </c>
      <c r="U59" s="54" t="str">
        <f t="shared" si="1"/>
        <v>Berlaku</v>
      </c>
      <c r="V59" s="53">
        <f>VLOOKUP(B59,'Data aplikasi'!$A$2:$M$85,6,0)</f>
        <v>46341</v>
      </c>
      <c r="W59" s="54" t="str">
        <f t="shared" si="2"/>
        <v>Akan Habis</v>
      </c>
      <c r="X59" s="53" t="str">
        <f>VLOOKUP(B59,'Data aplikasi'!$A$2:$M$85,8,0)</f>
        <v/>
      </c>
      <c r="Y59" s="54" t="str">
        <f t="shared" si="3"/>
        <v>Habis</v>
      </c>
      <c r="Z59" s="53">
        <f>VLOOKUP(B59,'Data aplikasi'!$A$2:$M$85,9,0)</f>
        <v>46330</v>
      </c>
      <c r="AA59" s="54" t="str">
        <f t="shared" si="4"/>
        <v>Berlaku</v>
      </c>
      <c r="AB59" s="53">
        <f>VLOOKUP(B59,'Data aplikasi'!$A$2:$M$85,10,0)</f>
        <v>46339</v>
      </c>
      <c r="AC59" s="54" t="str">
        <f t="shared" si="5"/>
        <v>Akan Habis</v>
      </c>
      <c r="AD59" s="55">
        <f>VLOOKUP(B59,'Data aplikasi'!$A$2:$M$85,11,0)</f>
        <v>46340</v>
      </c>
      <c r="AE59" s="56" t="str">
        <f t="shared" si="6"/>
        <v>Berlaku</v>
      </c>
      <c r="AF59" s="57" t="s">
        <v>166</v>
      </c>
      <c r="AG59" s="57" t="s">
        <v>167</v>
      </c>
      <c r="AH59" s="166"/>
      <c r="AI59" s="115" t="s">
        <v>465</v>
      </c>
      <c r="AJ59" s="138"/>
      <c r="AK59" s="138"/>
      <c r="AL59" s="138"/>
      <c r="AM59" s="138"/>
      <c r="AN59" s="138"/>
      <c r="AO59" s="138"/>
      <c r="AP59" s="138"/>
      <c r="AQ59" s="165"/>
      <c r="AR59" s="20"/>
      <c r="AS59" s="138"/>
      <c r="AT59" s="59"/>
      <c r="AU59" s="59"/>
      <c r="AV59" s="59"/>
      <c r="AW59" s="59"/>
      <c r="AX59" s="59"/>
    </row>
    <row r="60">
      <c r="A60" s="9">
        <v>54.0</v>
      </c>
      <c r="B60" s="39" t="s">
        <v>102</v>
      </c>
      <c r="C60" s="22" t="s">
        <v>240</v>
      </c>
      <c r="D60" s="22">
        <v>16.0</v>
      </c>
      <c r="E60" s="29" t="s">
        <v>100</v>
      </c>
      <c r="F60" s="22">
        <v>2023.0</v>
      </c>
      <c r="G60" s="22">
        <v>2024.0</v>
      </c>
      <c r="H60" s="11">
        <f>A4-F60</f>
        <v>3</v>
      </c>
      <c r="I60" s="139" t="s">
        <v>466</v>
      </c>
      <c r="J60" s="22">
        <v>7790.0</v>
      </c>
      <c r="K60" s="11" t="s">
        <v>243</v>
      </c>
      <c r="L60" s="22" t="s">
        <v>160</v>
      </c>
      <c r="M60" s="11" t="s">
        <v>161</v>
      </c>
      <c r="N60" s="22">
        <v>2024.0</v>
      </c>
      <c r="O60" s="11">
        <f>A4-N60</f>
        <v>2</v>
      </c>
      <c r="P60" s="22" t="s">
        <v>245</v>
      </c>
      <c r="Q60" s="9" t="s">
        <v>467</v>
      </c>
      <c r="R60" s="140" t="s">
        <v>468</v>
      </c>
      <c r="S60" s="140" t="s">
        <v>469</v>
      </c>
      <c r="T60" s="53">
        <f>VLOOKUP(B60,'Data aplikasi'!$A$2:$M$85,5,0)</f>
        <v>47358</v>
      </c>
      <c r="U60" s="54" t="str">
        <f t="shared" si="1"/>
        <v>Berlaku</v>
      </c>
      <c r="V60" s="53">
        <f>VLOOKUP(B60,'Data aplikasi'!$A$2:$M$85,6,0)</f>
        <v>46627</v>
      </c>
      <c r="W60" s="54" t="str">
        <f t="shared" si="2"/>
        <v>Berlaku</v>
      </c>
      <c r="X60" s="53" t="str">
        <f>VLOOKUP(B60,'Data aplikasi'!$A$2:$M$85,8,0)</f>
        <v/>
      </c>
      <c r="Y60" s="54" t="str">
        <f t="shared" si="3"/>
        <v>Habis</v>
      </c>
      <c r="Z60" s="53">
        <f>VLOOKUP(B60,'Data aplikasi'!$A$2:$M$85,9,0)</f>
        <v>46301</v>
      </c>
      <c r="AA60" s="54" t="str">
        <f t="shared" si="4"/>
        <v>Habis dalam 7-1 Hari</v>
      </c>
      <c r="AB60" s="53">
        <f>VLOOKUP(B60,'Data aplikasi'!$A$2:$M$85,10,0)</f>
        <v>46318</v>
      </c>
      <c r="AC60" s="54" t="str">
        <f t="shared" si="5"/>
        <v>Akan Habis</v>
      </c>
      <c r="AD60" s="55">
        <f>VLOOKUP(B60,'Data aplikasi'!$A$2:$M$85,11,0)</f>
        <v>46293</v>
      </c>
      <c r="AE60" s="56" t="str">
        <f t="shared" si="6"/>
        <v>Habis</v>
      </c>
      <c r="AF60" s="57" t="s">
        <v>166</v>
      </c>
      <c r="AG60" s="57" t="s">
        <v>167</v>
      </c>
      <c r="AH60" s="167"/>
      <c r="AI60" s="115" t="s">
        <v>470</v>
      </c>
      <c r="AJ60" s="138"/>
      <c r="AK60" s="138"/>
      <c r="AL60" s="138"/>
      <c r="AM60" s="138"/>
      <c r="AN60" s="138"/>
      <c r="AO60" s="138"/>
      <c r="AP60" s="138"/>
      <c r="AQ60" s="165"/>
      <c r="AR60" s="20"/>
      <c r="AS60" s="138"/>
      <c r="AT60" s="59"/>
      <c r="AU60" s="59"/>
      <c r="AV60" s="59"/>
      <c r="AW60" s="59"/>
      <c r="AX60" s="59"/>
    </row>
    <row r="61">
      <c r="A61" s="9">
        <v>55.0</v>
      </c>
      <c r="B61" s="10" t="s">
        <v>103</v>
      </c>
      <c r="C61" s="11" t="s">
        <v>153</v>
      </c>
      <c r="D61" s="11">
        <v>24.0</v>
      </c>
      <c r="E61" s="14" t="s">
        <v>100</v>
      </c>
      <c r="F61" s="11">
        <v>2022.0</v>
      </c>
      <c r="G61" s="11">
        <v>2022.0</v>
      </c>
      <c r="H61" s="11">
        <f>A4-F61</f>
        <v>4</v>
      </c>
      <c r="I61" s="51" t="s">
        <v>471</v>
      </c>
      <c r="J61" s="11">
        <v>7698.0</v>
      </c>
      <c r="K61" s="11" t="s">
        <v>266</v>
      </c>
      <c r="L61" s="11" t="s">
        <v>160</v>
      </c>
      <c r="M61" s="11" t="s">
        <v>332</v>
      </c>
      <c r="N61" s="11">
        <v>2012.0</v>
      </c>
      <c r="O61" s="11">
        <f>A4-N61</f>
        <v>14</v>
      </c>
      <c r="P61" s="11" t="s">
        <v>162</v>
      </c>
      <c r="Q61" s="11" t="s">
        <v>199</v>
      </c>
      <c r="R61" s="52" t="s">
        <v>472</v>
      </c>
      <c r="S61" s="52" t="s">
        <v>473</v>
      </c>
      <c r="T61" s="53">
        <f>VLOOKUP(B61,'Data aplikasi'!$A$2:$M$85,5,0)</f>
        <v>46659</v>
      </c>
      <c r="U61" s="54" t="str">
        <f t="shared" si="1"/>
        <v>Berlaku</v>
      </c>
      <c r="V61" s="53">
        <f>VLOOKUP(B61,'Data aplikasi'!$A$2:$M$85,6,0)</f>
        <v>46659</v>
      </c>
      <c r="W61" s="54" t="str">
        <f t="shared" si="2"/>
        <v>Berlaku</v>
      </c>
      <c r="X61" s="53">
        <f>VLOOKUP(B61,'Data aplikasi'!$A$2:$M$85,8,0)</f>
        <v>46330</v>
      </c>
      <c r="Y61" s="54" t="str">
        <f t="shared" si="3"/>
        <v>Akan Habis</v>
      </c>
      <c r="Z61" s="53">
        <f>VLOOKUP(B61,'Data aplikasi'!$A$2:$M$85,9,0)</f>
        <v>46330</v>
      </c>
      <c r="AA61" s="54" t="str">
        <f t="shared" si="4"/>
        <v>Berlaku</v>
      </c>
      <c r="AB61" s="53">
        <f>VLOOKUP(B61,'Data aplikasi'!$A$2:$M$85,10,0)</f>
        <v>46694</v>
      </c>
      <c r="AC61" s="54" t="str">
        <f t="shared" si="5"/>
        <v>Berlaku</v>
      </c>
      <c r="AD61" s="55">
        <f>VLOOKUP(B61,'Data aplikasi'!$A$2:$M$85,11,0)</f>
        <v>46332</v>
      </c>
      <c r="AE61" s="56" t="str">
        <f t="shared" si="6"/>
        <v>Berlaku</v>
      </c>
      <c r="AF61" s="57" t="s">
        <v>166</v>
      </c>
      <c r="AG61" s="57" t="s">
        <v>167</v>
      </c>
      <c r="AH61" s="14"/>
      <c r="AI61" s="115" t="s">
        <v>474</v>
      </c>
      <c r="AJ61" s="146"/>
      <c r="AK61" s="146"/>
      <c r="AL61" s="146"/>
      <c r="AM61" s="146"/>
      <c r="AN61" s="146"/>
      <c r="AO61" s="146"/>
      <c r="AP61" s="146"/>
      <c r="AQ61" s="168"/>
      <c r="AR61" s="169"/>
      <c r="AS61" s="146"/>
      <c r="AT61" s="138"/>
      <c r="AU61" s="138"/>
      <c r="AV61" s="138"/>
      <c r="AW61" s="138"/>
      <c r="AX61" s="138"/>
    </row>
    <row r="62">
      <c r="A62" s="9">
        <v>56.0</v>
      </c>
      <c r="B62" s="10" t="s">
        <v>104</v>
      </c>
      <c r="C62" s="19" t="s">
        <v>240</v>
      </c>
      <c r="D62" s="19">
        <v>16.0</v>
      </c>
      <c r="E62" s="26" t="s">
        <v>105</v>
      </c>
      <c r="F62" s="11">
        <v>2023.0</v>
      </c>
      <c r="G62" s="11">
        <v>2023.0</v>
      </c>
      <c r="H62" s="11">
        <f>A4-F62</f>
        <v>3</v>
      </c>
      <c r="I62" s="51" t="s">
        <v>466</v>
      </c>
      <c r="J62" s="11">
        <v>7790.0</v>
      </c>
      <c r="K62" s="11" t="s">
        <v>243</v>
      </c>
      <c r="L62" s="11" t="s">
        <v>160</v>
      </c>
      <c r="M62" s="11" t="s">
        <v>332</v>
      </c>
      <c r="N62" s="11">
        <v>2023.0</v>
      </c>
      <c r="O62" s="11">
        <f>A4-N62</f>
        <v>3</v>
      </c>
      <c r="P62" s="19" t="s">
        <v>245</v>
      </c>
      <c r="Q62" s="11" t="s">
        <v>467</v>
      </c>
      <c r="R62" s="52" t="s">
        <v>475</v>
      </c>
      <c r="S62" s="52" t="s">
        <v>476</v>
      </c>
      <c r="T62" s="53">
        <f>VLOOKUP(B62,'Data aplikasi'!$A$2:$M$85,5,0)</f>
        <v>46924</v>
      </c>
      <c r="U62" s="54" t="str">
        <f t="shared" si="1"/>
        <v>Berlaku</v>
      </c>
      <c r="V62" s="53">
        <f>VLOOKUP(B62,'Data aplikasi'!$A$2:$M$85,6,0)</f>
        <v>46558</v>
      </c>
      <c r="W62" s="54" t="str">
        <f t="shared" si="2"/>
        <v>Berlaku</v>
      </c>
      <c r="X62" s="53" t="str">
        <f>VLOOKUP(B62,'Data aplikasi'!$A$2:$M$85,8,0)</f>
        <v/>
      </c>
      <c r="Y62" s="54" t="str">
        <f t="shared" si="3"/>
        <v>Habis</v>
      </c>
      <c r="Z62" s="53">
        <f>VLOOKUP(B62,'Data aplikasi'!$A$2:$M$85,9,0)</f>
        <v>46346</v>
      </c>
      <c r="AA62" s="54" t="str">
        <f t="shared" si="4"/>
        <v>Berlaku</v>
      </c>
      <c r="AB62" s="53">
        <f>VLOOKUP(B62,'Data aplikasi'!$A$2:$M$85,10,0)</f>
        <v>46563</v>
      </c>
      <c r="AC62" s="54" t="str">
        <f t="shared" si="5"/>
        <v>Berlaku</v>
      </c>
      <c r="AD62" s="55">
        <f>VLOOKUP(B62,'Data aplikasi'!$A$2:$M$85,11,0)</f>
        <v>46340</v>
      </c>
      <c r="AE62" s="56" t="str">
        <f t="shared" si="6"/>
        <v>Berlaku</v>
      </c>
      <c r="AF62" s="57" t="s">
        <v>166</v>
      </c>
      <c r="AG62" s="57" t="s">
        <v>167</v>
      </c>
      <c r="AH62" s="24"/>
      <c r="AI62" s="115" t="s">
        <v>478</v>
      </c>
      <c r="AJ62" s="146"/>
      <c r="AK62" s="146"/>
      <c r="AL62" s="146"/>
      <c r="AM62" s="146"/>
      <c r="AN62" s="146"/>
      <c r="AO62" s="146"/>
      <c r="AP62" s="146"/>
      <c r="AQ62" s="168"/>
      <c r="AR62" s="169"/>
      <c r="AS62" s="146"/>
      <c r="AT62" s="138"/>
      <c r="AU62" s="138"/>
      <c r="AV62" s="138"/>
      <c r="AW62" s="138"/>
      <c r="AX62" s="138"/>
    </row>
    <row r="63">
      <c r="A63" s="9">
        <v>57.0</v>
      </c>
      <c r="B63" s="10" t="s">
        <v>106</v>
      </c>
      <c r="C63" s="11" t="s">
        <v>153</v>
      </c>
      <c r="D63" s="11">
        <v>24.0</v>
      </c>
      <c r="E63" s="26" t="s">
        <v>105</v>
      </c>
      <c r="F63" s="22">
        <v>2022.0</v>
      </c>
      <c r="G63" s="22">
        <v>2023.0</v>
      </c>
      <c r="H63" s="11">
        <f>A4-F63</f>
        <v>4</v>
      </c>
      <c r="I63" s="139" t="s">
        <v>479</v>
      </c>
      <c r="J63" s="22">
        <v>7790.0</v>
      </c>
      <c r="K63" s="11" t="s">
        <v>243</v>
      </c>
      <c r="L63" s="11" t="s">
        <v>160</v>
      </c>
      <c r="M63" s="11" t="s">
        <v>267</v>
      </c>
      <c r="N63" s="11">
        <v>2012.0</v>
      </c>
      <c r="O63" s="11">
        <f>A4-N63</f>
        <v>14</v>
      </c>
      <c r="P63" s="11" t="s">
        <v>162</v>
      </c>
      <c r="Q63" s="19" t="s">
        <v>467</v>
      </c>
      <c r="R63" s="115" t="s">
        <v>481</v>
      </c>
      <c r="S63" s="115" t="s">
        <v>482</v>
      </c>
      <c r="T63" s="53">
        <f>VLOOKUP(B63,'Data aplikasi'!$A$2:$M$85,5,0)</f>
        <v>46782</v>
      </c>
      <c r="U63" s="54" t="str">
        <f t="shared" si="1"/>
        <v>Berlaku</v>
      </c>
      <c r="V63" s="53">
        <f>VLOOKUP(B63,'Data aplikasi'!$A$2:$M$85,6,0)</f>
        <v>46417</v>
      </c>
      <c r="W63" s="54" t="str">
        <f t="shared" si="2"/>
        <v>Berlaku</v>
      </c>
      <c r="X63" s="53">
        <f>VLOOKUP(B63,'Data aplikasi'!$A$2:$M$85,8,0)</f>
        <v>46438</v>
      </c>
      <c r="Y63" s="54" t="str">
        <f t="shared" si="3"/>
        <v>Berlaku</v>
      </c>
      <c r="Z63" s="53">
        <f>VLOOKUP(B63,'Data aplikasi'!$A$2:$M$85,9,0)</f>
        <v>46420</v>
      </c>
      <c r="AA63" s="54" t="str">
        <f t="shared" si="4"/>
        <v>Berlaku</v>
      </c>
      <c r="AB63" s="53">
        <f>VLOOKUP(B63,'Data aplikasi'!$A$2:$M$85,10,0)</f>
        <v>46438</v>
      </c>
      <c r="AC63" s="54" t="str">
        <f t="shared" si="5"/>
        <v>Berlaku</v>
      </c>
      <c r="AD63" s="55">
        <f>VLOOKUP(B63,'Data aplikasi'!$A$2:$M$85,11,0)</f>
        <v>46340</v>
      </c>
      <c r="AE63" s="56" t="str">
        <f t="shared" si="6"/>
        <v>Berlaku</v>
      </c>
      <c r="AF63" s="57" t="s">
        <v>166</v>
      </c>
      <c r="AG63" s="57" t="s">
        <v>167</v>
      </c>
      <c r="AH63" s="175"/>
      <c r="AI63" s="115" t="s">
        <v>484</v>
      </c>
      <c r="AJ63" s="177"/>
      <c r="AK63" s="177"/>
      <c r="AL63" s="177"/>
      <c r="AM63" s="177"/>
      <c r="AN63" s="177"/>
      <c r="AO63" s="177"/>
      <c r="AP63" s="177"/>
      <c r="AQ63" s="165"/>
      <c r="AR63" s="165"/>
      <c r="AS63" s="177"/>
      <c r="AT63" s="138"/>
      <c r="AU63" s="138"/>
      <c r="AV63" s="138"/>
      <c r="AW63" s="138"/>
      <c r="AX63" s="138"/>
    </row>
    <row r="64">
      <c r="A64" s="9">
        <v>58.0</v>
      </c>
      <c r="B64" s="10" t="s">
        <v>108</v>
      </c>
      <c r="C64" s="11" t="s">
        <v>240</v>
      </c>
      <c r="D64" s="11">
        <v>16.0</v>
      </c>
      <c r="E64" s="14" t="s">
        <v>109</v>
      </c>
      <c r="F64" s="11">
        <v>2023.0</v>
      </c>
      <c r="G64" s="11">
        <v>2023.0</v>
      </c>
      <c r="H64" s="11">
        <f>A4-F64</f>
        <v>3</v>
      </c>
      <c r="I64" s="51" t="s">
        <v>486</v>
      </c>
      <c r="J64" s="11">
        <v>7684.0</v>
      </c>
      <c r="K64" s="11" t="s">
        <v>243</v>
      </c>
      <c r="L64" s="11" t="s">
        <v>160</v>
      </c>
      <c r="M64" s="11" t="s">
        <v>332</v>
      </c>
      <c r="N64" s="11">
        <v>2023.0</v>
      </c>
      <c r="O64" s="11">
        <f>A4-N64</f>
        <v>3</v>
      </c>
      <c r="P64" s="11" t="s">
        <v>245</v>
      </c>
      <c r="Q64" s="11" t="s">
        <v>163</v>
      </c>
      <c r="R64" s="52" t="s">
        <v>487</v>
      </c>
      <c r="S64" s="52" t="s">
        <v>488</v>
      </c>
      <c r="T64" s="53">
        <f>VLOOKUP(B64,'Data aplikasi'!$A$2:$M$85,5,0)</f>
        <v>47071</v>
      </c>
      <c r="U64" s="54" t="str">
        <f t="shared" si="1"/>
        <v>Berlaku</v>
      </c>
      <c r="V64" s="53">
        <f>VLOOKUP(B64,'Data aplikasi'!$A$2:$M$85,6,0)</f>
        <v>46340</v>
      </c>
      <c r="W64" s="54" t="str">
        <f t="shared" si="2"/>
        <v>Akan Habis</v>
      </c>
      <c r="X64" s="53" t="str">
        <f>VLOOKUP(B64,'Data aplikasi'!$A$2:$M$85,8,0)</f>
        <v/>
      </c>
      <c r="Y64" s="54" t="str">
        <f t="shared" si="3"/>
        <v>Habis</v>
      </c>
      <c r="Z64" s="53">
        <f>VLOOKUP(B64,'Data aplikasi'!$A$2:$M$85,9,0)</f>
        <v>46333</v>
      </c>
      <c r="AA64" s="54" t="str">
        <f t="shared" si="4"/>
        <v>Berlaku</v>
      </c>
      <c r="AB64" s="53">
        <f>VLOOKUP(B64,'Data aplikasi'!$A$2:$M$85,10,0)</f>
        <v>46711</v>
      </c>
      <c r="AC64" s="54" t="str">
        <f t="shared" si="5"/>
        <v>Berlaku</v>
      </c>
      <c r="AD64" s="55">
        <f>VLOOKUP(B64,'Data aplikasi'!$A$2:$M$85,11,0)</f>
        <v>46340</v>
      </c>
      <c r="AE64" s="56" t="str">
        <f t="shared" si="6"/>
        <v>Berlaku</v>
      </c>
      <c r="AF64" s="57" t="s">
        <v>166</v>
      </c>
      <c r="AG64" s="57" t="s">
        <v>167</v>
      </c>
      <c r="AH64" s="14"/>
      <c r="AI64" s="115" t="s">
        <v>491</v>
      </c>
      <c r="AJ64" s="177"/>
      <c r="AK64" s="177"/>
      <c r="AL64" s="177"/>
      <c r="AM64" s="177"/>
      <c r="AN64" s="177"/>
      <c r="AO64" s="177"/>
      <c r="AP64" s="177"/>
      <c r="AQ64" s="165"/>
      <c r="AR64" s="165"/>
      <c r="AS64" s="177"/>
      <c r="AT64" s="138"/>
      <c r="AU64" s="138"/>
      <c r="AV64" s="138"/>
      <c r="AW64" s="138"/>
      <c r="AX64" s="138"/>
    </row>
    <row r="65">
      <c r="A65" s="9">
        <v>59.0</v>
      </c>
      <c r="B65" s="10" t="s">
        <v>110</v>
      </c>
      <c r="C65" s="11" t="s">
        <v>240</v>
      </c>
      <c r="D65" s="11">
        <v>16.0</v>
      </c>
      <c r="E65" s="14" t="s">
        <v>109</v>
      </c>
      <c r="F65" s="11">
        <v>2023.0</v>
      </c>
      <c r="G65" s="11">
        <v>2023.0</v>
      </c>
      <c r="H65" s="11">
        <f>A4-F65</f>
        <v>3</v>
      </c>
      <c r="I65" s="51" t="s">
        <v>486</v>
      </c>
      <c r="J65" s="11">
        <v>7684.0</v>
      </c>
      <c r="K65" s="11" t="s">
        <v>243</v>
      </c>
      <c r="L65" s="11" t="s">
        <v>160</v>
      </c>
      <c r="M65" s="11" t="s">
        <v>332</v>
      </c>
      <c r="N65" s="11">
        <v>2023.0</v>
      </c>
      <c r="O65" s="11">
        <f>A4-N65</f>
        <v>3</v>
      </c>
      <c r="P65" s="11" t="s">
        <v>245</v>
      </c>
      <c r="Q65" s="11" t="s">
        <v>163</v>
      </c>
      <c r="R65" s="52" t="s">
        <v>494</v>
      </c>
      <c r="S65" s="52" t="s">
        <v>495</v>
      </c>
      <c r="T65" s="53">
        <f>VLOOKUP(B65,'Data aplikasi'!$A$2:$M$85,5,0)</f>
        <v>47071</v>
      </c>
      <c r="U65" s="54" t="str">
        <f t="shared" si="1"/>
        <v>Berlaku</v>
      </c>
      <c r="V65" s="53">
        <f>VLOOKUP(B65,'Data aplikasi'!$A$2:$M$85,6,0)</f>
        <v>46340</v>
      </c>
      <c r="W65" s="54" t="str">
        <f t="shared" si="2"/>
        <v>Akan Habis</v>
      </c>
      <c r="X65" s="53" t="str">
        <f>VLOOKUP(B65,'Data aplikasi'!$A$2:$M$85,8,0)</f>
        <v/>
      </c>
      <c r="Y65" s="54" t="str">
        <f t="shared" si="3"/>
        <v>Habis</v>
      </c>
      <c r="Z65" s="53">
        <f>VLOOKUP(B65,'Data aplikasi'!$A$2:$M$85,9,0)</f>
        <v>46333</v>
      </c>
      <c r="AA65" s="54" t="str">
        <f t="shared" si="4"/>
        <v>Berlaku</v>
      </c>
      <c r="AB65" s="53">
        <f>VLOOKUP(B65,'Data aplikasi'!$A$2:$M$85,10,0)</f>
        <v>46526</v>
      </c>
      <c r="AC65" s="54" t="str">
        <f t="shared" si="5"/>
        <v>Berlaku</v>
      </c>
      <c r="AD65" s="55">
        <f>VLOOKUP(B65,'Data aplikasi'!$A$2:$M$85,11,0)</f>
        <v>46340</v>
      </c>
      <c r="AE65" s="56" t="str">
        <f t="shared" si="6"/>
        <v>Berlaku</v>
      </c>
      <c r="AF65" s="57" t="s">
        <v>166</v>
      </c>
      <c r="AG65" s="57" t="s">
        <v>167</v>
      </c>
      <c r="AH65" s="14"/>
      <c r="AI65" s="115" t="s">
        <v>505</v>
      </c>
      <c r="AJ65" s="192"/>
      <c r="AK65" s="138"/>
      <c r="AL65" s="138"/>
      <c r="AM65" s="138"/>
      <c r="AN65" s="138"/>
      <c r="AO65" s="138"/>
      <c r="AP65" s="138"/>
      <c r="AQ65" s="138"/>
      <c r="AR65" s="138"/>
      <c r="AS65" s="138"/>
      <c r="AT65" s="138"/>
      <c r="AU65" s="138"/>
      <c r="AV65" s="138"/>
      <c r="AW65" s="138"/>
      <c r="AX65" s="138"/>
    </row>
    <row r="66">
      <c r="A66" s="9">
        <v>60.0</v>
      </c>
      <c r="B66" s="10" t="s">
        <v>111</v>
      </c>
      <c r="C66" s="11" t="s">
        <v>240</v>
      </c>
      <c r="D66" s="11">
        <v>16.0</v>
      </c>
      <c r="E66" s="14" t="s">
        <v>109</v>
      </c>
      <c r="F66" s="11">
        <v>2023.0</v>
      </c>
      <c r="G66" s="11">
        <v>2023.0</v>
      </c>
      <c r="H66" s="11">
        <f>A4-F66</f>
        <v>3</v>
      </c>
      <c r="I66" s="51" t="s">
        <v>486</v>
      </c>
      <c r="J66" s="11">
        <v>7684.0</v>
      </c>
      <c r="K66" s="11" t="s">
        <v>243</v>
      </c>
      <c r="L66" s="11" t="s">
        <v>160</v>
      </c>
      <c r="M66" s="11" t="s">
        <v>332</v>
      </c>
      <c r="N66" s="11">
        <v>2023.0</v>
      </c>
      <c r="O66" s="11">
        <f>A4-N66</f>
        <v>3</v>
      </c>
      <c r="P66" s="11" t="s">
        <v>245</v>
      </c>
      <c r="Q66" s="11" t="s">
        <v>163</v>
      </c>
      <c r="R66" s="52" t="s">
        <v>506</v>
      </c>
      <c r="S66" s="52" t="s">
        <v>507</v>
      </c>
      <c r="T66" s="53">
        <f>VLOOKUP(B66,'Data aplikasi'!$A$2:$M$85,5,0)</f>
        <v>47071</v>
      </c>
      <c r="U66" s="54" t="str">
        <f t="shared" si="1"/>
        <v>Berlaku</v>
      </c>
      <c r="V66" s="53">
        <f>VLOOKUP(B66,'Data aplikasi'!$A$2:$M$85,6,0)</f>
        <v>46340</v>
      </c>
      <c r="W66" s="54" t="str">
        <f t="shared" si="2"/>
        <v>Akan Habis</v>
      </c>
      <c r="X66" s="53" t="str">
        <f>VLOOKUP(B66,'Data aplikasi'!$A$2:$M$85,8,0)</f>
        <v/>
      </c>
      <c r="Y66" s="54" t="str">
        <f t="shared" si="3"/>
        <v>Habis</v>
      </c>
      <c r="Z66" s="53">
        <f>VLOOKUP(B66,'Data aplikasi'!$A$2:$M$85,9,0)</f>
        <v>46333</v>
      </c>
      <c r="AA66" s="54" t="str">
        <f t="shared" si="4"/>
        <v>Berlaku</v>
      </c>
      <c r="AB66" s="53">
        <f>VLOOKUP(B66,'Data aplikasi'!$A$2:$M$85,10,0)</f>
        <v>46711</v>
      </c>
      <c r="AC66" s="54" t="str">
        <f t="shared" si="5"/>
        <v>Berlaku</v>
      </c>
      <c r="AD66" s="55">
        <f>VLOOKUP(B66,'Data aplikasi'!$A$2:$M$85,11,0)</f>
        <v>46340</v>
      </c>
      <c r="AE66" s="56" t="str">
        <f t="shared" si="6"/>
        <v>Berlaku</v>
      </c>
      <c r="AF66" s="57" t="s">
        <v>166</v>
      </c>
      <c r="AG66" s="57" t="s">
        <v>167</v>
      </c>
      <c r="AH66" s="14"/>
      <c r="AI66" s="115" t="s">
        <v>512</v>
      </c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46"/>
      <c r="AU66" s="146"/>
      <c r="AV66" s="146"/>
      <c r="AW66" s="146"/>
      <c r="AX66" s="146"/>
    </row>
    <row r="67">
      <c r="A67" s="9">
        <v>61.0</v>
      </c>
      <c r="B67" s="10" t="s">
        <v>113</v>
      </c>
      <c r="C67" s="9" t="s">
        <v>153</v>
      </c>
      <c r="D67" s="9">
        <v>24.0</v>
      </c>
      <c r="E67" s="24" t="s">
        <v>109</v>
      </c>
      <c r="F67" s="9">
        <v>2023.0</v>
      </c>
      <c r="G67" s="9">
        <v>2023.0</v>
      </c>
      <c r="H67" s="11">
        <f>A4-F67</f>
        <v>3</v>
      </c>
      <c r="I67" s="117" t="s">
        <v>513</v>
      </c>
      <c r="J67" s="9">
        <v>7684.0</v>
      </c>
      <c r="K67" s="11" t="s">
        <v>243</v>
      </c>
      <c r="L67" s="9" t="s">
        <v>160</v>
      </c>
      <c r="M67" s="9" t="s">
        <v>332</v>
      </c>
      <c r="N67" s="9">
        <v>2023.0</v>
      </c>
      <c r="O67" s="11">
        <f>A4-N67</f>
        <v>3</v>
      </c>
      <c r="P67" s="9" t="s">
        <v>162</v>
      </c>
      <c r="Q67" s="9" t="s">
        <v>163</v>
      </c>
      <c r="R67" s="118" t="s">
        <v>514</v>
      </c>
      <c r="S67" s="118" t="s">
        <v>515</v>
      </c>
      <c r="T67" s="53">
        <f>VLOOKUP(B67,'Data aplikasi'!$A$2:$M$85,5,0)</f>
        <v>47115</v>
      </c>
      <c r="U67" s="54" t="str">
        <f t="shared" si="1"/>
        <v>Berlaku</v>
      </c>
      <c r="V67" s="53">
        <f>VLOOKUP(B67,'Data aplikasi'!$A$2:$M$85,6,0)</f>
        <v>46384</v>
      </c>
      <c r="W67" s="54" t="str">
        <f t="shared" si="2"/>
        <v>Berlaku</v>
      </c>
      <c r="X67" s="53">
        <f>VLOOKUP(B67,'Data aplikasi'!$A$2:$M$85,8,0)</f>
        <v>46395</v>
      </c>
      <c r="Y67" s="54" t="str">
        <f t="shared" si="3"/>
        <v>Berlaku</v>
      </c>
      <c r="Z67" s="53">
        <f>VLOOKUP(B67,'Data aplikasi'!$A$2:$M$85,9,0)</f>
        <v>46395</v>
      </c>
      <c r="AA67" s="54" t="str">
        <f t="shared" si="4"/>
        <v>Berlaku</v>
      </c>
      <c r="AB67" s="53">
        <f>VLOOKUP(B67,'Data aplikasi'!$A$2:$M$85,10,0)</f>
        <v>46771</v>
      </c>
      <c r="AC67" s="54" t="str">
        <f t="shared" si="5"/>
        <v>Berlaku</v>
      </c>
      <c r="AD67" s="55">
        <f>VLOOKUP(B67,'Data aplikasi'!$A$2:$M$85,11,0)</f>
        <v>46396</v>
      </c>
      <c r="AE67" s="56" t="str">
        <f t="shared" si="6"/>
        <v>Berlaku</v>
      </c>
      <c r="AF67" s="57" t="s">
        <v>166</v>
      </c>
      <c r="AG67" s="57" t="s">
        <v>167</v>
      </c>
      <c r="AH67" s="200"/>
      <c r="AI67" s="115" t="s">
        <v>520</v>
      </c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46"/>
      <c r="AU67" s="146"/>
      <c r="AV67" s="146"/>
      <c r="AW67" s="146"/>
      <c r="AX67" s="146"/>
    </row>
    <row r="68">
      <c r="A68" s="9">
        <v>62.0</v>
      </c>
      <c r="B68" s="10" t="s">
        <v>114</v>
      </c>
      <c r="C68" s="9" t="s">
        <v>153</v>
      </c>
      <c r="D68" s="9">
        <v>24.0</v>
      </c>
      <c r="E68" s="24" t="s">
        <v>109</v>
      </c>
      <c r="F68" s="9">
        <v>2023.0</v>
      </c>
      <c r="G68" s="9">
        <v>2024.0</v>
      </c>
      <c r="H68" s="11">
        <f>A4-F68</f>
        <v>3</v>
      </c>
      <c r="I68" s="117" t="s">
        <v>521</v>
      </c>
      <c r="J68" s="9">
        <v>7684.0</v>
      </c>
      <c r="K68" s="11" t="s">
        <v>243</v>
      </c>
      <c r="L68" s="9" t="s">
        <v>160</v>
      </c>
      <c r="M68" s="9" t="s">
        <v>332</v>
      </c>
      <c r="N68" s="9">
        <v>2023.0</v>
      </c>
      <c r="O68" s="11">
        <f>A4-N68</f>
        <v>3</v>
      </c>
      <c r="P68" s="9" t="s">
        <v>162</v>
      </c>
      <c r="Q68" s="9" t="s">
        <v>163</v>
      </c>
      <c r="R68" s="118" t="s">
        <v>523</v>
      </c>
      <c r="S68" s="118" t="s">
        <v>524</v>
      </c>
      <c r="T68" s="53">
        <f>VLOOKUP(B68,'Data aplikasi'!$A$2:$M$85,5,0)</f>
        <v>47133</v>
      </c>
      <c r="U68" s="54" t="str">
        <f t="shared" si="1"/>
        <v>Berlaku</v>
      </c>
      <c r="V68" s="53">
        <f>VLOOKUP(B68,'Data aplikasi'!$A$2:$M$85,6,0)</f>
        <v>46402</v>
      </c>
      <c r="W68" s="54" t="str">
        <f t="shared" si="2"/>
        <v>Berlaku</v>
      </c>
      <c r="X68" s="53">
        <f>VLOOKUP(B68,'Data aplikasi'!$A$2:$M$85,8,0)</f>
        <v>46395</v>
      </c>
      <c r="Y68" s="54" t="str">
        <f t="shared" si="3"/>
        <v>Berlaku</v>
      </c>
      <c r="Z68" s="53">
        <f>VLOOKUP(B68,'Data aplikasi'!$A$2:$M$85,9,0)</f>
        <v>46395</v>
      </c>
      <c r="AA68" s="54" t="str">
        <f t="shared" si="4"/>
        <v>Berlaku</v>
      </c>
      <c r="AB68" s="53">
        <f>VLOOKUP(B68,'Data aplikasi'!$A$2:$M$85,10,0)</f>
        <v>46401</v>
      </c>
      <c r="AC68" s="54" t="str">
        <f t="shared" si="5"/>
        <v>Berlaku</v>
      </c>
      <c r="AD68" s="55">
        <f>VLOOKUP(B68,'Data aplikasi'!$A$2:$M$85,11,0)</f>
        <v>46396</v>
      </c>
      <c r="AE68" s="56" t="str">
        <f t="shared" si="6"/>
        <v>Berlaku</v>
      </c>
      <c r="AF68" s="57" t="s">
        <v>166</v>
      </c>
      <c r="AG68" s="57" t="s">
        <v>167</v>
      </c>
      <c r="AH68" s="200"/>
      <c r="AI68" s="115" t="s">
        <v>531</v>
      </c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</row>
    <row r="69">
      <c r="A69" s="9">
        <v>63.0</v>
      </c>
      <c r="B69" s="10" t="s">
        <v>115</v>
      </c>
      <c r="C69" s="22" t="s">
        <v>240</v>
      </c>
      <c r="D69" s="22">
        <v>16.0</v>
      </c>
      <c r="E69" s="14" t="s">
        <v>116</v>
      </c>
      <c r="F69" s="11">
        <v>2018.0</v>
      </c>
      <c r="G69" s="11">
        <v>2018.0</v>
      </c>
      <c r="H69" s="11">
        <f>A4-F69</f>
        <v>8</v>
      </c>
      <c r="I69" s="51" t="s">
        <v>534</v>
      </c>
      <c r="J69" s="11">
        <v>7790.0</v>
      </c>
      <c r="K69" s="11" t="s">
        <v>159</v>
      </c>
      <c r="L69" s="11" t="s">
        <v>316</v>
      </c>
      <c r="M69" s="11" t="s">
        <v>161</v>
      </c>
      <c r="N69" s="11">
        <v>2018.0</v>
      </c>
      <c r="O69" s="11">
        <f>A4-N69</f>
        <v>8</v>
      </c>
      <c r="P69" s="11" t="s">
        <v>245</v>
      </c>
      <c r="Q69" s="11" t="s">
        <v>467</v>
      </c>
      <c r="R69" s="52" t="s">
        <v>535</v>
      </c>
      <c r="S69" s="52" t="s">
        <v>536</v>
      </c>
      <c r="T69" s="53">
        <f>VLOOKUP(B69,'Data aplikasi'!$A$2:$M$85,5,0)</f>
        <v>46999</v>
      </c>
      <c r="U69" s="54" t="str">
        <f t="shared" si="1"/>
        <v>Berlaku</v>
      </c>
      <c r="V69" s="53">
        <f>VLOOKUP(B69,'Data aplikasi'!$A$2:$M$85,6,0)</f>
        <v>46633</v>
      </c>
      <c r="W69" s="54" t="str">
        <f t="shared" si="2"/>
        <v>Berlaku</v>
      </c>
      <c r="X69" s="53" t="str">
        <f>VLOOKUP(B69,'Data aplikasi'!$A$2:$M$85,8,0)</f>
        <v/>
      </c>
      <c r="Y69" s="54" t="str">
        <f t="shared" si="3"/>
        <v>Habis</v>
      </c>
      <c r="Z69" s="53">
        <f>VLOOKUP(B69,'Data aplikasi'!$A$2:$M$85,9,0)</f>
        <v>46445</v>
      </c>
      <c r="AA69" s="54" t="str">
        <f t="shared" si="4"/>
        <v>Berlaku</v>
      </c>
      <c r="AB69" s="53">
        <f>VLOOKUP(B69,'Data aplikasi'!$A$2:$M$85,10,0)</f>
        <v>46648</v>
      </c>
      <c r="AC69" s="54" t="str">
        <f t="shared" si="5"/>
        <v>Berlaku</v>
      </c>
      <c r="AD69" s="55">
        <f>VLOOKUP(B69,'Data aplikasi'!$A$2:$M$85,11,0)</f>
        <v>46340</v>
      </c>
      <c r="AE69" s="56" t="str">
        <f t="shared" si="6"/>
        <v>Berlaku</v>
      </c>
      <c r="AF69" s="57" t="s">
        <v>166</v>
      </c>
      <c r="AG69" s="57" t="s">
        <v>167</v>
      </c>
      <c r="AH69" s="213"/>
      <c r="AI69" s="115" t="s">
        <v>544</v>
      </c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177"/>
      <c r="AU69" s="177"/>
      <c r="AV69" s="177"/>
      <c r="AW69" s="177"/>
      <c r="AX69" s="177"/>
    </row>
    <row r="70">
      <c r="A70" s="9">
        <v>64.0</v>
      </c>
      <c r="B70" s="10" t="s">
        <v>117</v>
      </c>
      <c r="C70" s="9" t="s">
        <v>240</v>
      </c>
      <c r="D70" s="9">
        <v>16.0</v>
      </c>
      <c r="E70" s="24" t="s">
        <v>118</v>
      </c>
      <c r="F70" s="9">
        <v>2023.0</v>
      </c>
      <c r="G70" s="9">
        <v>2024.0</v>
      </c>
      <c r="H70" s="11">
        <f>A4-F70</f>
        <v>3</v>
      </c>
      <c r="I70" s="117" t="s">
        <v>486</v>
      </c>
      <c r="J70" s="9">
        <v>7684.0</v>
      </c>
      <c r="K70" s="11" t="s">
        <v>243</v>
      </c>
      <c r="L70" s="9" t="s">
        <v>160</v>
      </c>
      <c r="M70" s="9" t="s">
        <v>332</v>
      </c>
      <c r="N70" s="9">
        <v>2023.0</v>
      </c>
      <c r="O70" s="11">
        <f>A4-N70</f>
        <v>3</v>
      </c>
      <c r="P70" s="9" t="s">
        <v>245</v>
      </c>
      <c r="Q70" s="9" t="s">
        <v>163</v>
      </c>
      <c r="R70" s="118" t="s">
        <v>548</v>
      </c>
      <c r="S70" s="118" t="s">
        <v>549</v>
      </c>
      <c r="T70" s="53">
        <f>VLOOKUP(B70,'Data aplikasi'!$A$2:$M$89,5,0)</f>
        <v>47199</v>
      </c>
      <c r="U70" s="54" t="str">
        <f t="shared" si="1"/>
        <v>Berlaku</v>
      </c>
      <c r="V70" s="53">
        <f>VLOOKUP(B70,'Data aplikasi'!$A$2:$M$89,6,0)</f>
        <v>46468</v>
      </c>
      <c r="W70" s="54" t="str">
        <f t="shared" si="2"/>
        <v>Berlaku</v>
      </c>
      <c r="X70" s="53" t="str">
        <f>VLOOKUP(B70,'Data aplikasi'!$A$2:$M$89,8,0)</f>
        <v/>
      </c>
      <c r="Y70" s="54" t="str">
        <f t="shared" si="3"/>
        <v>Habis</v>
      </c>
      <c r="Z70" s="53">
        <f>VLOOKUP(B70,'Data aplikasi'!$A$2:$M$89,9,0)</f>
        <v>46304</v>
      </c>
      <c r="AA70" s="54" t="str">
        <f t="shared" si="4"/>
        <v>Akan Habis</v>
      </c>
      <c r="AB70" s="53">
        <f>VLOOKUP(B70,'Data aplikasi'!$A$2:$M$89,10,0)</f>
        <v>47014</v>
      </c>
      <c r="AC70" s="54" t="str">
        <f t="shared" si="5"/>
        <v>Berlaku</v>
      </c>
      <c r="AD70" s="55">
        <f>VLOOKUP(B70,'Data aplikasi'!$A$2:$M$89,11,0)</f>
        <v>46304</v>
      </c>
      <c r="AE70" s="56" t="str">
        <f t="shared" si="6"/>
        <v>Akan Habis</v>
      </c>
      <c r="AF70" s="96" t="s">
        <v>322</v>
      </c>
      <c r="AG70" s="57" t="s">
        <v>167</v>
      </c>
      <c r="AH70" s="24"/>
      <c r="AI70" s="115" t="s">
        <v>556</v>
      </c>
      <c r="AJ70" s="214"/>
      <c r="AK70" s="214"/>
      <c r="AL70" s="214"/>
      <c r="AM70" s="214"/>
      <c r="AN70" s="214"/>
      <c r="AO70" s="214"/>
      <c r="AP70" s="214"/>
      <c r="AQ70" s="214"/>
      <c r="AR70" s="214"/>
      <c r="AS70" s="214"/>
      <c r="AT70" s="177"/>
      <c r="AU70" s="177"/>
      <c r="AV70" s="177"/>
      <c r="AW70" s="177"/>
      <c r="AX70" s="177"/>
    </row>
    <row r="71">
      <c r="A71" s="9">
        <v>65.0</v>
      </c>
      <c r="B71" s="10" t="s">
        <v>119</v>
      </c>
      <c r="C71" s="9" t="s">
        <v>240</v>
      </c>
      <c r="D71" s="9">
        <v>16.0</v>
      </c>
      <c r="E71" s="24" t="s">
        <v>118</v>
      </c>
      <c r="F71" s="9">
        <v>2024.0</v>
      </c>
      <c r="G71" s="9">
        <v>2024.0</v>
      </c>
      <c r="H71" s="11">
        <f>A4-F71</f>
        <v>2</v>
      </c>
      <c r="I71" s="117" t="s">
        <v>486</v>
      </c>
      <c r="J71" s="9">
        <v>7684.0</v>
      </c>
      <c r="K71" s="11" t="s">
        <v>243</v>
      </c>
      <c r="L71" s="9" t="s">
        <v>160</v>
      </c>
      <c r="M71" s="9" t="s">
        <v>267</v>
      </c>
      <c r="N71" s="9">
        <v>2024.0</v>
      </c>
      <c r="O71" s="11">
        <f>A4-N71</f>
        <v>2</v>
      </c>
      <c r="P71" s="9" t="s">
        <v>245</v>
      </c>
      <c r="Q71" s="9" t="s">
        <v>163</v>
      </c>
      <c r="R71" s="118" t="s">
        <v>557</v>
      </c>
      <c r="S71" s="118" t="s">
        <v>558</v>
      </c>
      <c r="T71" s="53">
        <f>VLOOKUP(B71,'Data aplikasi'!$A$2:$M$85,5,0)</f>
        <v>47360</v>
      </c>
      <c r="U71" s="54" t="str">
        <f t="shared" si="1"/>
        <v>Berlaku</v>
      </c>
      <c r="V71" s="53">
        <f>VLOOKUP(B71,'Data aplikasi'!$A$2:$M$85,6,0)</f>
        <v>46629</v>
      </c>
      <c r="W71" s="54" t="str">
        <f t="shared" si="2"/>
        <v>Berlaku</v>
      </c>
      <c r="X71" s="53" t="str">
        <f>VLOOKUP(B71,'Data aplikasi'!$A$2:$M$85,8,0)</f>
        <v/>
      </c>
      <c r="Y71" s="54" t="str">
        <f t="shared" si="3"/>
        <v>Habis</v>
      </c>
      <c r="Z71" s="53">
        <f>VLOOKUP(B71,'Data aplikasi'!$A$2:$M$85,9,0)</f>
        <v>46277</v>
      </c>
      <c r="AA71" s="54" t="str">
        <f t="shared" si="4"/>
        <v>Habis</v>
      </c>
      <c r="AB71" s="53">
        <f>VLOOKUP(B71,'Data aplikasi'!$A$2:$M$85,10,0)</f>
        <v>47007</v>
      </c>
      <c r="AC71" s="54" t="str">
        <f t="shared" si="5"/>
        <v>Berlaku</v>
      </c>
      <c r="AD71" s="55">
        <f>VLOOKUP(B71,'Data aplikasi'!$A$2:$M$85,11,0)</f>
        <v>46340</v>
      </c>
      <c r="AE71" s="56" t="str">
        <f t="shared" si="6"/>
        <v>Berlaku</v>
      </c>
      <c r="AF71" s="96" t="s">
        <v>322</v>
      </c>
      <c r="AG71" s="57" t="s">
        <v>167</v>
      </c>
      <c r="AH71" s="200"/>
      <c r="AI71" s="115" t="s">
        <v>564</v>
      </c>
      <c r="AJ71" s="177"/>
      <c r="AK71" s="177"/>
      <c r="AL71" s="177"/>
      <c r="AM71" s="177"/>
      <c r="AN71" s="177"/>
      <c r="AO71" s="177"/>
      <c r="AP71" s="177"/>
      <c r="AQ71" s="165"/>
      <c r="AR71" s="165"/>
      <c r="AS71" s="177"/>
      <c r="AT71" s="146"/>
      <c r="AU71" s="146"/>
      <c r="AV71" s="146"/>
      <c r="AW71" s="146"/>
      <c r="AX71" s="146"/>
    </row>
    <row r="72">
      <c r="A72" s="9">
        <v>66.0</v>
      </c>
      <c r="B72" s="10" t="s">
        <v>120</v>
      </c>
      <c r="C72" s="22" t="s">
        <v>324</v>
      </c>
      <c r="D72" s="22">
        <v>8.0</v>
      </c>
      <c r="E72" s="24" t="s">
        <v>118</v>
      </c>
      <c r="F72" s="9">
        <v>2024.0</v>
      </c>
      <c r="G72" s="9">
        <v>2024.0</v>
      </c>
      <c r="H72" s="11">
        <f>A4-F72</f>
        <v>2</v>
      </c>
      <c r="I72" s="117" t="s">
        <v>568</v>
      </c>
      <c r="J72" s="9">
        <v>7545.0</v>
      </c>
      <c r="K72" s="11" t="s">
        <v>243</v>
      </c>
      <c r="L72" s="9" t="s">
        <v>160</v>
      </c>
      <c r="M72" s="9" t="s">
        <v>559</v>
      </c>
      <c r="N72" s="9">
        <v>2024.0</v>
      </c>
      <c r="O72" s="11">
        <f>A4-N72</f>
        <v>2</v>
      </c>
      <c r="P72" s="9" t="s">
        <v>245</v>
      </c>
      <c r="Q72" s="9" t="s">
        <v>569</v>
      </c>
      <c r="R72" s="24" t="s">
        <v>570</v>
      </c>
      <c r="S72" s="118" t="s">
        <v>571</v>
      </c>
      <c r="T72" s="53">
        <f>VLOOKUP(B72,'Data aplikasi'!$A$2:$M$85,5,0)</f>
        <v>47337</v>
      </c>
      <c r="U72" s="54" t="str">
        <f t="shared" si="1"/>
        <v>Berlaku</v>
      </c>
      <c r="V72" s="53">
        <f>VLOOKUP(B72,'Data aplikasi'!$A$2:$M$85,6,0)</f>
        <v>46606</v>
      </c>
      <c r="W72" s="54" t="str">
        <f t="shared" si="2"/>
        <v>Berlaku</v>
      </c>
      <c r="X72" s="53" t="str">
        <f>VLOOKUP(B72,'Data aplikasi'!$A$2:$M$85,8,0)</f>
        <v/>
      </c>
      <c r="Y72" s="54" t="str">
        <f t="shared" si="3"/>
        <v>Habis</v>
      </c>
      <c r="Z72" s="53">
        <f>VLOOKUP(B72,'Data aplikasi'!$A$2:$M$85,9,0)</f>
        <v>46449</v>
      </c>
      <c r="AA72" s="54" t="str">
        <f t="shared" si="4"/>
        <v>Berlaku</v>
      </c>
      <c r="AB72" s="53">
        <f>VLOOKUP(B72,'Data aplikasi'!$A$2:$M$85,10,0)</f>
        <v>46962</v>
      </c>
      <c r="AC72" s="54" t="str">
        <f t="shared" si="5"/>
        <v>Berlaku</v>
      </c>
      <c r="AD72" s="55">
        <f>VLOOKUP(B72,'Data aplikasi'!$A$2:$M$85,11,0)</f>
        <v>46302</v>
      </c>
      <c r="AE72" s="56" t="str">
        <f t="shared" si="6"/>
        <v>Habis dalam 7-1 Hari</v>
      </c>
      <c r="AF72" s="96" t="s">
        <v>322</v>
      </c>
      <c r="AG72" s="57" t="s">
        <v>167</v>
      </c>
      <c r="AH72" s="218"/>
      <c r="AI72" s="115" t="s">
        <v>578</v>
      </c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138"/>
      <c r="AU72" s="138"/>
      <c r="AV72" s="138"/>
      <c r="AW72" s="138"/>
      <c r="AX72" s="138"/>
    </row>
    <row r="73">
      <c r="A73" s="9">
        <v>67.0</v>
      </c>
      <c r="B73" s="10" t="s">
        <v>121</v>
      </c>
      <c r="C73" s="22" t="s">
        <v>240</v>
      </c>
      <c r="D73" s="22">
        <v>16.0</v>
      </c>
      <c r="E73" s="24" t="s">
        <v>118</v>
      </c>
      <c r="F73" s="9">
        <v>2024.0</v>
      </c>
      <c r="G73" s="9">
        <v>2024.0</v>
      </c>
      <c r="H73" s="11">
        <f>A4-F73</f>
        <v>2</v>
      </c>
      <c r="I73" s="117" t="s">
        <v>579</v>
      </c>
      <c r="J73" s="9">
        <v>7684.0</v>
      </c>
      <c r="K73" s="11" t="s">
        <v>243</v>
      </c>
      <c r="L73" s="9" t="s">
        <v>316</v>
      </c>
      <c r="M73" s="9" t="s">
        <v>580</v>
      </c>
      <c r="N73" s="9">
        <v>2025.0</v>
      </c>
      <c r="O73" s="11">
        <f>A4-N73</f>
        <v>1</v>
      </c>
      <c r="P73" s="9" t="s">
        <v>245</v>
      </c>
      <c r="Q73" s="9" t="s">
        <v>163</v>
      </c>
      <c r="R73" s="24" t="s">
        <v>582</v>
      </c>
      <c r="S73" s="118" t="s">
        <v>583</v>
      </c>
      <c r="T73" s="53">
        <f>VLOOKUP(B73,'Data aplikasi'!$A$2:$M$85,5,0)</f>
        <v>47673</v>
      </c>
      <c r="U73" s="54" t="str">
        <f t="shared" si="1"/>
        <v>Berlaku</v>
      </c>
      <c r="V73" s="53">
        <f>VLOOKUP(B73,'Data aplikasi'!$A$2:$M$85,6,0)</f>
        <v>46577</v>
      </c>
      <c r="W73" s="54" t="str">
        <f t="shared" si="2"/>
        <v>Berlaku</v>
      </c>
      <c r="X73" s="53" t="str">
        <f>VLOOKUP(B73,'Data aplikasi'!$A$2:$M$85,8,0)</f>
        <v/>
      </c>
      <c r="Y73" s="54" t="str">
        <f t="shared" si="3"/>
        <v>Habis</v>
      </c>
      <c r="Z73" s="53">
        <f>VLOOKUP(B73,'Data aplikasi'!$A$2:$M$85,9,0)</f>
        <v>46437</v>
      </c>
      <c r="AA73" s="54" t="str">
        <f t="shared" si="4"/>
        <v>Berlaku</v>
      </c>
      <c r="AB73" s="53">
        <f>VLOOKUP(B73,'Data aplikasi'!$A$2:$M$85,10,0)</f>
        <v>46625</v>
      </c>
      <c r="AC73" s="54" t="str">
        <f t="shared" si="5"/>
        <v>Berlaku</v>
      </c>
      <c r="AD73" s="55">
        <f>VLOOKUP(B73,'Data aplikasi'!$A$2:$M$85,11,0)</f>
        <v>46340</v>
      </c>
      <c r="AE73" s="56" t="str">
        <f t="shared" si="6"/>
        <v>Berlaku</v>
      </c>
      <c r="AF73" s="96" t="s">
        <v>322</v>
      </c>
      <c r="AG73" s="57" t="s">
        <v>167</v>
      </c>
      <c r="AH73" s="229"/>
      <c r="AI73" s="115" t="s">
        <v>592</v>
      </c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177"/>
      <c r="AU73" s="177"/>
      <c r="AV73" s="177"/>
      <c r="AW73" s="177"/>
      <c r="AX73" s="177"/>
    </row>
    <row r="74">
      <c r="A74" s="9">
        <v>68.0</v>
      </c>
      <c r="B74" s="10" t="s">
        <v>122</v>
      </c>
      <c r="C74" s="11" t="s">
        <v>240</v>
      </c>
      <c r="D74" s="11">
        <v>16.0</v>
      </c>
      <c r="E74" s="14" t="s">
        <v>118</v>
      </c>
      <c r="F74" s="11">
        <v>2024.0</v>
      </c>
      <c r="G74" s="11">
        <v>2025.0</v>
      </c>
      <c r="H74" s="11">
        <f>A4-F74</f>
        <v>2</v>
      </c>
      <c r="I74" s="51" t="s">
        <v>593</v>
      </c>
      <c r="J74" s="11">
        <v>7684.0</v>
      </c>
      <c r="K74" s="11" t="s">
        <v>243</v>
      </c>
      <c r="L74" s="11" t="s">
        <v>160</v>
      </c>
      <c r="M74" s="11" t="s">
        <v>267</v>
      </c>
      <c r="N74" s="11">
        <v>2025.0</v>
      </c>
      <c r="O74" s="11">
        <f>A4-N74</f>
        <v>1</v>
      </c>
      <c r="P74" s="11" t="s">
        <v>162</v>
      </c>
      <c r="Q74" s="11" t="s">
        <v>163</v>
      </c>
      <c r="R74" s="14" t="s">
        <v>596</v>
      </c>
      <c r="S74" s="52" t="s">
        <v>597</v>
      </c>
      <c r="T74" s="53">
        <f>VLOOKUP(B74,'Data aplikasi'!$A$2:$M$85,5,0)</f>
        <v>47563</v>
      </c>
      <c r="U74" s="54" t="str">
        <f t="shared" si="1"/>
        <v>Berlaku</v>
      </c>
      <c r="V74" s="53">
        <f>VLOOKUP(B74,'Data aplikasi'!$A$2:$M$85,6,0)</f>
        <v>46467</v>
      </c>
      <c r="W74" s="54" t="str">
        <f t="shared" si="2"/>
        <v>Berlaku</v>
      </c>
      <c r="X74" s="53" t="str">
        <f>VLOOKUP(B74,'Data aplikasi'!$A$2:$M$85,8,0)</f>
        <v/>
      </c>
      <c r="Y74" s="54" t="str">
        <f t="shared" si="3"/>
        <v>Habis</v>
      </c>
      <c r="Z74" s="53">
        <f>VLOOKUP(B74,'Data aplikasi'!$A$2:$M$85,9,0)</f>
        <v>46449</v>
      </c>
      <c r="AA74" s="54" t="str">
        <f t="shared" si="4"/>
        <v>Berlaku</v>
      </c>
      <c r="AB74" s="53">
        <f>VLOOKUP(B74,'Data aplikasi'!$A$2:$M$85,10,0)</f>
        <v>46492</v>
      </c>
      <c r="AC74" s="54" t="str">
        <f t="shared" si="5"/>
        <v>Berlaku</v>
      </c>
      <c r="AD74" s="55">
        <f>VLOOKUP(B74,'Data aplikasi'!$A$2:$M$85,11,0)</f>
        <v>46302</v>
      </c>
      <c r="AE74" s="56" t="str">
        <f t="shared" si="6"/>
        <v>Habis dalam 7-1 Hari</v>
      </c>
      <c r="AF74" s="96" t="s">
        <v>322</v>
      </c>
      <c r="AG74" s="57" t="s">
        <v>167</v>
      </c>
      <c r="AH74" s="14"/>
      <c r="AI74" s="115" t="s">
        <v>607</v>
      </c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177"/>
      <c r="AU74" s="177"/>
      <c r="AV74" s="177"/>
      <c r="AW74" s="177"/>
      <c r="AX74" s="177"/>
    </row>
    <row r="75">
      <c r="A75" s="9">
        <v>69.0</v>
      </c>
      <c r="B75" s="10" t="s">
        <v>123</v>
      </c>
      <c r="C75" s="9" t="s">
        <v>153</v>
      </c>
      <c r="D75" s="9">
        <v>24.0</v>
      </c>
      <c r="E75" s="29" t="s">
        <v>124</v>
      </c>
      <c r="F75" s="22">
        <v>2025.0</v>
      </c>
      <c r="G75" s="22">
        <v>2026.0</v>
      </c>
      <c r="H75" s="9">
        <f>A4-F75</f>
        <v>1</v>
      </c>
      <c r="I75" s="139" t="s">
        <v>609</v>
      </c>
      <c r="J75" s="22">
        <v>7684.0</v>
      </c>
      <c r="K75" s="9" t="s">
        <v>243</v>
      </c>
      <c r="L75" s="9" t="s">
        <v>160</v>
      </c>
      <c r="M75" s="9" t="s">
        <v>161</v>
      </c>
      <c r="N75" s="9">
        <v>2016.0</v>
      </c>
      <c r="O75" s="9">
        <v>10.0</v>
      </c>
      <c r="P75" s="9" t="s">
        <v>162</v>
      </c>
      <c r="Q75" s="22" t="s">
        <v>610</v>
      </c>
      <c r="R75" s="140" t="s">
        <v>611</v>
      </c>
      <c r="S75" s="140" t="s">
        <v>612</v>
      </c>
      <c r="T75" s="53">
        <f>VLOOKUP(B75,'Data aplikasi'!$A$2:$M$85,5,0)</f>
        <v>47937</v>
      </c>
      <c r="U75" s="153" t="str">
        <f t="shared" si="1"/>
        <v>Berlaku</v>
      </c>
      <c r="V75" s="53">
        <f>VLOOKUP(B75,'Data aplikasi'!$A$2:$M$85,6,0)</f>
        <v>46476</v>
      </c>
      <c r="W75" s="153" t="str">
        <f t="shared" si="2"/>
        <v>Berlaku</v>
      </c>
      <c r="X75" s="53">
        <f>VLOOKUP(B75,'Data aplikasi'!$A$2:$M$85,8,0)</f>
        <v>46301</v>
      </c>
      <c r="Y75" s="153" t="str">
        <f t="shared" si="3"/>
        <v>Habis dalam 7-1 Hari</v>
      </c>
      <c r="Z75" s="53">
        <f>VLOOKUP(B75,'Data aplikasi'!$A$2:$M$85,9,0)</f>
        <v>46483</v>
      </c>
      <c r="AA75" s="153" t="str">
        <f t="shared" si="4"/>
        <v>Berlaku</v>
      </c>
      <c r="AB75" s="53">
        <f>VLOOKUP(B75,'Data aplikasi'!$A$2:$M$85,10,0)</f>
        <v>46856</v>
      </c>
      <c r="AC75" s="153" t="str">
        <f t="shared" si="5"/>
        <v>Berlaku</v>
      </c>
      <c r="AD75" s="55">
        <f>VLOOKUP(B75,'Data aplikasi'!$A$2:$M$85,11,0)</f>
        <v>46320</v>
      </c>
      <c r="AE75" s="154" t="str">
        <f t="shared" si="6"/>
        <v>Berlaku</v>
      </c>
      <c r="AF75" s="155" t="s">
        <v>166</v>
      </c>
      <c r="AG75" s="155" t="s">
        <v>167</v>
      </c>
      <c r="AH75" s="29"/>
      <c r="AI75" s="29" t="s">
        <v>617</v>
      </c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</row>
    <row r="76">
      <c r="A76" s="9">
        <v>70.0</v>
      </c>
      <c r="B76" s="10" t="s">
        <v>125</v>
      </c>
      <c r="C76" s="9" t="s">
        <v>153</v>
      </c>
      <c r="D76" s="9">
        <v>24.0</v>
      </c>
      <c r="E76" s="29" t="s">
        <v>124</v>
      </c>
      <c r="F76" s="22">
        <v>2025.0</v>
      </c>
      <c r="G76" s="22">
        <v>2026.0</v>
      </c>
      <c r="H76" s="11">
        <f>A4-F76</f>
        <v>1</v>
      </c>
      <c r="I76" s="139" t="s">
        <v>609</v>
      </c>
      <c r="J76" s="22">
        <v>7684.0</v>
      </c>
      <c r="K76" s="9" t="s">
        <v>243</v>
      </c>
      <c r="L76" s="9" t="s">
        <v>160</v>
      </c>
      <c r="M76" s="9" t="s">
        <v>161</v>
      </c>
      <c r="N76" s="9">
        <v>2016.0</v>
      </c>
      <c r="O76" s="9">
        <v>10.0</v>
      </c>
      <c r="P76" s="9" t="s">
        <v>162</v>
      </c>
      <c r="Q76" s="22" t="s">
        <v>610</v>
      </c>
      <c r="R76" s="140" t="s">
        <v>618</v>
      </c>
      <c r="S76" s="140" t="s">
        <v>619</v>
      </c>
      <c r="T76" s="53">
        <f>VLOOKUP(B76,'Data aplikasi'!$A$2:$M$85,5,0)</f>
        <v>47911</v>
      </c>
      <c r="U76" s="153" t="str">
        <f t="shared" si="1"/>
        <v>Berlaku</v>
      </c>
      <c r="V76" s="53">
        <f>VLOOKUP(B76,'Data aplikasi'!$A$2:$M$85,6,0)</f>
        <v>46450</v>
      </c>
      <c r="W76" s="153" t="str">
        <f t="shared" si="2"/>
        <v>Berlaku</v>
      </c>
      <c r="X76" s="53">
        <f>VLOOKUP(B76,'Data aplikasi'!$A$2:$M$85,8,0)</f>
        <v>46457</v>
      </c>
      <c r="Y76" s="153" t="str">
        <f t="shared" si="3"/>
        <v>Berlaku</v>
      </c>
      <c r="Z76" s="53">
        <f>VLOOKUP(B76,'Data aplikasi'!$A$2:$M$85,9,0)</f>
        <v>46457</v>
      </c>
      <c r="AA76" s="153" t="str">
        <f t="shared" si="4"/>
        <v>Berlaku</v>
      </c>
      <c r="AB76" s="53">
        <f>VLOOKUP(B76,'Data aplikasi'!$A$2:$M$85,10,0)</f>
        <v>46829</v>
      </c>
      <c r="AC76" s="153" t="str">
        <f t="shared" si="5"/>
        <v>Berlaku</v>
      </c>
      <c r="AD76" s="55">
        <f>VLOOKUP(B76,'Data aplikasi'!$A$2:$M$85,11,0)</f>
        <v>46459</v>
      </c>
      <c r="AE76" s="154" t="str">
        <f t="shared" si="6"/>
        <v>Berlaku</v>
      </c>
      <c r="AF76" s="155" t="s">
        <v>166</v>
      </c>
      <c r="AG76" s="155" t="s">
        <v>167</v>
      </c>
      <c r="AH76" s="29"/>
      <c r="AI76" s="29" t="s">
        <v>620</v>
      </c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146"/>
      <c r="AU76" s="146"/>
      <c r="AV76" s="146"/>
      <c r="AW76" s="146"/>
      <c r="AX76" s="146"/>
    </row>
    <row r="77">
      <c r="A77" s="9">
        <v>71.0</v>
      </c>
      <c r="B77" s="10" t="s">
        <v>127</v>
      </c>
      <c r="C77" s="11" t="s">
        <v>153</v>
      </c>
      <c r="D77" s="11">
        <v>24.0</v>
      </c>
      <c r="E77" s="26" t="s">
        <v>124</v>
      </c>
      <c r="F77" s="19">
        <v>2022.0</v>
      </c>
      <c r="G77" s="19">
        <v>2022.0</v>
      </c>
      <c r="H77" s="11">
        <f>A4-F77</f>
        <v>4</v>
      </c>
      <c r="I77" s="137" t="s">
        <v>317</v>
      </c>
      <c r="J77" s="19">
        <v>7684.0</v>
      </c>
      <c r="K77" s="11" t="s">
        <v>243</v>
      </c>
      <c r="L77" s="11" t="s">
        <v>160</v>
      </c>
      <c r="M77" s="11" t="s">
        <v>332</v>
      </c>
      <c r="N77" s="11">
        <v>2012.0</v>
      </c>
      <c r="O77" s="11">
        <f>A4-N77</f>
        <v>14</v>
      </c>
      <c r="P77" s="11" t="s">
        <v>162</v>
      </c>
      <c r="Q77" s="19" t="s">
        <v>610</v>
      </c>
      <c r="R77" s="115" t="s">
        <v>621</v>
      </c>
      <c r="S77" s="115" t="s">
        <v>622</v>
      </c>
      <c r="T77" s="53">
        <f>VLOOKUP(B77,'Data aplikasi'!$A$2:$M$85,5,0)</f>
        <v>46639</v>
      </c>
      <c r="U77" s="54" t="str">
        <f t="shared" si="1"/>
        <v>Berlaku</v>
      </c>
      <c r="V77" s="53">
        <f>VLOOKUP(B77,'Data aplikasi'!$A$2:$M$85,6,0)</f>
        <v>46639</v>
      </c>
      <c r="W77" s="54" t="str">
        <f t="shared" si="2"/>
        <v>Berlaku</v>
      </c>
      <c r="X77" s="53">
        <f>VLOOKUP(B77,'Data aplikasi'!$A$2:$M$85,8,0)</f>
        <v>46301</v>
      </c>
      <c r="Y77" s="54" t="str">
        <f t="shared" si="3"/>
        <v>Habis dalam 7-1 Hari</v>
      </c>
      <c r="Z77" s="53">
        <f>VLOOKUP(B77,'Data aplikasi'!$A$2:$M$85,9,0)</f>
        <v>46301</v>
      </c>
      <c r="AA77" s="54" t="str">
        <f t="shared" si="4"/>
        <v>Habis dalam 7-1 Hari</v>
      </c>
      <c r="AB77" s="53">
        <f>VLOOKUP(B77,'Data aplikasi'!$A$2:$M$85,10,0)</f>
        <v>47013</v>
      </c>
      <c r="AC77" s="54" t="str">
        <f t="shared" si="5"/>
        <v>Berlaku</v>
      </c>
      <c r="AD77" s="55">
        <f>VLOOKUP(B77,'Data aplikasi'!$A$2:$M$85,11,0)</f>
        <v>46304</v>
      </c>
      <c r="AE77" s="56" t="str">
        <f t="shared" si="6"/>
        <v>Akan Habis</v>
      </c>
      <c r="AF77" s="96" t="s">
        <v>203</v>
      </c>
      <c r="AG77" s="57" t="s">
        <v>167</v>
      </c>
      <c r="AH77" s="175"/>
      <c r="AI77" s="58"/>
      <c r="AJ77" s="138"/>
      <c r="AK77" s="138"/>
      <c r="AL77" s="138"/>
      <c r="AM77" s="138"/>
      <c r="AN77" s="138"/>
      <c r="AO77" s="138"/>
      <c r="AP77" s="138"/>
      <c r="AQ77" s="138"/>
      <c r="AR77" s="138"/>
      <c r="AS77" s="138"/>
      <c r="AT77" s="214"/>
      <c r="AU77" s="214"/>
      <c r="AV77" s="214"/>
      <c r="AW77" s="214"/>
      <c r="AX77" s="214"/>
    </row>
    <row r="78">
      <c r="A78" s="9">
        <v>72.0</v>
      </c>
      <c r="B78" s="44" t="s">
        <v>129</v>
      </c>
      <c r="C78" s="9" t="s">
        <v>153</v>
      </c>
      <c r="D78" s="9">
        <v>24.0</v>
      </c>
      <c r="E78" s="29" t="s">
        <v>133</v>
      </c>
      <c r="F78" s="22">
        <v>2024.0</v>
      </c>
      <c r="G78" s="22">
        <v>2025.0</v>
      </c>
      <c r="H78" s="11">
        <f>A4-F78</f>
        <v>2</v>
      </c>
      <c r="I78" s="139" t="s">
        <v>623</v>
      </c>
      <c r="J78" s="22">
        <v>7790.0</v>
      </c>
      <c r="K78" s="11" t="s">
        <v>243</v>
      </c>
      <c r="L78" s="9" t="s">
        <v>160</v>
      </c>
      <c r="M78" s="9" t="s">
        <v>559</v>
      </c>
      <c r="N78" s="9">
        <v>2025.0</v>
      </c>
      <c r="O78" s="11">
        <f>A4-N78</f>
        <v>1</v>
      </c>
      <c r="P78" s="9" t="s">
        <v>162</v>
      </c>
      <c r="Q78" s="22" t="s">
        <v>467</v>
      </c>
      <c r="R78" s="29" t="s">
        <v>624</v>
      </c>
      <c r="S78" s="29" t="s">
        <v>625</v>
      </c>
      <c r="T78" s="53">
        <f>VLOOKUP(B78,'Data aplikasi'!$A$2:$M$85,5,0)</f>
        <v>47645</v>
      </c>
      <c r="U78" s="54" t="str">
        <f t="shared" si="1"/>
        <v>Berlaku</v>
      </c>
      <c r="V78" s="53">
        <f>VLOOKUP(B78,'Data aplikasi'!$A$2:$M$85,6,0)</f>
        <v>46549</v>
      </c>
      <c r="W78" s="54" t="str">
        <f t="shared" si="2"/>
        <v>Berlaku</v>
      </c>
      <c r="X78" s="53">
        <f>VLOOKUP(B78,'Data aplikasi'!$A$2:$M$85,8,0)</f>
        <v>46364</v>
      </c>
      <c r="Y78" s="54" t="str">
        <f t="shared" si="3"/>
        <v>Berlaku</v>
      </c>
      <c r="Z78" s="53">
        <f>VLOOKUP(B78,'Data aplikasi'!$A$2:$M$85,9,0)</f>
        <v>46364</v>
      </c>
      <c r="AA78" s="54" t="str">
        <f t="shared" si="4"/>
        <v>Berlaku</v>
      </c>
      <c r="AB78" s="53">
        <f>VLOOKUP(B78,'Data aplikasi'!$A$2:$M$85,10,0)</f>
        <v>46576</v>
      </c>
      <c r="AC78" s="54" t="str">
        <f t="shared" si="5"/>
        <v>Berlaku</v>
      </c>
      <c r="AD78" s="55">
        <f>VLOOKUP(B78,'Data aplikasi'!$A$2:$M$85,11,0)</f>
        <v>46304</v>
      </c>
      <c r="AE78" s="56" t="str">
        <f t="shared" si="6"/>
        <v>Akan Habis</v>
      </c>
      <c r="AF78" s="96" t="s">
        <v>626</v>
      </c>
      <c r="AG78" s="57" t="s">
        <v>167</v>
      </c>
      <c r="AH78" s="245"/>
      <c r="AI78" s="246"/>
      <c r="AJ78" s="138"/>
      <c r="AK78" s="138"/>
      <c r="AL78" s="138"/>
      <c r="AM78" s="138"/>
      <c r="AN78" s="146"/>
      <c r="AO78" s="146"/>
      <c r="AP78" s="146"/>
      <c r="AQ78" s="138"/>
      <c r="AR78" s="138"/>
      <c r="AS78" s="146"/>
      <c r="AT78" s="214"/>
      <c r="AU78" s="214"/>
      <c r="AV78" s="214"/>
      <c r="AW78" s="214"/>
      <c r="AX78" s="214"/>
    </row>
    <row r="79">
      <c r="A79" s="9">
        <v>73.0</v>
      </c>
      <c r="B79" s="10" t="s">
        <v>134</v>
      </c>
      <c r="C79" s="11" t="s">
        <v>153</v>
      </c>
      <c r="D79" s="11">
        <v>24.0</v>
      </c>
      <c r="E79" s="26" t="s">
        <v>133</v>
      </c>
      <c r="F79" s="19">
        <v>2024.0</v>
      </c>
      <c r="G79" s="19">
        <v>2025.0</v>
      </c>
      <c r="H79" s="11">
        <f>A4-F79</f>
        <v>2</v>
      </c>
      <c r="I79" s="137" t="s">
        <v>623</v>
      </c>
      <c r="J79" s="19">
        <v>7790.0</v>
      </c>
      <c r="K79" s="11" t="s">
        <v>243</v>
      </c>
      <c r="L79" s="11" t="s">
        <v>160</v>
      </c>
      <c r="M79" s="11" t="s">
        <v>559</v>
      </c>
      <c r="N79" s="11">
        <v>2025.0</v>
      </c>
      <c r="O79" s="11">
        <f>A4-N79</f>
        <v>1</v>
      </c>
      <c r="P79" s="11" t="s">
        <v>162</v>
      </c>
      <c r="Q79" s="19" t="s">
        <v>467</v>
      </c>
      <c r="R79" s="115" t="s">
        <v>627</v>
      </c>
      <c r="S79" s="115" t="s">
        <v>628</v>
      </c>
      <c r="T79" s="53">
        <f>VLOOKUP(B79,'Data aplikasi'!$A$2:$M$85,5,0)</f>
        <v>47668</v>
      </c>
      <c r="U79" s="54" t="str">
        <f t="shared" si="1"/>
        <v>Berlaku</v>
      </c>
      <c r="V79" s="53">
        <f>VLOOKUP(B79,'Data aplikasi'!$A$2:$M$85,6,0)</f>
        <v>46572</v>
      </c>
      <c r="W79" s="54" t="str">
        <f t="shared" si="2"/>
        <v>Berlaku</v>
      </c>
      <c r="X79" s="53">
        <f>VLOOKUP(B79,'Data aplikasi'!$A$2:$M$85,8,0)</f>
        <v>46364</v>
      </c>
      <c r="Y79" s="54" t="str">
        <f t="shared" si="3"/>
        <v>Berlaku</v>
      </c>
      <c r="Z79" s="53">
        <f>VLOOKUP(B79,'Data aplikasi'!$A$2:$M$85,9,0)</f>
        <v>46364</v>
      </c>
      <c r="AA79" s="54" t="str">
        <f t="shared" si="4"/>
        <v>Berlaku</v>
      </c>
      <c r="AB79" s="53">
        <f>VLOOKUP(B79,'Data aplikasi'!$A$2:$M$85,10,0)</f>
        <v>46591</v>
      </c>
      <c r="AC79" s="54" t="str">
        <f t="shared" si="5"/>
        <v>Berlaku</v>
      </c>
      <c r="AD79" s="55">
        <f>VLOOKUP(B79,'Data aplikasi'!$A$2:$M$85,11,0)</f>
        <v>46408</v>
      </c>
      <c r="AE79" s="56" t="str">
        <f t="shared" si="6"/>
        <v>Berlaku</v>
      </c>
      <c r="AF79" s="96" t="s">
        <v>626</v>
      </c>
      <c r="AG79" s="57" t="s">
        <v>167</v>
      </c>
      <c r="AH79" s="163"/>
      <c r="AI79" s="246"/>
      <c r="AJ79" s="138"/>
      <c r="AK79" s="138"/>
      <c r="AL79" s="138"/>
      <c r="AM79" s="138"/>
      <c r="AN79" s="146"/>
      <c r="AO79" s="146"/>
      <c r="AP79" s="146"/>
      <c r="AQ79" s="138"/>
      <c r="AR79" s="138"/>
      <c r="AS79" s="146"/>
      <c r="AT79" s="214"/>
      <c r="AU79" s="214"/>
      <c r="AV79" s="214"/>
      <c r="AW79" s="214"/>
      <c r="AX79" s="214"/>
    </row>
    <row r="80">
      <c r="A80" s="9">
        <v>74.0</v>
      </c>
      <c r="B80" s="46" t="s">
        <v>135</v>
      </c>
      <c r="C80" s="19" t="s">
        <v>240</v>
      </c>
      <c r="D80" s="19">
        <v>16.0</v>
      </c>
      <c r="E80" s="26" t="s">
        <v>142</v>
      </c>
      <c r="F80" s="19">
        <v>2017.0</v>
      </c>
      <c r="G80" s="19">
        <v>2018.0</v>
      </c>
      <c r="H80" s="11">
        <f>A4-F80</f>
        <v>9</v>
      </c>
      <c r="I80" s="137" t="s">
        <v>629</v>
      </c>
      <c r="J80" s="19">
        <v>7684.0</v>
      </c>
      <c r="K80" s="11" t="s">
        <v>159</v>
      </c>
      <c r="L80" s="11" t="s">
        <v>316</v>
      </c>
      <c r="M80" s="11" t="s">
        <v>161</v>
      </c>
      <c r="N80" s="11">
        <v>2017.0</v>
      </c>
      <c r="O80" s="11">
        <f>A4-N80</f>
        <v>9</v>
      </c>
      <c r="P80" s="11" t="s">
        <v>245</v>
      </c>
      <c r="Q80" s="19" t="s">
        <v>163</v>
      </c>
      <c r="R80" s="19" t="s">
        <v>630</v>
      </c>
      <c r="S80" s="115" t="s">
        <v>631</v>
      </c>
      <c r="T80" s="53">
        <f>VLOOKUP(B80,'Data aplikasi'!$A$2:$M$85,5,0)</f>
        <v>46831</v>
      </c>
      <c r="U80" s="54" t="str">
        <f t="shared" si="1"/>
        <v>Berlaku</v>
      </c>
      <c r="V80" s="53">
        <f>VLOOKUP(B80,'Data aplikasi'!$A$2:$M$85,6,0)</f>
        <v>46465</v>
      </c>
      <c r="W80" s="54" t="str">
        <f t="shared" si="2"/>
        <v>Berlaku</v>
      </c>
      <c r="X80" s="53" t="str">
        <f>VLOOKUP(B80,'Data aplikasi'!$A$2:$M$85,8,0)</f>
        <v/>
      </c>
      <c r="Y80" s="54" t="str">
        <f t="shared" si="3"/>
        <v>Habis</v>
      </c>
      <c r="Z80" s="53">
        <f>VLOOKUP(B80,'Data aplikasi'!$A$2:$M$85,9,0)</f>
        <v>46338</v>
      </c>
      <c r="AA80" s="54" t="str">
        <f t="shared" si="4"/>
        <v>Berlaku</v>
      </c>
      <c r="AB80" s="53">
        <f>VLOOKUP(B80,'Data aplikasi'!$A$2:$M$85,10,0)</f>
        <v>46436</v>
      </c>
      <c r="AC80" s="54" t="str">
        <f t="shared" si="5"/>
        <v>Berlaku</v>
      </c>
      <c r="AD80" s="55">
        <f>VLOOKUP(B80,'Data aplikasi'!$A$2:$M$85,11,0)</f>
        <v>46360</v>
      </c>
      <c r="AE80" s="56" t="str">
        <f t="shared" si="6"/>
        <v>Berlaku</v>
      </c>
      <c r="AF80" s="57" t="s">
        <v>166</v>
      </c>
      <c r="AG80" s="57" t="s">
        <v>167</v>
      </c>
      <c r="AH80" s="163"/>
      <c r="AI80" s="58"/>
      <c r="AJ80" s="138"/>
      <c r="AK80" s="247"/>
      <c r="AL80" s="247"/>
      <c r="AM80" s="247"/>
      <c r="AN80" s="247"/>
      <c r="AO80" s="248"/>
      <c r="AP80" s="249"/>
      <c r="AQ80" s="248"/>
      <c r="AR80" s="249"/>
      <c r="AS80" s="249"/>
      <c r="AT80" s="249"/>
      <c r="AU80" s="249"/>
      <c r="AV80" s="249"/>
      <c r="AW80" s="249"/>
      <c r="AX80" s="249"/>
    </row>
    <row r="81">
      <c r="A81" s="9">
        <v>75.0</v>
      </c>
      <c r="B81" s="46" t="s">
        <v>145</v>
      </c>
      <c r="C81" s="11" t="s">
        <v>153</v>
      </c>
      <c r="D81" s="11">
        <v>24.0</v>
      </c>
      <c r="E81" s="26" t="s">
        <v>142</v>
      </c>
      <c r="F81" s="19">
        <v>2019.0</v>
      </c>
      <c r="G81" s="19">
        <v>2019.0</v>
      </c>
      <c r="H81" s="11">
        <f>A4-F81</f>
        <v>7</v>
      </c>
      <c r="I81" s="137" t="s">
        <v>632</v>
      </c>
      <c r="J81" s="19">
        <v>6374.0</v>
      </c>
      <c r="K81" s="11" t="s">
        <v>243</v>
      </c>
      <c r="L81" s="11" t="s">
        <v>160</v>
      </c>
      <c r="M81" s="11" t="s">
        <v>161</v>
      </c>
      <c r="N81" s="11">
        <v>2019.0</v>
      </c>
      <c r="O81" s="11">
        <f>A4-N81</f>
        <v>7</v>
      </c>
      <c r="P81" s="11" t="s">
        <v>162</v>
      </c>
      <c r="Q81" s="19" t="s">
        <v>270</v>
      </c>
      <c r="R81" s="19" t="s">
        <v>633</v>
      </c>
      <c r="S81" s="115" t="s">
        <v>634</v>
      </c>
      <c r="T81" s="53">
        <f>VLOOKUP(B81,'Data aplikasi'!$A$2:$M$85,5,0)</f>
        <v>47402</v>
      </c>
      <c r="U81" s="54" t="str">
        <f t="shared" si="1"/>
        <v>Berlaku</v>
      </c>
      <c r="V81" s="53">
        <f>VLOOKUP(B81,'Data aplikasi'!$A$2:$M$85,6,0)</f>
        <v>46306</v>
      </c>
      <c r="W81" s="54" t="str">
        <f t="shared" si="2"/>
        <v>Akan Habis</v>
      </c>
      <c r="X81" s="53">
        <f>VLOOKUP(B81,'Data aplikasi'!$A$2:$M$85,8,0)</f>
        <v>46355</v>
      </c>
      <c r="Y81" s="54" t="str">
        <f t="shared" si="3"/>
        <v>Berlaku</v>
      </c>
      <c r="Z81" s="53">
        <f>VLOOKUP(B81,'Data aplikasi'!$A$2:$M$85,9,0)</f>
        <v>46279</v>
      </c>
      <c r="AA81" s="54" t="str">
        <f t="shared" si="4"/>
        <v>Habis</v>
      </c>
      <c r="AB81" s="53">
        <f>VLOOKUP(B81,'Data aplikasi'!$A$2:$M$85,10,0)</f>
        <v>46815</v>
      </c>
      <c r="AC81" s="54" t="str">
        <f t="shared" si="5"/>
        <v>Berlaku</v>
      </c>
      <c r="AD81" s="55">
        <f>VLOOKUP(B81,'Data aplikasi'!$A$2:$M$85,11,0)</f>
        <v>46302</v>
      </c>
      <c r="AE81" s="56" t="str">
        <f t="shared" si="6"/>
        <v>Habis dalam 7-1 Hari</v>
      </c>
      <c r="AF81" s="57" t="s">
        <v>166</v>
      </c>
      <c r="AG81" s="57" t="s">
        <v>167</v>
      </c>
      <c r="AH81" s="163"/>
      <c r="AI81" s="58"/>
      <c r="AJ81" s="138"/>
      <c r="AK81" s="247"/>
      <c r="AL81" s="247"/>
      <c r="AM81" s="247"/>
      <c r="AN81" s="247"/>
      <c r="AO81" s="248"/>
      <c r="AP81" s="249"/>
      <c r="AQ81" s="248"/>
      <c r="AR81" s="249"/>
      <c r="AS81" s="249"/>
      <c r="AT81" s="249"/>
      <c r="AU81" s="249"/>
      <c r="AV81" s="249"/>
      <c r="AW81" s="249"/>
      <c r="AX81" s="249"/>
    </row>
    <row r="82" ht="18.75" customHeight="1">
      <c r="A82" s="9">
        <v>76.0</v>
      </c>
      <c r="B82" s="46" t="s">
        <v>147</v>
      </c>
      <c r="C82" s="19" t="s">
        <v>240</v>
      </c>
      <c r="D82" s="19">
        <v>16.0</v>
      </c>
      <c r="E82" s="26" t="s">
        <v>142</v>
      </c>
      <c r="F82" s="19">
        <v>2019.0</v>
      </c>
      <c r="G82" s="19">
        <v>2019.0</v>
      </c>
      <c r="H82" s="11">
        <f>A4-F82</f>
        <v>7</v>
      </c>
      <c r="I82" s="137" t="s">
        <v>635</v>
      </c>
      <c r="J82" s="19">
        <v>7698.0</v>
      </c>
      <c r="K82" s="11" t="s">
        <v>243</v>
      </c>
      <c r="L82" s="11" t="s">
        <v>160</v>
      </c>
      <c r="M82" s="11" t="s">
        <v>332</v>
      </c>
      <c r="N82" s="11">
        <v>2019.0</v>
      </c>
      <c r="O82" s="11">
        <f>A4-N82</f>
        <v>7</v>
      </c>
      <c r="P82" s="11" t="s">
        <v>245</v>
      </c>
      <c r="Q82" s="11" t="s">
        <v>199</v>
      </c>
      <c r="R82" s="19" t="s">
        <v>636</v>
      </c>
      <c r="S82" s="115" t="s">
        <v>637</v>
      </c>
      <c r="T82" s="53">
        <f>VLOOKUP(B82,'Data aplikasi'!$A$2:$M$85,5,0)</f>
        <v>47396</v>
      </c>
      <c r="U82" s="54" t="str">
        <f t="shared" si="1"/>
        <v>Berlaku</v>
      </c>
      <c r="V82" s="53">
        <f>VLOOKUP(B82,'Data aplikasi'!$A$2:$M$85,6,0)</f>
        <v>46300</v>
      </c>
      <c r="W82" s="54" t="str">
        <f t="shared" si="2"/>
        <v>Habis dalam 7-1 Hari</v>
      </c>
      <c r="X82" s="53" t="str">
        <f>VLOOKUP(B82,'Data aplikasi'!$A$2:$M$85,8,0)</f>
        <v/>
      </c>
      <c r="Y82" s="54" t="str">
        <f t="shared" si="3"/>
        <v>Habis</v>
      </c>
      <c r="Z82" s="53">
        <f>VLOOKUP(B82,'Data aplikasi'!$A$2:$M$85,9,0)</f>
        <v>46460</v>
      </c>
      <c r="AA82" s="54" t="str">
        <f t="shared" si="4"/>
        <v>Berlaku</v>
      </c>
      <c r="AB82" s="53">
        <f>VLOOKUP(B82,'Data aplikasi'!$A$2:$M$85,10,0)</f>
        <v>46472</v>
      </c>
      <c r="AC82" s="54" t="str">
        <f t="shared" si="5"/>
        <v>Berlaku</v>
      </c>
      <c r="AD82" s="55">
        <f>VLOOKUP(B82,'Data aplikasi'!$A$2:$M$85,11,0)</f>
        <v>46302</v>
      </c>
      <c r="AE82" s="56" t="str">
        <f t="shared" si="6"/>
        <v>Habis dalam 7-1 Hari</v>
      </c>
      <c r="AF82" s="57" t="s">
        <v>166</v>
      </c>
      <c r="AG82" s="57" t="s">
        <v>167</v>
      </c>
      <c r="AH82" s="163"/>
      <c r="AI82" s="158" t="s">
        <v>638</v>
      </c>
      <c r="AJ82" s="138"/>
      <c r="AK82" s="250" t="s">
        <v>639</v>
      </c>
      <c r="AL82" s="61"/>
      <c r="AM82" s="61"/>
      <c r="AN82" s="61"/>
      <c r="AO82" s="251">
        <v>80.0</v>
      </c>
      <c r="AP82" s="252">
        <v>1640.0</v>
      </c>
      <c r="AQ82" s="251">
        <v>84.0</v>
      </c>
      <c r="AR82" s="252">
        <v>1720.0</v>
      </c>
      <c r="AS82" s="252">
        <v>0.0</v>
      </c>
      <c r="AT82" s="252">
        <v>0.0</v>
      </c>
      <c r="AU82" s="252">
        <v>6.0</v>
      </c>
      <c r="AV82" s="252">
        <v>112.0</v>
      </c>
      <c r="AW82" s="252">
        <v>78.0</v>
      </c>
      <c r="AX82" s="252">
        <v>1608.0</v>
      </c>
    </row>
    <row r="83">
      <c r="A83" s="9">
        <v>77.0</v>
      </c>
      <c r="B83" s="46" t="s">
        <v>149</v>
      </c>
      <c r="C83" s="11" t="s">
        <v>153</v>
      </c>
      <c r="D83" s="11">
        <v>24.0</v>
      </c>
      <c r="E83" s="26" t="s">
        <v>142</v>
      </c>
      <c r="F83" s="19">
        <v>2019.0</v>
      </c>
      <c r="G83" s="19">
        <v>2019.0</v>
      </c>
      <c r="H83" s="11">
        <f>A4-F83</f>
        <v>7</v>
      </c>
      <c r="I83" s="137" t="s">
        <v>373</v>
      </c>
      <c r="J83" s="19">
        <v>6374.0</v>
      </c>
      <c r="K83" s="11" t="s">
        <v>243</v>
      </c>
      <c r="L83" s="11" t="s">
        <v>160</v>
      </c>
      <c r="M83" s="11" t="s">
        <v>508</v>
      </c>
      <c r="N83" s="11">
        <v>2019.0</v>
      </c>
      <c r="O83" s="11">
        <f>A4-N83</f>
        <v>7</v>
      </c>
      <c r="P83" s="11" t="s">
        <v>162</v>
      </c>
      <c r="Q83" s="19" t="s">
        <v>270</v>
      </c>
      <c r="R83" s="19" t="s">
        <v>640</v>
      </c>
      <c r="S83" s="115" t="s">
        <v>641</v>
      </c>
      <c r="T83" s="53">
        <f>VLOOKUP(B83,'Data aplikasi'!$A$2:$M$85,5,0)</f>
        <v>47405</v>
      </c>
      <c r="U83" s="54" t="str">
        <f t="shared" si="1"/>
        <v>Berlaku</v>
      </c>
      <c r="V83" s="53">
        <f>VLOOKUP(B83,'Data aplikasi'!$A$2:$M$85,6,0)</f>
        <v>46309</v>
      </c>
      <c r="W83" s="54" t="str">
        <f t="shared" si="2"/>
        <v>Akan Habis</v>
      </c>
      <c r="X83" s="53">
        <f>VLOOKUP(B83,'Data aplikasi'!$A$2:$M$85,8,0)</f>
        <v>46276</v>
      </c>
      <c r="Y83" s="54" t="str">
        <f t="shared" si="3"/>
        <v>Habis</v>
      </c>
      <c r="Z83" s="53">
        <f>VLOOKUP(B83,'Data aplikasi'!$A$2:$M$85,9,0)</f>
        <v>46279</v>
      </c>
      <c r="AA83" s="54" t="str">
        <f t="shared" si="4"/>
        <v>Habis</v>
      </c>
      <c r="AB83" s="53">
        <f>VLOOKUP(B83,'Data aplikasi'!$A$2:$M$85,10,0)</f>
        <v>46599</v>
      </c>
      <c r="AC83" s="54" t="str">
        <f t="shared" si="5"/>
        <v>Berlaku</v>
      </c>
      <c r="AD83" s="55">
        <f>VLOOKUP(B83,'Data aplikasi'!$A$2:$M$85,11,0)</f>
        <v>46302</v>
      </c>
      <c r="AE83" s="56" t="str">
        <f t="shared" si="6"/>
        <v>Habis dalam 7-1 Hari</v>
      </c>
      <c r="AF83" s="57" t="s">
        <v>166</v>
      </c>
      <c r="AG83" s="57" t="s">
        <v>167</v>
      </c>
      <c r="AH83" s="163"/>
      <c r="AI83" s="158" t="s">
        <v>642</v>
      </c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</row>
    <row r="84">
      <c r="A84" s="9">
        <v>78.0</v>
      </c>
      <c r="B84" s="47" t="s">
        <v>150</v>
      </c>
      <c r="C84" s="49" t="s">
        <v>240</v>
      </c>
      <c r="D84" s="49">
        <v>16.0</v>
      </c>
      <c r="E84" s="50" t="s">
        <v>142</v>
      </c>
      <c r="F84" s="49">
        <v>2019.0</v>
      </c>
      <c r="G84" s="49">
        <v>2019.0</v>
      </c>
      <c r="H84" s="11">
        <f>A4-F84</f>
        <v>7</v>
      </c>
      <c r="I84" s="137" t="s">
        <v>635</v>
      </c>
      <c r="J84" s="49">
        <v>7698.0</v>
      </c>
      <c r="K84" s="11" t="s">
        <v>159</v>
      </c>
      <c r="L84" s="49" t="s">
        <v>160</v>
      </c>
      <c r="M84" s="11" t="s">
        <v>161</v>
      </c>
      <c r="N84" s="49">
        <v>2019.0</v>
      </c>
      <c r="O84" s="11">
        <f>A4-N84</f>
        <v>7</v>
      </c>
      <c r="P84" s="19" t="s">
        <v>245</v>
      </c>
      <c r="Q84" s="49" t="s">
        <v>199</v>
      </c>
      <c r="R84" s="49" t="s">
        <v>643</v>
      </c>
      <c r="S84" s="253" t="s">
        <v>644</v>
      </c>
      <c r="T84" s="53">
        <f>VLOOKUP(B84,'Data aplikasi'!$A$2:$M$85,5,0)</f>
        <v>47396</v>
      </c>
      <c r="U84" s="54" t="str">
        <f t="shared" si="1"/>
        <v>Berlaku</v>
      </c>
      <c r="V84" s="53">
        <f>VLOOKUP(B84,'Data aplikasi'!$A$2:$M$85,6,0)</f>
        <v>46300</v>
      </c>
      <c r="W84" s="54" t="str">
        <f t="shared" si="2"/>
        <v>Habis dalam 7-1 Hari</v>
      </c>
      <c r="X84" s="53" t="str">
        <f>VLOOKUP(B84,'Data aplikasi'!$A$2:$M$85,8,0)</f>
        <v/>
      </c>
      <c r="Y84" s="54" t="str">
        <f t="shared" si="3"/>
        <v>Habis</v>
      </c>
      <c r="Z84" s="53">
        <f>VLOOKUP(B84,'Data aplikasi'!$A$2:$M$85,9,0)</f>
        <v>46277</v>
      </c>
      <c r="AA84" s="54" t="str">
        <f t="shared" si="4"/>
        <v>Habis</v>
      </c>
      <c r="AB84" s="53">
        <f>VLOOKUP(B84,'Data aplikasi'!$A$2:$M$85,10,0)</f>
        <v>46773</v>
      </c>
      <c r="AC84" s="54" t="str">
        <f t="shared" si="5"/>
        <v>Berlaku</v>
      </c>
      <c r="AD84" s="55">
        <f>VLOOKUP(B84,'Data aplikasi'!$A$2:$M$85,11,0)</f>
        <v>46302</v>
      </c>
      <c r="AE84" s="56" t="str">
        <f t="shared" si="6"/>
        <v>Habis dalam 7-1 Hari</v>
      </c>
      <c r="AF84" s="57" t="s">
        <v>166</v>
      </c>
      <c r="AG84" s="57" t="s">
        <v>167</v>
      </c>
      <c r="AH84" s="163"/>
      <c r="AI84" s="254"/>
      <c r="AJ84" s="138"/>
      <c r="AK84" s="138"/>
      <c r="AL84" s="138"/>
      <c r="AM84" s="138"/>
      <c r="AN84" s="138"/>
      <c r="AO84" s="138"/>
      <c r="AP84" s="138"/>
      <c r="AQ84" s="165"/>
      <c r="AR84" s="20"/>
      <c r="AS84" s="138"/>
      <c r="AT84" s="177"/>
      <c r="AU84" s="177"/>
      <c r="AV84" s="177"/>
      <c r="AW84" s="177"/>
      <c r="AX84" s="177"/>
    </row>
    <row r="85">
      <c r="A85" s="9">
        <v>79.0</v>
      </c>
      <c r="B85" s="47" t="s">
        <v>152</v>
      </c>
      <c r="C85" s="49" t="s">
        <v>240</v>
      </c>
      <c r="D85" s="49">
        <v>16.0</v>
      </c>
      <c r="E85" s="50" t="s">
        <v>142</v>
      </c>
      <c r="F85" s="49">
        <v>2019.0</v>
      </c>
      <c r="G85" s="49">
        <v>2019.0</v>
      </c>
      <c r="H85" s="11">
        <f>A4-F85</f>
        <v>7</v>
      </c>
      <c r="I85" s="137" t="s">
        <v>635</v>
      </c>
      <c r="J85" s="49">
        <v>7698.0</v>
      </c>
      <c r="K85" s="11" t="s">
        <v>159</v>
      </c>
      <c r="L85" s="49" t="s">
        <v>160</v>
      </c>
      <c r="M85" s="11" t="s">
        <v>161</v>
      </c>
      <c r="N85" s="49">
        <v>2019.0</v>
      </c>
      <c r="O85" s="11">
        <f t="shared" ref="O85:O89" si="10">$A$4-N85</f>
        <v>7</v>
      </c>
      <c r="P85" s="19" t="s">
        <v>245</v>
      </c>
      <c r="Q85" s="49" t="s">
        <v>199</v>
      </c>
      <c r="R85" s="49" t="s">
        <v>645</v>
      </c>
      <c r="S85" s="253" t="s">
        <v>646</v>
      </c>
      <c r="T85" s="53">
        <f>VLOOKUP(B85,'Data aplikasi'!$A$2:$M$85,5,0)</f>
        <v>47396</v>
      </c>
      <c r="U85" s="54" t="str">
        <f t="shared" si="1"/>
        <v>Berlaku</v>
      </c>
      <c r="V85" s="53">
        <f>VLOOKUP(B85,'Data aplikasi'!$A$2:$M$85,6,0)</f>
        <v>46300</v>
      </c>
      <c r="W85" s="54" t="str">
        <f t="shared" si="2"/>
        <v>Habis dalam 7-1 Hari</v>
      </c>
      <c r="X85" s="53" t="str">
        <f>VLOOKUP(B85,'Data aplikasi'!$A$2:$M$85,8,0)</f>
        <v/>
      </c>
      <c r="Y85" s="54" t="str">
        <f t="shared" si="3"/>
        <v>Habis</v>
      </c>
      <c r="Z85" s="53">
        <f>VLOOKUP(B85,'Data aplikasi'!$A$2:$M$85,9,0)</f>
        <v>46277</v>
      </c>
      <c r="AA85" s="54" t="str">
        <f t="shared" si="4"/>
        <v>Habis</v>
      </c>
      <c r="AB85" s="53">
        <f>VLOOKUP(B85,'Data aplikasi'!$A$2:$M$85,10,0)</f>
        <v>46443</v>
      </c>
      <c r="AC85" s="54" t="str">
        <f t="shared" si="5"/>
        <v>Berlaku</v>
      </c>
      <c r="AD85" s="55">
        <f>VLOOKUP(B85,'Data aplikasi'!$A$2:$M$85,11,0)</f>
        <v>46340</v>
      </c>
      <c r="AE85" s="56" t="str">
        <f t="shared" si="6"/>
        <v>Berlaku</v>
      </c>
      <c r="AF85" s="57" t="s">
        <v>166</v>
      </c>
      <c r="AG85" s="57" t="s">
        <v>167</v>
      </c>
      <c r="AH85" s="163"/>
      <c r="AI85" s="254"/>
      <c r="AJ85" s="138"/>
      <c r="AK85" s="138"/>
      <c r="AL85" s="138"/>
      <c r="AM85" s="138"/>
      <c r="AN85" s="138"/>
      <c r="AO85" s="138"/>
      <c r="AP85" s="138"/>
      <c r="AQ85" s="165"/>
      <c r="AR85" s="20"/>
      <c r="AS85" s="138"/>
      <c r="AT85" s="177"/>
      <c r="AU85" s="177"/>
      <c r="AV85" s="177"/>
      <c r="AW85" s="177"/>
      <c r="AX85" s="177"/>
    </row>
    <row r="86" ht="25.5" customHeight="1">
      <c r="A86" s="9">
        <v>80.0</v>
      </c>
      <c r="B86" s="46" t="s">
        <v>154</v>
      </c>
      <c r="C86" s="11" t="s">
        <v>153</v>
      </c>
      <c r="D86" s="11">
        <v>24.0</v>
      </c>
      <c r="E86" s="24" t="s">
        <v>109</v>
      </c>
      <c r="F86" s="19">
        <v>2026.0</v>
      </c>
      <c r="G86" s="19">
        <v>2026.0</v>
      </c>
      <c r="H86" s="11">
        <f t="shared" ref="H86:H89" si="11">$A$4-F86</f>
        <v>0</v>
      </c>
      <c r="I86" s="137" t="s">
        <v>647</v>
      </c>
      <c r="J86" s="22">
        <v>7684.0</v>
      </c>
      <c r="K86" s="11" t="s">
        <v>243</v>
      </c>
      <c r="L86" s="11" t="s">
        <v>160</v>
      </c>
      <c r="M86" s="11" t="s">
        <v>648</v>
      </c>
      <c r="N86" s="11">
        <v>2026.0</v>
      </c>
      <c r="O86" s="11">
        <f t="shared" si="10"/>
        <v>0</v>
      </c>
      <c r="P86" s="11" t="s">
        <v>649</v>
      </c>
      <c r="Q86" s="22" t="s">
        <v>610</v>
      </c>
      <c r="R86" s="19" t="s">
        <v>650</v>
      </c>
      <c r="S86" s="115" t="s">
        <v>651</v>
      </c>
      <c r="T86" s="53">
        <f>VLOOKUP(B86,'Data aplikasi'!$A$2:$M$85,5,0)</f>
        <v>47958</v>
      </c>
      <c r="U86" s="54" t="str">
        <f t="shared" si="1"/>
        <v>Berlaku</v>
      </c>
      <c r="V86" s="53">
        <f>VLOOKUP(B86,'Data aplikasi'!$A$2:$M$85,6,0)</f>
        <v>46497</v>
      </c>
      <c r="W86" s="54" t="str">
        <f t="shared" si="2"/>
        <v>Berlaku</v>
      </c>
      <c r="X86" s="53">
        <f>VLOOKUP(B86,'Data aplikasi'!$A$2:$M$85,8,0)</f>
        <v>46318</v>
      </c>
      <c r="Y86" s="54" t="str">
        <f t="shared" si="3"/>
        <v>Akan Habis</v>
      </c>
      <c r="Z86" s="53">
        <f>VLOOKUP(B86,'Data aplikasi'!$A$2:$M$85,9,0)</f>
        <v>46500</v>
      </c>
      <c r="AA86" s="54" t="str">
        <f t="shared" si="4"/>
        <v>Berlaku</v>
      </c>
      <c r="AB86" s="53">
        <f>VLOOKUP(B86,'Data aplikasi'!$A$2:$M$85,10,0)</f>
        <v>46886</v>
      </c>
      <c r="AC86" s="54" t="str">
        <f t="shared" si="5"/>
        <v>Berlaku</v>
      </c>
      <c r="AD86" s="55">
        <f>VLOOKUP(B86,'Data aplikasi'!$A$2:$M$85,11,0)</f>
        <v>46358</v>
      </c>
      <c r="AE86" s="56" t="str">
        <f t="shared" si="6"/>
        <v>Berlaku</v>
      </c>
      <c r="AF86" s="57" t="s">
        <v>166</v>
      </c>
      <c r="AG86" s="57" t="s">
        <v>167</v>
      </c>
      <c r="AH86" s="163"/>
      <c r="AI86" s="158" t="s">
        <v>652</v>
      </c>
      <c r="AJ86" s="138"/>
      <c r="AK86" s="250" t="s">
        <v>639</v>
      </c>
      <c r="AL86" s="61"/>
      <c r="AM86" s="61"/>
      <c r="AN86" s="61"/>
      <c r="AO86" s="251">
        <v>80.0</v>
      </c>
      <c r="AP86" s="252">
        <v>1640.0</v>
      </c>
      <c r="AQ86" s="251">
        <v>84.0</v>
      </c>
      <c r="AR86" s="252">
        <v>1720.0</v>
      </c>
      <c r="AS86" s="252">
        <v>0.0</v>
      </c>
      <c r="AT86" s="252">
        <v>0.0</v>
      </c>
      <c r="AU86" s="252">
        <v>6.0</v>
      </c>
      <c r="AV86" s="252">
        <v>112.0</v>
      </c>
      <c r="AW86" s="252">
        <v>78.0</v>
      </c>
      <c r="AX86" s="252">
        <v>1608.0</v>
      </c>
    </row>
    <row r="87">
      <c r="A87" s="9">
        <v>81.0</v>
      </c>
      <c r="B87" s="46" t="s">
        <v>155</v>
      </c>
      <c r="C87" s="11" t="s">
        <v>153</v>
      </c>
      <c r="D87" s="11">
        <v>24.0</v>
      </c>
      <c r="E87" s="24" t="s">
        <v>109</v>
      </c>
      <c r="F87" s="19">
        <v>2026.0</v>
      </c>
      <c r="G87" s="19">
        <v>2026.0</v>
      </c>
      <c r="H87" s="11">
        <f t="shared" si="11"/>
        <v>0</v>
      </c>
      <c r="I87" s="137" t="s">
        <v>647</v>
      </c>
      <c r="J87" s="22">
        <v>7684.0</v>
      </c>
      <c r="K87" s="11" t="s">
        <v>243</v>
      </c>
      <c r="L87" s="11" t="s">
        <v>160</v>
      </c>
      <c r="M87" s="11" t="s">
        <v>648</v>
      </c>
      <c r="N87" s="11">
        <v>2026.0</v>
      </c>
      <c r="O87" s="11">
        <f t="shared" si="10"/>
        <v>0</v>
      </c>
      <c r="P87" s="11" t="s">
        <v>649</v>
      </c>
      <c r="Q87" s="19" t="s">
        <v>610</v>
      </c>
      <c r="R87" s="19" t="s">
        <v>653</v>
      </c>
      <c r="S87" s="115" t="s">
        <v>654</v>
      </c>
      <c r="T87" s="53">
        <f>VLOOKUP(B87,'Data aplikasi'!$A$2:$M$85,5,0)</f>
        <v>47958</v>
      </c>
      <c r="U87" s="54" t="str">
        <f t="shared" si="1"/>
        <v>Berlaku</v>
      </c>
      <c r="V87" s="53">
        <f>VLOOKUP(B87,'Data aplikasi'!$A$2:$M$85,6,0)</f>
        <v>46497</v>
      </c>
      <c r="W87" s="54" t="str">
        <f t="shared" si="2"/>
        <v>Berlaku</v>
      </c>
      <c r="X87" s="53">
        <f>VLOOKUP(B87,'Data aplikasi'!$A$2:$M$85,8,0)</f>
        <v>46319</v>
      </c>
      <c r="Y87" s="54" t="str">
        <f t="shared" si="3"/>
        <v>Akan Habis</v>
      </c>
      <c r="Z87" s="53">
        <f>VLOOKUP(B87,'Data aplikasi'!$A$2:$M$85,9,0)</f>
        <v>46501</v>
      </c>
      <c r="AA87" s="54" t="str">
        <f t="shared" si="4"/>
        <v>Berlaku</v>
      </c>
      <c r="AB87" s="53">
        <f>VLOOKUP(B87,'Data aplikasi'!$A$2:$M$85,10,0)</f>
        <v>46891</v>
      </c>
      <c r="AC87" s="54" t="str">
        <f t="shared" si="5"/>
        <v>Berlaku</v>
      </c>
      <c r="AD87" s="55">
        <f>VLOOKUP(B87,'Data aplikasi'!$A$2:$M$85,11,0)</f>
        <v>46358</v>
      </c>
      <c r="AE87" s="56" t="str">
        <f t="shared" si="6"/>
        <v>Berlaku</v>
      </c>
      <c r="AF87" s="57" t="s">
        <v>166</v>
      </c>
      <c r="AG87" s="57" t="s">
        <v>167</v>
      </c>
      <c r="AH87" s="163"/>
      <c r="AI87" s="158" t="s">
        <v>655</v>
      </c>
      <c r="AJ87" s="138"/>
      <c r="AK87" s="138"/>
      <c r="AL87" s="138"/>
      <c r="AM87" s="138"/>
      <c r="AN87" s="138"/>
      <c r="AO87" s="138"/>
      <c r="AP87" s="138"/>
      <c r="AQ87" s="138"/>
      <c r="AR87" s="138"/>
      <c r="AS87" s="138"/>
      <c r="AT87" s="138"/>
      <c r="AU87" s="138"/>
      <c r="AV87" s="138"/>
      <c r="AW87" s="138"/>
      <c r="AX87" s="138"/>
    </row>
    <row r="88">
      <c r="A88" s="9">
        <v>82.0</v>
      </c>
      <c r="B88" s="47" t="s">
        <v>156</v>
      </c>
      <c r="C88" s="49" t="s">
        <v>240</v>
      </c>
      <c r="D88" s="49">
        <v>16.0</v>
      </c>
      <c r="E88" s="29" t="s">
        <v>39</v>
      </c>
      <c r="F88" s="19">
        <v>2026.0</v>
      </c>
      <c r="G88" s="19">
        <v>2026.0</v>
      </c>
      <c r="H88" s="11">
        <f t="shared" si="11"/>
        <v>0</v>
      </c>
      <c r="I88" s="137" t="s">
        <v>656</v>
      </c>
      <c r="J88" s="11">
        <v>7684.0</v>
      </c>
      <c r="K88" s="11" t="s">
        <v>243</v>
      </c>
      <c r="L88" s="49" t="s">
        <v>160</v>
      </c>
      <c r="M88" s="11" t="s">
        <v>657</v>
      </c>
      <c r="N88" s="49">
        <v>2026.0</v>
      </c>
      <c r="O88" s="11">
        <f t="shared" si="10"/>
        <v>0</v>
      </c>
      <c r="P88" s="19" t="s">
        <v>649</v>
      </c>
      <c r="Q88" s="22" t="s">
        <v>610</v>
      </c>
      <c r="R88" s="49" t="s">
        <v>658</v>
      </c>
      <c r="S88" s="253" t="s">
        <v>659</v>
      </c>
      <c r="T88" s="53">
        <f>VLOOKUP(B88,'Data aplikasi'!$A$2:$M$85,5,0)</f>
        <v>47954</v>
      </c>
      <c r="U88" s="54" t="str">
        <f t="shared" si="1"/>
        <v>Berlaku</v>
      </c>
      <c r="V88" s="53">
        <f>VLOOKUP(B88,'Data aplikasi'!$A$2:$M$85,6,0)</f>
        <v>46493</v>
      </c>
      <c r="W88" s="54" t="str">
        <f t="shared" si="2"/>
        <v>Berlaku</v>
      </c>
      <c r="X88" s="53" t="str">
        <f>VLOOKUP(B88,'Data aplikasi'!$A$2:$M$85,8,0)</f>
        <v/>
      </c>
      <c r="Y88" s="54" t="str">
        <f t="shared" si="3"/>
        <v>Habis</v>
      </c>
      <c r="Z88" s="53">
        <f>VLOOKUP(B88,'Data aplikasi'!$A$2:$M$85,9,0)</f>
        <v>46323</v>
      </c>
      <c r="AA88" s="54" t="str">
        <f t="shared" si="4"/>
        <v>Berlaku</v>
      </c>
      <c r="AB88" s="53">
        <f>VLOOKUP(B88,'Data aplikasi'!$A$2:$M$85,10,0)</f>
        <v>46892</v>
      </c>
      <c r="AC88" s="54" t="str">
        <f t="shared" si="5"/>
        <v>Berlaku</v>
      </c>
      <c r="AD88" s="55">
        <f>VLOOKUP(B88,'Data aplikasi'!$A$2:$M$85,11,0)</f>
        <v>46362</v>
      </c>
      <c r="AE88" s="56" t="str">
        <f t="shared" si="6"/>
        <v>Berlaku</v>
      </c>
      <c r="AF88" s="57" t="s">
        <v>166</v>
      </c>
      <c r="AG88" s="57" t="s">
        <v>167</v>
      </c>
      <c r="AH88" s="163"/>
      <c r="AI88" s="253" t="s">
        <v>660</v>
      </c>
      <c r="AJ88" s="138"/>
      <c r="AK88" s="138"/>
      <c r="AL88" s="138"/>
      <c r="AM88" s="138"/>
      <c r="AN88" s="138"/>
      <c r="AO88" s="138"/>
      <c r="AP88" s="138"/>
      <c r="AQ88" s="165"/>
      <c r="AR88" s="20"/>
      <c r="AS88" s="138"/>
      <c r="AT88" s="177"/>
      <c r="AU88" s="177"/>
      <c r="AV88" s="177"/>
      <c r="AW88" s="177"/>
      <c r="AX88" s="177"/>
    </row>
    <row r="89">
      <c r="A89" s="9">
        <v>83.0</v>
      </c>
      <c r="B89" s="47" t="s">
        <v>157</v>
      </c>
      <c r="C89" s="49" t="s">
        <v>240</v>
      </c>
      <c r="D89" s="49">
        <v>16.0</v>
      </c>
      <c r="E89" s="29" t="s">
        <v>39</v>
      </c>
      <c r="F89" s="19">
        <v>2026.0</v>
      </c>
      <c r="G89" s="19">
        <v>2026.0</v>
      </c>
      <c r="H89" s="11">
        <f t="shared" si="11"/>
        <v>0</v>
      </c>
      <c r="I89" s="137" t="s">
        <v>656</v>
      </c>
      <c r="J89" s="11">
        <v>7684.0</v>
      </c>
      <c r="K89" s="11" t="s">
        <v>243</v>
      </c>
      <c r="L89" s="49" t="s">
        <v>160</v>
      </c>
      <c r="M89" s="11" t="s">
        <v>657</v>
      </c>
      <c r="N89" s="49">
        <v>2026.0</v>
      </c>
      <c r="O89" s="11">
        <f t="shared" si="10"/>
        <v>0</v>
      </c>
      <c r="P89" s="19" t="s">
        <v>649</v>
      </c>
      <c r="Q89" s="19" t="s">
        <v>610</v>
      </c>
      <c r="R89" s="49" t="s">
        <v>661</v>
      </c>
      <c r="S89" s="253" t="s">
        <v>662</v>
      </c>
      <c r="T89" s="53">
        <f>VLOOKUP(B89,'Data aplikasi'!$A$2:$M$85,5,0)</f>
        <v>47954</v>
      </c>
      <c r="U89" s="54" t="str">
        <f t="shared" si="1"/>
        <v>Berlaku</v>
      </c>
      <c r="V89" s="53">
        <f>VLOOKUP(B89,'Data aplikasi'!$A$2:$M$85,6,0)</f>
        <v>46493</v>
      </c>
      <c r="W89" s="54" t="str">
        <f t="shared" si="2"/>
        <v>Berlaku</v>
      </c>
      <c r="X89" s="53" t="str">
        <f>VLOOKUP(B89,'Data aplikasi'!$A$2:$M$85,8,0)</f>
        <v/>
      </c>
      <c r="Y89" s="54" t="str">
        <f t="shared" si="3"/>
        <v>Habis</v>
      </c>
      <c r="Z89" s="53">
        <f>VLOOKUP(B89,'Data aplikasi'!$A$2:$M$85,9,0)</f>
        <v>46323</v>
      </c>
      <c r="AA89" s="54" t="str">
        <f t="shared" si="4"/>
        <v>Berlaku</v>
      </c>
      <c r="AB89" s="53">
        <f>VLOOKUP(B89,'Data aplikasi'!$A$2:$M$85,10,0)</f>
        <v>46894</v>
      </c>
      <c r="AC89" s="54" t="str">
        <f t="shared" si="5"/>
        <v>Berlaku</v>
      </c>
      <c r="AD89" s="55">
        <f>VLOOKUP(B89,'Data aplikasi'!$A$2:$M$85,11,0)</f>
        <v>46362</v>
      </c>
      <c r="AE89" s="56" t="str">
        <f t="shared" si="6"/>
        <v>Berlaku</v>
      </c>
      <c r="AF89" s="57" t="s">
        <v>166</v>
      </c>
      <c r="AG89" s="57" t="s">
        <v>167</v>
      </c>
      <c r="AH89" s="163"/>
      <c r="AI89" s="253" t="s">
        <v>663</v>
      </c>
      <c r="AJ89" s="138"/>
      <c r="AK89" s="138"/>
      <c r="AL89" s="138"/>
      <c r="AM89" s="138"/>
      <c r="AN89" s="138"/>
      <c r="AO89" s="138"/>
      <c r="AP89" s="138"/>
      <c r="AQ89" s="165"/>
      <c r="AR89" s="20"/>
      <c r="AS89" s="138"/>
      <c r="AT89" s="177"/>
      <c r="AU89" s="177"/>
      <c r="AV89" s="177"/>
      <c r="AW89" s="177"/>
      <c r="AX89" s="177"/>
    </row>
    <row r="90">
      <c r="A90" s="255"/>
      <c r="B90" s="256"/>
      <c r="C90" s="257"/>
      <c r="D90" s="257"/>
      <c r="E90" s="258"/>
      <c r="F90" s="259"/>
      <c r="G90" s="259"/>
      <c r="H90" s="238"/>
      <c r="I90" s="260"/>
      <c r="J90" s="238"/>
      <c r="K90" s="238"/>
      <c r="L90" s="257"/>
      <c r="M90" s="238"/>
      <c r="N90" s="257"/>
      <c r="O90" s="238"/>
      <c r="P90" s="259"/>
      <c r="Q90" s="259"/>
      <c r="R90" s="257"/>
      <c r="S90" s="261"/>
      <c r="T90" s="262"/>
      <c r="U90" s="239"/>
      <c r="V90" s="262"/>
      <c r="W90" s="239"/>
      <c r="X90" s="262"/>
      <c r="Y90" s="239"/>
      <c r="Z90" s="262"/>
      <c r="AA90" s="239"/>
      <c r="AB90" s="262"/>
      <c r="AC90" s="239"/>
      <c r="AD90" s="263"/>
      <c r="AE90" s="264"/>
      <c r="AF90" s="265"/>
      <c r="AG90" s="265"/>
      <c r="AH90" s="25"/>
      <c r="AI90" s="261"/>
      <c r="AJ90" s="138"/>
      <c r="AK90" s="138"/>
      <c r="AL90" s="138"/>
      <c r="AM90" s="138"/>
      <c r="AN90" s="138"/>
      <c r="AO90" s="138"/>
      <c r="AP90" s="138"/>
      <c r="AQ90" s="165"/>
      <c r="AR90" s="20"/>
      <c r="AS90" s="138"/>
      <c r="AT90" s="177"/>
      <c r="AU90" s="177"/>
      <c r="AV90" s="177"/>
      <c r="AW90" s="177"/>
      <c r="AX90" s="177"/>
    </row>
    <row r="91"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</row>
    <row r="92"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>
      <c r="A93" s="255"/>
      <c r="B93" s="257"/>
      <c r="C93" s="257"/>
      <c r="D93" s="257"/>
      <c r="E93" s="266"/>
      <c r="F93" s="257"/>
      <c r="G93" s="257"/>
      <c r="H93" s="238"/>
      <c r="I93" s="260"/>
      <c r="J93" s="257"/>
      <c r="K93" s="238"/>
      <c r="L93" s="257"/>
      <c r="M93" s="238"/>
      <c r="N93" s="257"/>
      <c r="O93" s="238"/>
      <c r="P93" s="259"/>
      <c r="Q93" s="257"/>
      <c r="R93" s="257"/>
      <c r="S93" s="261"/>
      <c r="T93" s="267"/>
      <c r="U93" s="239"/>
      <c r="V93" s="268"/>
      <c r="W93" s="239"/>
      <c r="X93" s="269"/>
      <c r="Y93" s="239"/>
      <c r="Z93" s="270"/>
      <c r="AA93" s="239"/>
      <c r="AB93" s="239"/>
      <c r="AC93" s="239"/>
      <c r="AD93" s="239"/>
      <c r="AE93" s="239"/>
      <c r="AF93" s="265"/>
      <c r="AG93" s="265"/>
      <c r="AH93" s="25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>
      <c r="I94" s="35"/>
    </row>
    <row r="95">
      <c r="I95" s="35"/>
    </row>
    <row r="96">
      <c r="I96" s="35"/>
    </row>
    <row r="97">
      <c r="I97" s="35"/>
      <c r="AQ97" s="233">
        <v>8.0</v>
      </c>
      <c r="AR97" s="233">
        <v>16.0</v>
      </c>
      <c r="AS97" s="233">
        <v>24.0</v>
      </c>
    </row>
    <row r="98">
      <c r="I98" s="35"/>
      <c r="AQ98" s="233">
        <v>3.0</v>
      </c>
      <c r="AR98" s="233">
        <v>30.0</v>
      </c>
      <c r="AS98" s="233">
        <v>47.0</v>
      </c>
    </row>
    <row r="99">
      <c r="I99" s="35"/>
    </row>
    <row r="100">
      <c r="I100" s="35"/>
      <c r="S100" s="271"/>
      <c r="T100" s="272"/>
      <c r="U100" s="273"/>
      <c r="AR100" s="161">
        <f t="shared" ref="AR100:AS100" si="12">AR98*AR97</f>
        <v>480</v>
      </c>
      <c r="AS100" s="161">
        <f t="shared" si="12"/>
        <v>1128</v>
      </c>
    </row>
    <row r="101">
      <c r="I101" s="35"/>
      <c r="S101" s="271"/>
      <c r="T101" s="272"/>
      <c r="U101" s="273"/>
    </row>
    <row r="102">
      <c r="I102" s="35"/>
      <c r="S102" s="271"/>
      <c r="T102" s="272"/>
      <c r="U102" s="273"/>
    </row>
    <row r="103">
      <c r="I103" s="35"/>
      <c r="S103" s="271"/>
      <c r="T103" s="272"/>
      <c r="U103" s="273"/>
    </row>
    <row r="104">
      <c r="I104" s="35"/>
      <c r="S104" s="271"/>
      <c r="T104" s="272"/>
      <c r="U104" s="273"/>
    </row>
    <row r="105">
      <c r="I105" s="35"/>
      <c r="S105" s="271"/>
      <c r="T105" s="272"/>
      <c r="U105" s="273"/>
    </row>
    <row r="106">
      <c r="I106" s="35"/>
      <c r="S106" s="271"/>
      <c r="T106" s="272"/>
      <c r="U106" s="274"/>
    </row>
    <row r="107">
      <c r="I107" s="35"/>
      <c r="S107" s="271"/>
      <c r="T107" s="272"/>
      <c r="U107" s="274"/>
    </row>
    <row r="108">
      <c r="I108" s="35"/>
      <c r="S108" s="271"/>
      <c r="T108" s="272"/>
      <c r="U108" s="274"/>
    </row>
    <row r="109">
      <c r="I109" s="35"/>
      <c r="S109" s="271"/>
      <c r="T109" s="272"/>
      <c r="U109" s="273"/>
    </row>
    <row r="110">
      <c r="I110" s="35"/>
      <c r="S110" s="271"/>
      <c r="T110" s="272"/>
      <c r="U110" s="273"/>
    </row>
    <row r="111">
      <c r="I111" s="35"/>
      <c r="S111" s="271"/>
      <c r="T111" s="272"/>
      <c r="U111" s="274"/>
    </row>
    <row r="112">
      <c r="I112" s="35"/>
      <c r="S112" s="271"/>
      <c r="T112" s="272"/>
      <c r="U112" s="273"/>
    </row>
    <row r="113">
      <c r="I113" s="35"/>
      <c r="S113" s="271"/>
      <c r="T113" s="272"/>
      <c r="U113" s="274"/>
    </row>
    <row r="114">
      <c r="I114" s="35"/>
      <c r="S114" s="271"/>
      <c r="T114" s="272"/>
      <c r="U114" s="273"/>
    </row>
    <row r="115">
      <c r="I115" s="35"/>
      <c r="S115" s="271"/>
      <c r="T115" s="272"/>
      <c r="U115" s="273"/>
    </row>
    <row r="116">
      <c r="I116" s="35"/>
      <c r="S116" s="271"/>
      <c r="T116" s="272"/>
      <c r="U116" s="273"/>
    </row>
    <row r="117">
      <c r="I117" s="35"/>
      <c r="S117" s="271"/>
      <c r="T117" s="272"/>
      <c r="U117" s="273"/>
    </row>
    <row r="118">
      <c r="I118" s="35"/>
      <c r="S118" s="271"/>
      <c r="T118" s="272"/>
      <c r="U118" s="273"/>
    </row>
    <row r="119">
      <c r="I119" s="35"/>
      <c r="S119" s="271"/>
      <c r="T119" s="272"/>
      <c r="U119" s="274"/>
    </row>
    <row r="120">
      <c r="I120" s="35"/>
      <c r="S120" s="271"/>
      <c r="T120" s="272"/>
      <c r="U120" s="273"/>
    </row>
    <row r="121">
      <c r="I121" s="35"/>
      <c r="S121" s="271"/>
      <c r="T121" s="272"/>
      <c r="U121" s="273"/>
    </row>
    <row r="122">
      <c r="I122" s="35"/>
      <c r="S122" s="271"/>
      <c r="T122" s="272"/>
      <c r="U122" s="273"/>
    </row>
    <row r="123">
      <c r="I123" s="35"/>
      <c r="S123" s="271"/>
      <c r="T123" s="272"/>
      <c r="U123" s="273"/>
    </row>
    <row r="124">
      <c r="I124" s="35"/>
      <c r="S124" s="271"/>
      <c r="T124" s="272"/>
      <c r="U124" s="273"/>
    </row>
    <row r="125">
      <c r="I125" s="35"/>
      <c r="S125" s="271"/>
      <c r="T125" s="272"/>
      <c r="U125" s="273"/>
    </row>
    <row r="126">
      <c r="I126" s="35"/>
      <c r="S126" s="271"/>
      <c r="T126" s="272"/>
      <c r="U126" s="273"/>
    </row>
    <row r="127">
      <c r="I127" s="35"/>
      <c r="S127" s="271"/>
      <c r="T127" s="272"/>
      <c r="U127" s="273"/>
    </row>
    <row r="128">
      <c r="I128" s="35"/>
      <c r="S128" s="271"/>
      <c r="T128" s="272"/>
      <c r="U128" s="273"/>
    </row>
    <row r="129">
      <c r="I129" s="35"/>
      <c r="S129" s="271"/>
      <c r="T129" s="272"/>
      <c r="U129" s="274"/>
    </row>
    <row r="130">
      <c r="I130" s="35"/>
      <c r="S130" s="271"/>
      <c r="T130" s="272"/>
      <c r="U130" s="274"/>
    </row>
    <row r="131">
      <c r="I131" s="35"/>
      <c r="S131" s="271"/>
      <c r="T131" s="272"/>
      <c r="U131" s="274"/>
    </row>
    <row r="132">
      <c r="I132" s="35"/>
      <c r="S132" s="271"/>
      <c r="T132" s="272"/>
      <c r="U132" s="274"/>
    </row>
    <row r="133">
      <c r="I133" s="35"/>
      <c r="S133" s="271"/>
      <c r="T133" s="272"/>
      <c r="U133" s="273"/>
    </row>
    <row r="134">
      <c r="I134" s="35"/>
      <c r="S134" s="271"/>
      <c r="T134" s="272"/>
      <c r="U134" s="273"/>
    </row>
    <row r="135">
      <c r="I135" s="35"/>
      <c r="S135" s="271"/>
      <c r="T135" s="272"/>
      <c r="U135" s="273"/>
    </row>
    <row r="136">
      <c r="I136" s="35"/>
      <c r="S136" s="271"/>
      <c r="T136" s="272"/>
      <c r="U136" s="273"/>
    </row>
    <row r="137">
      <c r="I137" s="35"/>
      <c r="S137" s="271"/>
      <c r="T137" s="272"/>
      <c r="U137" s="273"/>
    </row>
    <row r="138">
      <c r="I138" s="35"/>
      <c r="S138" s="271"/>
      <c r="T138" s="272"/>
      <c r="U138" s="273"/>
    </row>
    <row r="139">
      <c r="I139" s="35"/>
      <c r="S139" s="271"/>
      <c r="T139" s="272"/>
      <c r="U139" s="273"/>
    </row>
    <row r="140">
      <c r="I140" s="35"/>
      <c r="S140" s="271"/>
      <c r="T140" s="272"/>
      <c r="U140" s="273"/>
    </row>
    <row r="141">
      <c r="I141" s="35"/>
      <c r="S141" s="271"/>
      <c r="T141" s="272"/>
      <c r="U141" s="273"/>
    </row>
    <row r="142">
      <c r="I142" s="35"/>
      <c r="S142" s="271"/>
      <c r="T142" s="272"/>
      <c r="U142" s="273"/>
    </row>
    <row r="143">
      <c r="I143" s="35"/>
      <c r="S143" s="271"/>
      <c r="T143" s="272"/>
      <c r="U143" s="273"/>
    </row>
    <row r="144">
      <c r="I144" s="35"/>
      <c r="S144" s="271"/>
      <c r="T144" s="272"/>
      <c r="U144" s="273"/>
    </row>
    <row r="145">
      <c r="I145" s="35"/>
      <c r="S145" s="271"/>
      <c r="T145" s="272"/>
      <c r="U145" s="273"/>
    </row>
    <row r="146">
      <c r="I146" s="35"/>
      <c r="S146" s="271"/>
      <c r="T146" s="272"/>
      <c r="U146" s="273"/>
    </row>
    <row r="147">
      <c r="I147" s="35"/>
      <c r="S147" s="271"/>
      <c r="T147" s="272"/>
      <c r="U147" s="273"/>
    </row>
    <row r="148">
      <c r="I148" s="35"/>
      <c r="S148" s="271"/>
      <c r="T148" s="272"/>
      <c r="U148" s="273"/>
    </row>
    <row r="149">
      <c r="I149" s="35"/>
      <c r="S149" s="271"/>
      <c r="T149" s="272"/>
      <c r="U149" s="273"/>
    </row>
    <row r="150">
      <c r="I150" s="35"/>
      <c r="S150" s="271"/>
      <c r="T150" s="272"/>
      <c r="U150" s="273"/>
    </row>
    <row r="151">
      <c r="I151" s="35"/>
      <c r="S151" s="275"/>
      <c r="T151" s="272"/>
      <c r="U151" s="273"/>
    </row>
    <row r="152">
      <c r="I152" s="35"/>
      <c r="S152" s="275"/>
      <c r="T152" s="272"/>
      <c r="U152" s="274"/>
    </row>
    <row r="153">
      <c r="I153" s="35"/>
      <c r="S153" s="275"/>
      <c r="T153" s="272"/>
      <c r="U153" s="274"/>
    </row>
    <row r="154">
      <c r="I154" s="35"/>
      <c r="S154" s="271"/>
      <c r="T154" s="272"/>
      <c r="U154" s="273"/>
    </row>
    <row r="155">
      <c r="I155" s="35"/>
      <c r="S155" s="271"/>
      <c r="T155" s="272"/>
      <c r="U155" s="273"/>
    </row>
    <row r="156">
      <c r="I156" s="35"/>
      <c r="S156" s="271"/>
      <c r="T156" s="272"/>
      <c r="U156" s="273"/>
    </row>
    <row r="157">
      <c r="I157" s="35"/>
      <c r="S157" s="271"/>
      <c r="T157" s="272"/>
      <c r="U157" s="274"/>
    </row>
    <row r="158">
      <c r="I158" s="35"/>
      <c r="S158" s="271"/>
      <c r="T158" s="272"/>
      <c r="U158" s="273"/>
    </row>
    <row r="159">
      <c r="I159" s="35"/>
      <c r="S159" s="271"/>
      <c r="T159" s="272"/>
      <c r="U159" s="274"/>
    </row>
    <row r="160">
      <c r="I160" s="35"/>
      <c r="S160" s="271"/>
      <c r="T160" s="272"/>
      <c r="U160" s="273"/>
    </row>
    <row r="161">
      <c r="I161" s="35"/>
      <c r="S161" s="271"/>
      <c r="T161" s="272"/>
      <c r="U161" s="273"/>
    </row>
    <row r="162">
      <c r="I162" s="35"/>
      <c r="S162" s="271"/>
      <c r="T162" s="272"/>
      <c r="U162" s="273"/>
    </row>
    <row r="163">
      <c r="I163" s="35"/>
      <c r="S163" s="271"/>
      <c r="T163" s="272"/>
      <c r="U163" s="273"/>
    </row>
    <row r="164">
      <c r="I164" s="35"/>
      <c r="S164" s="271"/>
      <c r="T164" s="272"/>
      <c r="U164" s="273"/>
    </row>
    <row r="165">
      <c r="I165" s="35"/>
      <c r="S165" s="271"/>
      <c r="T165" s="272"/>
      <c r="U165" s="274"/>
    </row>
    <row r="166">
      <c r="I166" s="35"/>
      <c r="S166" s="271"/>
      <c r="T166" s="272"/>
      <c r="U166" s="273"/>
    </row>
    <row r="167">
      <c r="I167" s="35"/>
      <c r="S167" s="271"/>
      <c r="T167" s="272"/>
      <c r="U167" s="273"/>
    </row>
    <row r="168">
      <c r="I168" s="35"/>
      <c r="S168" s="271"/>
      <c r="T168" s="272"/>
      <c r="U168" s="273"/>
    </row>
    <row r="169">
      <c r="I169" s="35"/>
      <c r="S169" s="271"/>
      <c r="T169" s="272"/>
      <c r="U169" s="273"/>
    </row>
    <row r="170">
      <c r="I170" s="35"/>
      <c r="S170" s="271"/>
      <c r="T170" s="272"/>
      <c r="U170" s="274"/>
    </row>
    <row r="171">
      <c r="I171" s="35"/>
      <c r="S171" s="276"/>
      <c r="T171" s="272"/>
      <c r="U171" s="273"/>
    </row>
    <row r="172">
      <c r="I172" s="35"/>
      <c r="S172" s="271"/>
      <c r="T172" s="272"/>
      <c r="U172" s="273"/>
    </row>
    <row r="173">
      <c r="I173" s="35"/>
      <c r="S173" s="277"/>
      <c r="T173" s="272"/>
      <c r="U173" s="273"/>
    </row>
    <row r="174">
      <c r="I174" s="35"/>
      <c r="S174" s="277"/>
      <c r="T174" s="272"/>
      <c r="U174" s="273"/>
    </row>
    <row r="175">
      <c r="I175" s="35"/>
      <c r="S175" s="277"/>
      <c r="T175" s="272"/>
      <c r="U175" s="273"/>
    </row>
    <row r="176">
      <c r="I176" s="35"/>
      <c r="S176" s="277"/>
      <c r="T176" s="272"/>
      <c r="U176" s="273"/>
    </row>
    <row r="177">
      <c r="I177" s="35"/>
      <c r="S177" s="277"/>
      <c r="T177" s="272"/>
      <c r="U177" s="273"/>
    </row>
    <row r="178">
      <c r="I178" s="35"/>
      <c r="S178" s="277"/>
      <c r="T178" s="272"/>
      <c r="U178" s="273"/>
    </row>
    <row r="179">
      <c r="I179" s="35"/>
      <c r="S179" s="256"/>
      <c r="T179" s="272"/>
      <c r="U179" s="273"/>
    </row>
    <row r="180">
      <c r="I180" s="35"/>
      <c r="S180" s="256"/>
      <c r="T180" s="272"/>
      <c r="U180" s="273"/>
    </row>
    <row r="181">
      <c r="I181" s="35"/>
      <c r="S181" s="277"/>
      <c r="T181" s="272"/>
      <c r="U181" s="274"/>
    </row>
    <row r="182">
      <c r="I182" s="35"/>
      <c r="S182" s="277"/>
      <c r="T182" s="272"/>
      <c r="U182" s="274"/>
    </row>
    <row r="183">
      <c r="I183" s="35"/>
      <c r="S183" s="256"/>
      <c r="T183" s="272"/>
      <c r="U183" s="273"/>
    </row>
    <row r="184">
      <c r="I184" s="35"/>
      <c r="S184" s="256"/>
      <c r="T184" s="272"/>
      <c r="U184" s="273"/>
    </row>
    <row r="185">
      <c r="I185" s="35"/>
    </row>
    <row r="186">
      <c r="I186" s="35"/>
    </row>
    <row r="187">
      <c r="I187" s="35"/>
    </row>
    <row r="188">
      <c r="I188" s="35"/>
    </row>
    <row r="189">
      <c r="I189" s="35"/>
    </row>
    <row r="190">
      <c r="I190" s="35"/>
    </row>
    <row r="191">
      <c r="I191" s="35"/>
    </row>
    <row r="192">
      <c r="I192" s="35"/>
    </row>
    <row r="193">
      <c r="I193" s="35"/>
    </row>
    <row r="194">
      <c r="I194" s="35"/>
    </row>
    <row r="195">
      <c r="I195" s="35"/>
    </row>
    <row r="196">
      <c r="I196" s="35"/>
    </row>
    <row r="197">
      <c r="I197" s="35"/>
    </row>
    <row r="198">
      <c r="I198" s="35"/>
    </row>
    <row r="199">
      <c r="I199" s="35"/>
    </row>
    <row r="200">
      <c r="I200" s="35"/>
    </row>
    <row r="201">
      <c r="I201" s="35"/>
    </row>
    <row r="202">
      <c r="I202" s="35"/>
    </row>
    <row r="203">
      <c r="I203" s="35"/>
    </row>
    <row r="204">
      <c r="I204" s="35"/>
    </row>
    <row r="205">
      <c r="I205" s="35"/>
    </row>
    <row r="206">
      <c r="I206" s="35"/>
    </row>
    <row r="207">
      <c r="I207" s="35"/>
    </row>
    <row r="208">
      <c r="I208" s="35"/>
    </row>
    <row r="209">
      <c r="I209" s="35"/>
    </row>
    <row r="210">
      <c r="I210" s="35"/>
    </row>
    <row r="211">
      <c r="I211" s="35"/>
    </row>
    <row r="212">
      <c r="I212" s="35"/>
    </row>
    <row r="213">
      <c r="I213" s="35"/>
    </row>
    <row r="214">
      <c r="I214" s="35"/>
    </row>
    <row r="215">
      <c r="I215" s="35"/>
    </row>
    <row r="216">
      <c r="I216" s="35"/>
    </row>
    <row r="217">
      <c r="I217" s="35"/>
    </row>
    <row r="218">
      <c r="I218" s="35"/>
    </row>
    <row r="219">
      <c r="I219" s="35"/>
    </row>
    <row r="220">
      <c r="I220" s="35"/>
    </row>
    <row r="221">
      <c r="I221" s="35"/>
    </row>
    <row r="222">
      <c r="I222" s="35"/>
    </row>
    <row r="223">
      <c r="I223" s="35"/>
    </row>
    <row r="224">
      <c r="I224" s="35"/>
    </row>
    <row r="225">
      <c r="I225" s="35"/>
    </row>
    <row r="226">
      <c r="I226" s="35"/>
    </row>
    <row r="227">
      <c r="I227" s="35"/>
    </row>
    <row r="228">
      <c r="I228" s="35"/>
    </row>
    <row r="229">
      <c r="I229" s="35"/>
    </row>
    <row r="230">
      <c r="I230" s="35"/>
    </row>
    <row r="231">
      <c r="I231" s="35"/>
    </row>
    <row r="232">
      <c r="I232" s="35"/>
    </row>
    <row r="233">
      <c r="I233" s="35"/>
    </row>
    <row r="234">
      <c r="I234" s="35"/>
    </row>
    <row r="235">
      <c r="I235" s="35"/>
    </row>
    <row r="236">
      <c r="I236" s="35"/>
    </row>
    <row r="237">
      <c r="I237" s="35"/>
    </row>
    <row r="238">
      <c r="I238" s="35"/>
    </row>
    <row r="239">
      <c r="I239" s="35"/>
    </row>
    <row r="240">
      <c r="I240" s="35"/>
    </row>
    <row r="241">
      <c r="I241" s="35"/>
    </row>
    <row r="242">
      <c r="I242" s="35"/>
    </row>
    <row r="243">
      <c r="I243" s="35"/>
    </row>
    <row r="244">
      <c r="I244" s="35"/>
    </row>
    <row r="245">
      <c r="I245" s="35"/>
    </row>
    <row r="246">
      <c r="I246" s="35"/>
    </row>
    <row r="247">
      <c r="I247" s="35"/>
    </row>
    <row r="248">
      <c r="I248" s="35"/>
    </row>
    <row r="249">
      <c r="I249" s="35"/>
    </row>
    <row r="250">
      <c r="I250" s="35"/>
    </row>
    <row r="251">
      <c r="I251" s="35"/>
    </row>
    <row r="252">
      <c r="I252" s="35"/>
    </row>
    <row r="253">
      <c r="I253" s="35"/>
    </row>
    <row r="254">
      <c r="I254" s="35"/>
    </row>
    <row r="255">
      <c r="I255" s="35"/>
    </row>
    <row r="256">
      <c r="I256" s="35"/>
    </row>
    <row r="257">
      <c r="I257" s="35"/>
    </row>
    <row r="258">
      <c r="I258" s="35"/>
    </row>
    <row r="259">
      <c r="I259" s="35"/>
    </row>
    <row r="260">
      <c r="I260" s="35"/>
    </row>
    <row r="261">
      <c r="I261" s="35"/>
    </row>
    <row r="262">
      <c r="F262" s="151" t="s">
        <v>351</v>
      </c>
      <c r="G262" s="151" t="s">
        <v>664</v>
      </c>
      <c r="H262" s="151" t="s">
        <v>665</v>
      </c>
      <c r="I262" s="278" t="s">
        <v>99</v>
      </c>
      <c r="J262" s="151" t="s">
        <v>666</v>
      </c>
    </row>
    <row r="263">
      <c r="F263" s="151">
        <v>9552.0</v>
      </c>
      <c r="G263" s="279">
        <v>46372.0</v>
      </c>
      <c r="H263" s="280">
        <v>46145.0</v>
      </c>
      <c r="I263" s="280">
        <v>46145.0</v>
      </c>
      <c r="J263" s="279">
        <v>46814.0</v>
      </c>
    </row>
    <row r="264">
      <c r="F264" s="151">
        <v>9554.0</v>
      </c>
      <c r="G264" s="279">
        <v>46372.0</v>
      </c>
      <c r="H264" s="280">
        <v>46149.0</v>
      </c>
      <c r="I264" s="280">
        <v>46149.0</v>
      </c>
      <c r="J264" s="279">
        <v>46816.0</v>
      </c>
    </row>
    <row r="265">
      <c r="F265" s="151">
        <v>9556.0</v>
      </c>
      <c r="G265" s="279">
        <v>46372.0</v>
      </c>
      <c r="H265" s="280">
        <v>46145.0</v>
      </c>
      <c r="I265" s="280">
        <v>46145.0</v>
      </c>
      <c r="J265" s="279">
        <v>46817.0</v>
      </c>
    </row>
    <row r="266">
      <c r="I266" s="35"/>
    </row>
    <row r="267">
      <c r="I267" s="35"/>
    </row>
    <row r="268">
      <c r="I268" s="35"/>
    </row>
    <row r="269">
      <c r="I269" s="35"/>
    </row>
    <row r="270">
      <c r="I270" s="35"/>
    </row>
    <row r="271">
      <c r="I271" s="35"/>
    </row>
    <row r="272">
      <c r="I272" s="35"/>
    </row>
    <row r="273">
      <c r="I273" s="35"/>
    </row>
    <row r="274">
      <c r="I274" s="35"/>
    </row>
    <row r="275">
      <c r="I275" s="35"/>
    </row>
    <row r="276">
      <c r="I276" s="35"/>
    </row>
    <row r="277">
      <c r="I277" s="35"/>
    </row>
    <row r="278">
      <c r="I278" s="35"/>
    </row>
    <row r="279">
      <c r="I279" s="35"/>
    </row>
    <row r="280">
      <c r="I280" s="35"/>
    </row>
    <row r="281">
      <c r="I281" s="35"/>
    </row>
    <row r="282">
      <c r="I282" s="35"/>
    </row>
    <row r="283">
      <c r="I283" s="35"/>
    </row>
    <row r="284">
      <c r="I284" s="35"/>
    </row>
    <row r="285">
      <c r="I285" s="35"/>
    </row>
    <row r="286">
      <c r="I286" s="35"/>
    </row>
    <row r="287">
      <c r="I287" s="35"/>
    </row>
    <row r="288">
      <c r="I288" s="35"/>
    </row>
    <row r="289">
      <c r="I289" s="35"/>
    </row>
    <row r="290">
      <c r="I290" s="35"/>
    </row>
    <row r="291">
      <c r="I291" s="35"/>
    </row>
    <row r="292">
      <c r="I292" s="35"/>
    </row>
    <row r="293">
      <c r="I293" s="35"/>
    </row>
    <row r="294">
      <c r="I294" s="35"/>
    </row>
    <row r="295">
      <c r="I295" s="35"/>
    </row>
    <row r="296">
      <c r="I296" s="35"/>
    </row>
    <row r="297">
      <c r="I297" s="35"/>
    </row>
    <row r="298">
      <c r="I298" s="35"/>
    </row>
    <row r="299">
      <c r="I299" s="35"/>
    </row>
    <row r="300">
      <c r="I300" s="35"/>
    </row>
    <row r="301">
      <c r="I301" s="35"/>
    </row>
    <row r="302">
      <c r="I302" s="35"/>
    </row>
    <row r="303">
      <c r="I303" s="35"/>
    </row>
    <row r="304">
      <c r="I304" s="35"/>
    </row>
    <row r="305">
      <c r="I305" s="35"/>
    </row>
    <row r="306">
      <c r="I306" s="35"/>
    </row>
    <row r="307">
      <c r="I307" s="35"/>
    </row>
    <row r="308">
      <c r="I308" s="35"/>
    </row>
    <row r="309">
      <c r="I309" s="35"/>
    </row>
    <row r="310">
      <c r="I310" s="35"/>
    </row>
    <row r="311">
      <c r="I311" s="35"/>
    </row>
    <row r="312">
      <c r="I312" s="35"/>
    </row>
    <row r="313">
      <c r="I313" s="35"/>
    </row>
    <row r="314">
      <c r="I314" s="35"/>
    </row>
    <row r="315">
      <c r="I315" s="35"/>
    </row>
    <row r="316">
      <c r="I316" s="35"/>
    </row>
    <row r="317">
      <c r="I317" s="35"/>
    </row>
    <row r="318">
      <c r="I318" s="35"/>
    </row>
    <row r="319">
      <c r="I319" s="35"/>
    </row>
    <row r="320">
      <c r="I320" s="35"/>
    </row>
    <row r="321">
      <c r="I321" s="35"/>
    </row>
    <row r="322">
      <c r="I322" s="35"/>
    </row>
    <row r="323">
      <c r="I323" s="35"/>
    </row>
    <row r="324">
      <c r="I324" s="35"/>
    </row>
    <row r="325">
      <c r="I325" s="35"/>
    </row>
    <row r="326">
      <c r="I326" s="35"/>
    </row>
    <row r="327">
      <c r="I327" s="35"/>
    </row>
    <row r="328">
      <c r="I328" s="35"/>
    </row>
    <row r="329">
      <c r="I329" s="35"/>
    </row>
    <row r="330">
      <c r="I330" s="35"/>
    </row>
    <row r="331">
      <c r="I331" s="35"/>
    </row>
    <row r="332">
      <c r="I332" s="35"/>
    </row>
    <row r="333">
      <c r="I333" s="35"/>
    </row>
    <row r="334">
      <c r="I334" s="35"/>
    </row>
    <row r="335">
      <c r="I335" s="35"/>
    </row>
    <row r="336">
      <c r="I336" s="35"/>
    </row>
    <row r="337">
      <c r="I337" s="35"/>
    </row>
    <row r="338">
      <c r="I338" s="35"/>
    </row>
    <row r="339">
      <c r="I339" s="35"/>
    </row>
    <row r="340">
      <c r="I340" s="35"/>
    </row>
    <row r="341">
      <c r="I341" s="35"/>
    </row>
    <row r="342">
      <c r="I342" s="35"/>
    </row>
    <row r="343">
      <c r="I343" s="35"/>
    </row>
    <row r="344">
      <c r="I344" s="35"/>
    </row>
    <row r="345">
      <c r="I345" s="35"/>
    </row>
    <row r="346">
      <c r="I346" s="35"/>
    </row>
    <row r="347">
      <c r="I347" s="35"/>
    </row>
    <row r="348">
      <c r="I348" s="35"/>
    </row>
    <row r="349">
      <c r="I349" s="35"/>
    </row>
    <row r="350">
      <c r="I350" s="35"/>
    </row>
    <row r="351">
      <c r="I351" s="35"/>
    </row>
    <row r="352">
      <c r="I352" s="35"/>
    </row>
    <row r="353">
      <c r="I353" s="35"/>
    </row>
    <row r="354">
      <c r="I354" s="35"/>
    </row>
    <row r="355">
      <c r="I355" s="35"/>
    </row>
    <row r="356">
      <c r="I356" s="35"/>
    </row>
    <row r="357">
      <c r="I357" s="35"/>
    </row>
    <row r="358">
      <c r="I358" s="35"/>
    </row>
    <row r="359">
      <c r="I359" s="35"/>
    </row>
    <row r="360">
      <c r="I360" s="35"/>
    </row>
    <row r="361">
      <c r="I361" s="35"/>
    </row>
    <row r="362">
      <c r="I362" s="35"/>
    </row>
    <row r="363">
      <c r="I363" s="35"/>
    </row>
    <row r="364">
      <c r="I364" s="35"/>
    </row>
    <row r="365">
      <c r="I365" s="35"/>
    </row>
    <row r="366">
      <c r="I366" s="35"/>
    </row>
    <row r="367">
      <c r="I367" s="35"/>
    </row>
    <row r="368">
      <c r="I368" s="35"/>
    </row>
    <row r="369">
      <c r="I369" s="35"/>
    </row>
    <row r="370">
      <c r="I370" s="35"/>
    </row>
    <row r="371">
      <c r="I371" s="35"/>
    </row>
    <row r="372">
      <c r="I372" s="35"/>
    </row>
    <row r="373">
      <c r="I373" s="35"/>
    </row>
    <row r="374">
      <c r="I374" s="35"/>
    </row>
    <row r="375">
      <c r="I375" s="35"/>
    </row>
    <row r="376">
      <c r="I376" s="35"/>
    </row>
    <row r="377">
      <c r="I377" s="35"/>
    </row>
    <row r="378">
      <c r="I378" s="35"/>
    </row>
    <row r="379">
      <c r="I379" s="35"/>
    </row>
    <row r="380">
      <c r="I380" s="35"/>
    </row>
    <row r="381">
      <c r="I381" s="35"/>
    </row>
    <row r="382">
      <c r="I382" s="35"/>
    </row>
    <row r="383">
      <c r="I383" s="35"/>
    </row>
    <row r="384">
      <c r="I384" s="35"/>
    </row>
    <row r="385">
      <c r="I385" s="35"/>
    </row>
    <row r="386">
      <c r="I386" s="35"/>
    </row>
    <row r="387">
      <c r="I387" s="35"/>
    </row>
    <row r="388">
      <c r="I388" s="35"/>
    </row>
    <row r="389">
      <c r="I389" s="35"/>
    </row>
    <row r="390">
      <c r="I390" s="35"/>
    </row>
    <row r="391">
      <c r="I391" s="35"/>
    </row>
    <row r="392">
      <c r="I392" s="35"/>
    </row>
    <row r="393">
      <c r="I393" s="35"/>
    </row>
    <row r="394">
      <c r="I394" s="35"/>
    </row>
    <row r="395">
      <c r="I395" s="35"/>
    </row>
    <row r="396">
      <c r="I396" s="35"/>
    </row>
    <row r="397">
      <c r="I397" s="35"/>
    </row>
    <row r="398">
      <c r="I398" s="35"/>
    </row>
    <row r="399">
      <c r="I399" s="35"/>
    </row>
    <row r="400">
      <c r="I400" s="35"/>
    </row>
    <row r="401">
      <c r="I401" s="35"/>
    </row>
    <row r="402">
      <c r="I402" s="35"/>
    </row>
    <row r="403">
      <c r="I403" s="35"/>
    </row>
    <row r="404">
      <c r="I404" s="35"/>
    </row>
    <row r="405">
      <c r="I405" s="35"/>
    </row>
    <row r="406">
      <c r="I406" s="35"/>
    </row>
    <row r="407">
      <c r="I407" s="35"/>
    </row>
    <row r="408">
      <c r="I408" s="35"/>
    </row>
    <row r="409">
      <c r="I409" s="35"/>
    </row>
    <row r="410">
      <c r="I410" s="35"/>
    </row>
    <row r="411">
      <c r="I411" s="35"/>
    </row>
    <row r="412">
      <c r="I412" s="35"/>
    </row>
    <row r="413">
      <c r="I413" s="35"/>
    </row>
    <row r="414">
      <c r="I414" s="35"/>
    </row>
    <row r="415">
      <c r="I415" s="35"/>
    </row>
    <row r="416">
      <c r="I416" s="35"/>
    </row>
    <row r="417">
      <c r="I417" s="35"/>
    </row>
    <row r="418">
      <c r="I418" s="35"/>
    </row>
    <row r="419">
      <c r="I419" s="35"/>
    </row>
    <row r="420">
      <c r="I420" s="35"/>
    </row>
    <row r="421">
      <c r="I421" s="35"/>
    </row>
    <row r="422">
      <c r="I422" s="35"/>
    </row>
    <row r="423">
      <c r="I423" s="35"/>
    </row>
    <row r="424">
      <c r="I424" s="35"/>
    </row>
    <row r="425">
      <c r="I425" s="35"/>
    </row>
    <row r="426">
      <c r="I426" s="35"/>
    </row>
    <row r="427">
      <c r="I427" s="35"/>
    </row>
    <row r="428">
      <c r="I428" s="35"/>
    </row>
    <row r="429">
      <c r="I429" s="35"/>
    </row>
    <row r="430">
      <c r="I430" s="35"/>
    </row>
    <row r="431">
      <c r="I431" s="35"/>
    </row>
    <row r="432">
      <c r="I432" s="35"/>
    </row>
    <row r="433">
      <c r="I433" s="35"/>
    </row>
    <row r="434">
      <c r="I434" s="35"/>
    </row>
    <row r="435">
      <c r="I435" s="35"/>
    </row>
    <row r="436">
      <c r="I436" s="35"/>
    </row>
    <row r="437">
      <c r="I437" s="35"/>
    </row>
    <row r="438">
      <c r="I438" s="35"/>
    </row>
    <row r="439">
      <c r="I439" s="35"/>
    </row>
    <row r="440">
      <c r="I440" s="35"/>
    </row>
    <row r="441">
      <c r="I441" s="35"/>
    </row>
    <row r="442">
      <c r="I442" s="35"/>
    </row>
    <row r="443">
      <c r="I443" s="35"/>
    </row>
    <row r="444">
      <c r="I444" s="35"/>
    </row>
    <row r="445">
      <c r="I445" s="35"/>
    </row>
    <row r="446">
      <c r="I446" s="35"/>
    </row>
    <row r="447">
      <c r="I447" s="35"/>
    </row>
    <row r="448">
      <c r="I448" s="35"/>
    </row>
    <row r="449">
      <c r="I449" s="35"/>
    </row>
    <row r="450">
      <c r="I450" s="35"/>
    </row>
    <row r="451">
      <c r="I451" s="35"/>
    </row>
    <row r="452">
      <c r="I452" s="35"/>
    </row>
    <row r="453">
      <c r="I453" s="35"/>
    </row>
    <row r="454">
      <c r="I454" s="35"/>
    </row>
    <row r="455">
      <c r="I455" s="35"/>
    </row>
    <row r="456">
      <c r="I456" s="35"/>
    </row>
    <row r="457">
      <c r="I457" s="35"/>
    </row>
    <row r="458">
      <c r="I458" s="35"/>
    </row>
    <row r="459">
      <c r="I459" s="35"/>
    </row>
    <row r="460">
      <c r="I460" s="35"/>
    </row>
    <row r="461">
      <c r="I461" s="35"/>
    </row>
    <row r="462">
      <c r="I462" s="35"/>
    </row>
    <row r="463">
      <c r="I463" s="35"/>
    </row>
    <row r="464">
      <c r="I464" s="35"/>
    </row>
    <row r="465">
      <c r="I465" s="35"/>
    </row>
    <row r="466">
      <c r="I466" s="35"/>
    </row>
    <row r="467">
      <c r="I467" s="35"/>
    </row>
    <row r="468">
      <c r="I468" s="35"/>
    </row>
    <row r="469">
      <c r="I469" s="35"/>
    </row>
    <row r="470">
      <c r="I470" s="35"/>
    </row>
    <row r="471">
      <c r="I471" s="35"/>
    </row>
    <row r="472">
      <c r="I472" s="35"/>
    </row>
    <row r="473">
      <c r="I473" s="35"/>
    </row>
    <row r="474">
      <c r="I474" s="35"/>
    </row>
    <row r="475">
      <c r="I475" s="35"/>
    </row>
    <row r="476">
      <c r="I476" s="35"/>
    </row>
    <row r="477">
      <c r="I477" s="35"/>
    </row>
    <row r="478">
      <c r="I478" s="35"/>
    </row>
    <row r="479">
      <c r="I479" s="35"/>
    </row>
    <row r="480">
      <c r="I480" s="35"/>
    </row>
    <row r="481">
      <c r="I481" s="35"/>
    </row>
    <row r="482">
      <c r="I482" s="35"/>
    </row>
    <row r="483">
      <c r="I483" s="35"/>
    </row>
    <row r="484">
      <c r="I484" s="35"/>
    </row>
    <row r="485">
      <c r="I485" s="35"/>
    </row>
    <row r="486">
      <c r="I486" s="35"/>
    </row>
    <row r="487">
      <c r="I487" s="35"/>
    </row>
    <row r="488">
      <c r="I488" s="35"/>
    </row>
    <row r="489">
      <c r="I489" s="35"/>
    </row>
    <row r="490">
      <c r="I490" s="35"/>
    </row>
    <row r="491">
      <c r="I491" s="35"/>
    </row>
    <row r="492">
      <c r="I492" s="35"/>
    </row>
    <row r="493">
      <c r="I493" s="35"/>
    </row>
    <row r="494">
      <c r="I494" s="35"/>
    </row>
    <row r="495">
      <c r="I495" s="35"/>
    </row>
    <row r="496">
      <c r="I496" s="35"/>
    </row>
    <row r="497">
      <c r="I497" s="35"/>
    </row>
    <row r="498">
      <c r="I498" s="35"/>
    </row>
    <row r="499">
      <c r="I499" s="35"/>
    </row>
    <row r="500">
      <c r="I500" s="35"/>
    </row>
    <row r="501">
      <c r="I501" s="35"/>
    </row>
    <row r="502">
      <c r="I502" s="35"/>
    </row>
    <row r="503">
      <c r="I503" s="35"/>
    </row>
    <row r="504">
      <c r="I504" s="35"/>
    </row>
    <row r="505">
      <c r="I505" s="35"/>
    </row>
    <row r="506">
      <c r="I506" s="35"/>
    </row>
    <row r="507">
      <c r="I507" s="35"/>
    </row>
    <row r="508">
      <c r="I508" s="35"/>
    </row>
    <row r="509">
      <c r="I509" s="35"/>
    </row>
    <row r="510">
      <c r="I510" s="35"/>
    </row>
    <row r="511">
      <c r="I511" s="35"/>
    </row>
    <row r="512">
      <c r="I512" s="35"/>
    </row>
    <row r="513">
      <c r="I513" s="35"/>
    </row>
    <row r="514">
      <c r="I514" s="35"/>
    </row>
    <row r="515">
      <c r="I515" s="35"/>
    </row>
    <row r="516">
      <c r="I516" s="35"/>
    </row>
    <row r="517">
      <c r="I517" s="35"/>
    </row>
    <row r="518">
      <c r="I518" s="35"/>
    </row>
    <row r="519">
      <c r="I519" s="35"/>
    </row>
    <row r="520">
      <c r="I520" s="35"/>
    </row>
    <row r="521">
      <c r="I521" s="35"/>
    </row>
    <row r="522">
      <c r="I522" s="35"/>
    </row>
    <row r="523">
      <c r="I523" s="35"/>
    </row>
    <row r="524">
      <c r="I524" s="35"/>
    </row>
    <row r="525">
      <c r="I525" s="35"/>
    </row>
    <row r="526">
      <c r="I526" s="35"/>
    </row>
    <row r="527">
      <c r="I527" s="35"/>
    </row>
    <row r="528">
      <c r="I528" s="35"/>
    </row>
    <row r="529">
      <c r="I529" s="35"/>
    </row>
    <row r="530">
      <c r="I530" s="35"/>
    </row>
    <row r="531">
      <c r="I531" s="35"/>
    </row>
    <row r="532">
      <c r="I532" s="35"/>
    </row>
    <row r="533">
      <c r="I533" s="35"/>
    </row>
    <row r="534">
      <c r="I534" s="35"/>
    </row>
    <row r="535">
      <c r="I535" s="35"/>
    </row>
    <row r="536">
      <c r="I536" s="35"/>
    </row>
    <row r="537">
      <c r="I537" s="35"/>
    </row>
    <row r="538">
      <c r="I538" s="35"/>
    </row>
    <row r="539">
      <c r="I539" s="35"/>
    </row>
    <row r="540">
      <c r="I540" s="35"/>
    </row>
    <row r="541">
      <c r="I541" s="35"/>
    </row>
    <row r="542">
      <c r="I542" s="35"/>
    </row>
    <row r="543">
      <c r="I543" s="35"/>
    </row>
    <row r="544">
      <c r="I544" s="35"/>
    </row>
    <row r="545">
      <c r="I545" s="35"/>
    </row>
    <row r="546">
      <c r="I546" s="35"/>
    </row>
    <row r="547">
      <c r="I547" s="35"/>
    </row>
    <row r="548">
      <c r="I548" s="35"/>
    </row>
    <row r="549">
      <c r="I549" s="35"/>
    </row>
    <row r="550">
      <c r="I550" s="35"/>
    </row>
    <row r="551">
      <c r="I551" s="35"/>
    </row>
    <row r="552">
      <c r="I552" s="35"/>
    </row>
    <row r="553">
      <c r="I553" s="35"/>
    </row>
    <row r="554">
      <c r="I554" s="35"/>
    </row>
    <row r="555">
      <c r="I555" s="35"/>
    </row>
    <row r="556">
      <c r="I556" s="35"/>
    </row>
    <row r="557">
      <c r="I557" s="35"/>
    </row>
    <row r="558">
      <c r="I558" s="35"/>
    </row>
    <row r="559">
      <c r="I559" s="35"/>
    </row>
    <row r="560">
      <c r="I560" s="35"/>
    </row>
    <row r="561">
      <c r="I561" s="35"/>
    </row>
    <row r="562">
      <c r="I562" s="35"/>
    </row>
    <row r="563">
      <c r="I563" s="35"/>
    </row>
    <row r="564">
      <c r="I564" s="35"/>
    </row>
    <row r="565">
      <c r="I565" s="35"/>
    </row>
    <row r="566">
      <c r="I566" s="35"/>
    </row>
    <row r="567">
      <c r="I567" s="35"/>
    </row>
    <row r="568">
      <c r="I568" s="35"/>
    </row>
    <row r="569">
      <c r="I569" s="35"/>
    </row>
    <row r="570">
      <c r="I570" s="35"/>
    </row>
    <row r="571">
      <c r="I571" s="35"/>
    </row>
    <row r="572">
      <c r="I572" s="35"/>
    </row>
    <row r="573">
      <c r="I573" s="35"/>
    </row>
    <row r="574">
      <c r="I574" s="35"/>
    </row>
    <row r="575">
      <c r="I575" s="35"/>
    </row>
    <row r="576">
      <c r="I576" s="35"/>
    </row>
    <row r="577">
      <c r="I577" s="35"/>
    </row>
    <row r="578">
      <c r="I578" s="35"/>
    </row>
    <row r="579">
      <c r="I579" s="35"/>
    </row>
    <row r="580">
      <c r="I580" s="35"/>
    </row>
    <row r="581">
      <c r="I581" s="35"/>
    </row>
    <row r="582">
      <c r="I582" s="35"/>
    </row>
    <row r="583">
      <c r="I583" s="35"/>
    </row>
    <row r="584">
      <c r="I584" s="35"/>
    </row>
    <row r="585">
      <c r="I585" s="35"/>
    </row>
    <row r="586">
      <c r="I586" s="35"/>
    </row>
    <row r="587">
      <c r="I587" s="35"/>
    </row>
    <row r="588">
      <c r="I588" s="35"/>
    </row>
    <row r="589">
      <c r="I589" s="35"/>
    </row>
    <row r="590">
      <c r="I590" s="35"/>
    </row>
    <row r="591">
      <c r="I591" s="35"/>
    </row>
    <row r="592">
      <c r="I592" s="35"/>
    </row>
    <row r="593">
      <c r="I593" s="35"/>
    </row>
    <row r="594">
      <c r="I594" s="35"/>
    </row>
    <row r="595">
      <c r="I595" s="35"/>
    </row>
    <row r="596">
      <c r="I596" s="35"/>
    </row>
    <row r="597">
      <c r="I597" s="35"/>
    </row>
    <row r="598">
      <c r="I598" s="35"/>
    </row>
    <row r="599">
      <c r="I599" s="35"/>
    </row>
    <row r="600">
      <c r="I600" s="35"/>
    </row>
    <row r="601">
      <c r="I601" s="35"/>
    </row>
    <row r="602">
      <c r="I602" s="35"/>
    </row>
    <row r="603">
      <c r="I603" s="35"/>
    </row>
    <row r="604">
      <c r="I604" s="35"/>
    </row>
    <row r="605">
      <c r="I605" s="35"/>
    </row>
    <row r="606">
      <c r="I606" s="35"/>
    </row>
    <row r="607">
      <c r="I607" s="35"/>
    </row>
    <row r="608">
      <c r="I608" s="35"/>
    </row>
    <row r="609">
      <c r="I609" s="35"/>
    </row>
    <row r="610">
      <c r="I610" s="35"/>
    </row>
    <row r="611">
      <c r="I611" s="35"/>
    </row>
    <row r="612">
      <c r="I612" s="35"/>
    </row>
    <row r="613">
      <c r="I613" s="35"/>
    </row>
    <row r="614">
      <c r="I614" s="35"/>
    </row>
    <row r="615">
      <c r="I615" s="35"/>
    </row>
    <row r="616">
      <c r="I616" s="35"/>
    </row>
    <row r="617">
      <c r="I617" s="35"/>
    </row>
    <row r="618">
      <c r="I618" s="35"/>
    </row>
    <row r="619">
      <c r="I619" s="35"/>
    </row>
    <row r="620">
      <c r="I620" s="35"/>
    </row>
    <row r="621">
      <c r="I621" s="35"/>
    </row>
    <row r="622">
      <c r="I622" s="35"/>
    </row>
    <row r="623">
      <c r="I623" s="35"/>
    </row>
    <row r="624">
      <c r="I624" s="35"/>
    </row>
    <row r="625">
      <c r="I625" s="35"/>
    </row>
    <row r="626">
      <c r="I626" s="35"/>
    </row>
    <row r="627">
      <c r="I627" s="35"/>
    </row>
    <row r="628">
      <c r="I628" s="35"/>
    </row>
    <row r="629">
      <c r="I629" s="35"/>
    </row>
    <row r="630">
      <c r="I630" s="35"/>
    </row>
    <row r="631">
      <c r="I631" s="35"/>
    </row>
    <row r="632">
      <c r="I632" s="35"/>
    </row>
    <row r="633">
      <c r="I633" s="35"/>
    </row>
    <row r="634">
      <c r="I634" s="35"/>
    </row>
    <row r="635">
      <c r="I635" s="35"/>
    </row>
    <row r="636">
      <c r="I636" s="35"/>
    </row>
    <row r="637">
      <c r="I637" s="35"/>
    </row>
    <row r="638">
      <c r="I638" s="35"/>
    </row>
    <row r="639">
      <c r="I639" s="35"/>
    </row>
    <row r="640">
      <c r="I640" s="35"/>
    </row>
    <row r="641">
      <c r="I641" s="35"/>
    </row>
    <row r="642">
      <c r="I642" s="35"/>
    </row>
    <row r="643">
      <c r="I643" s="35"/>
    </row>
    <row r="644">
      <c r="I644" s="35"/>
    </row>
    <row r="645">
      <c r="I645" s="35"/>
    </row>
    <row r="646">
      <c r="I646" s="35"/>
    </row>
    <row r="647">
      <c r="I647" s="35"/>
    </row>
    <row r="648">
      <c r="I648" s="35"/>
    </row>
    <row r="649">
      <c r="I649" s="35"/>
    </row>
    <row r="650">
      <c r="I650" s="35"/>
    </row>
    <row r="651">
      <c r="I651" s="35"/>
    </row>
    <row r="652">
      <c r="I652" s="35"/>
    </row>
    <row r="653">
      <c r="I653" s="35"/>
    </row>
    <row r="654">
      <c r="I654" s="35"/>
    </row>
    <row r="655">
      <c r="I655" s="35"/>
    </row>
    <row r="656">
      <c r="I656" s="35"/>
    </row>
    <row r="657">
      <c r="I657" s="35"/>
    </row>
    <row r="658">
      <c r="I658" s="35"/>
    </row>
    <row r="659">
      <c r="I659" s="35"/>
    </row>
    <row r="660">
      <c r="I660" s="35"/>
    </row>
    <row r="661">
      <c r="I661" s="35"/>
    </row>
    <row r="662">
      <c r="I662" s="35"/>
    </row>
    <row r="663">
      <c r="I663" s="35"/>
    </row>
    <row r="664">
      <c r="I664" s="35"/>
    </row>
    <row r="665">
      <c r="I665" s="35"/>
    </row>
    <row r="666">
      <c r="I666" s="35"/>
    </row>
    <row r="667">
      <c r="I667" s="35"/>
    </row>
    <row r="668">
      <c r="I668" s="35"/>
    </row>
    <row r="669">
      <c r="I669" s="35"/>
    </row>
    <row r="670">
      <c r="I670" s="35"/>
    </row>
    <row r="671">
      <c r="I671" s="35"/>
    </row>
    <row r="672">
      <c r="I672" s="35"/>
    </row>
    <row r="673">
      <c r="I673" s="35"/>
    </row>
    <row r="674">
      <c r="I674" s="35"/>
    </row>
    <row r="675">
      <c r="I675" s="35"/>
    </row>
    <row r="676">
      <c r="I676" s="35"/>
    </row>
    <row r="677">
      <c r="I677" s="35"/>
    </row>
    <row r="678">
      <c r="I678" s="35"/>
    </row>
    <row r="679">
      <c r="I679" s="35"/>
    </row>
    <row r="680">
      <c r="I680" s="35"/>
    </row>
    <row r="681">
      <c r="I681" s="35"/>
    </row>
    <row r="682">
      <c r="I682" s="35"/>
    </row>
    <row r="683">
      <c r="I683" s="35"/>
    </row>
    <row r="684">
      <c r="I684" s="35"/>
    </row>
    <row r="685">
      <c r="I685" s="35"/>
    </row>
    <row r="686">
      <c r="I686" s="35"/>
    </row>
    <row r="687">
      <c r="I687" s="35"/>
    </row>
    <row r="688">
      <c r="I688" s="35"/>
    </row>
    <row r="689">
      <c r="I689" s="35"/>
    </row>
    <row r="690">
      <c r="I690" s="35"/>
    </row>
    <row r="691">
      <c r="I691" s="35"/>
    </row>
    <row r="692">
      <c r="I692" s="35"/>
    </row>
    <row r="693">
      <c r="I693" s="35"/>
    </row>
    <row r="694">
      <c r="I694" s="35"/>
    </row>
    <row r="695">
      <c r="I695" s="35"/>
    </row>
    <row r="696">
      <c r="I696" s="35"/>
    </row>
    <row r="697">
      <c r="I697" s="35"/>
    </row>
    <row r="698">
      <c r="I698" s="35"/>
    </row>
    <row r="699">
      <c r="I699" s="35"/>
    </row>
    <row r="700">
      <c r="I700" s="35"/>
    </row>
    <row r="701">
      <c r="I701" s="35"/>
    </row>
    <row r="702">
      <c r="I702" s="35"/>
    </row>
    <row r="703">
      <c r="I703" s="35"/>
    </row>
    <row r="704">
      <c r="I704" s="35"/>
    </row>
    <row r="705">
      <c r="I705" s="35"/>
    </row>
    <row r="706">
      <c r="I706" s="35"/>
    </row>
    <row r="707">
      <c r="I707" s="35"/>
    </row>
    <row r="708">
      <c r="I708" s="35"/>
    </row>
    <row r="709">
      <c r="I709" s="35"/>
    </row>
    <row r="710">
      <c r="I710" s="35"/>
    </row>
    <row r="711">
      <c r="I711" s="35"/>
    </row>
    <row r="712">
      <c r="I712" s="35"/>
    </row>
    <row r="713">
      <c r="I713" s="35"/>
    </row>
    <row r="714">
      <c r="I714" s="35"/>
    </row>
    <row r="715">
      <c r="I715" s="35"/>
    </row>
    <row r="716">
      <c r="I716" s="35"/>
    </row>
    <row r="717">
      <c r="I717" s="35"/>
    </row>
    <row r="718">
      <c r="I718" s="35"/>
    </row>
    <row r="719">
      <c r="I719" s="35"/>
    </row>
    <row r="720">
      <c r="I720" s="35"/>
    </row>
    <row r="721">
      <c r="I721" s="35"/>
    </row>
    <row r="722">
      <c r="I722" s="35"/>
    </row>
    <row r="723">
      <c r="I723" s="35"/>
    </row>
    <row r="724">
      <c r="I724" s="35"/>
    </row>
    <row r="725">
      <c r="I725" s="35"/>
    </row>
    <row r="726">
      <c r="I726" s="35"/>
    </row>
    <row r="727">
      <c r="I727" s="35"/>
    </row>
    <row r="728">
      <c r="I728" s="35"/>
    </row>
    <row r="729">
      <c r="I729" s="35"/>
    </row>
    <row r="730">
      <c r="I730" s="35"/>
    </row>
    <row r="731">
      <c r="I731" s="35"/>
    </row>
    <row r="732">
      <c r="I732" s="35"/>
    </row>
    <row r="733">
      <c r="I733" s="35"/>
    </row>
    <row r="734">
      <c r="I734" s="35"/>
    </row>
    <row r="735">
      <c r="I735" s="35"/>
    </row>
    <row r="736">
      <c r="I736" s="35"/>
    </row>
    <row r="737">
      <c r="I737" s="35"/>
    </row>
    <row r="738">
      <c r="I738" s="35"/>
    </row>
    <row r="739">
      <c r="I739" s="35"/>
    </row>
    <row r="740">
      <c r="I740" s="35"/>
    </row>
    <row r="741">
      <c r="I741" s="35"/>
    </row>
    <row r="742">
      <c r="I742" s="35"/>
    </row>
    <row r="743">
      <c r="I743" s="35"/>
    </row>
    <row r="744">
      <c r="I744" s="35"/>
    </row>
    <row r="745">
      <c r="I745" s="35"/>
    </row>
    <row r="746">
      <c r="I746" s="35"/>
    </row>
    <row r="747">
      <c r="I747" s="35"/>
    </row>
    <row r="748">
      <c r="I748" s="35"/>
    </row>
    <row r="749">
      <c r="I749" s="35"/>
    </row>
    <row r="750">
      <c r="I750" s="35"/>
    </row>
    <row r="751">
      <c r="I751" s="35"/>
    </row>
    <row r="752">
      <c r="I752" s="35"/>
    </row>
    <row r="753">
      <c r="I753" s="35"/>
    </row>
    <row r="754">
      <c r="I754" s="35"/>
    </row>
    <row r="755">
      <c r="I755" s="35"/>
    </row>
    <row r="756">
      <c r="I756" s="35"/>
    </row>
    <row r="757">
      <c r="I757" s="35"/>
    </row>
    <row r="758">
      <c r="I758" s="35"/>
    </row>
    <row r="759">
      <c r="I759" s="35"/>
    </row>
    <row r="760">
      <c r="I760" s="35"/>
    </row>
    <row r="761">
      <c r="I761" s="35"/>
    </row>
    <row r="762">
      <c r="I762" s="35"/>
    </row>
    <row r="763">
      <c r="I763" s="35"/>
    </row>
    <row r="764">
      <c r="I764" s="35"/>
    </row>
    <row r="765">
      <c r="I765" s="35"/>
    </row>
    <row r="766">
      <c r="I766" s="35"/>
    </row>
    <row r="767">
      <c r="I767" s="35"/>
    </row>
    <row r="768">
      <c r="I768" s="35"/>
    </row>
    <row r="769">
      <c r="I769" s="35"/>
    </row>
    <row r="770">
      <c r="I770" s="35"/>
    </row>
    <row r="771">
      <c r="I771" s="35"/>
    </row>
    <row r="772">
      <c r="I772" s="35"/>
    </row>
    <row r="773">
      <c r="I773" s="35"/>
    </row>
    <row r="774">
      <c r="I774" s="35"/>
    </row>
    <row r="775">
      <c r="I775" s="35"/>
    </row>
    <row r="776">
      <c r="I776" s="35"/>
    </row>
    <row r="777">
      <c r="I777" s="35"/>
    </row>
    <row r="778">
      <c r="I778" s="35"/>
    </row>
    <row r="779">
      <c r="I779" s="35"/>
    </row>
    <row r="780">
      <c r="I780" s="35"/>
    </row>
    <row r="781">
      <c r="I781" s="35"/>
    </row>
    <row r="782">
      <c r="I782" s="35"/>
    </row>
    <row r="783">
      <c r="I783" s="35"/>
    </row>
    <row r="784">
      <c r="I784" s="35"/>
    </row>
    <row r="785">
      <c r="I785" s="35"/>
    </row>
    <row r="786">
      <c r="I786" s="35"/>
    </row>
    <row r="787">
      <c r="I787" s="35"/>
    </row>
    <row r="788">
      <c r="I788" s="35"/>
    </row>
    <row r="789">
      <c r="I789" s="35"/>
    </row>
    <row r="790">
      <c r="I790" s="35"/>
    </row>
    <row r="791">
      <c r="I791" s="35"/>
    </row>
    <row r="792">
      <c r="I792" s="35"/>
    </row>
    <row r="793">
      <c r="I793" s="35"/>
    </row>
    <row r="794">
      <c r="I794" s="35"/>
    </row>
    <row r="795">
      <c r="I795" s="35"/>
    </row>
    <row r="796">
      <c r="I796" s="35"/>
    </row>
    <row r="797">
      <c r="I797" s="35"/>
    </row>
    <row r="798">
      <c r="I798" s="35"/>
    </row>
    <row r="799">
      <c r="I799" s="35"/>
    </row>
    <row r="800">
      <c r="I800" s="35"/>
    </row>
    <row r="801">
      <c r="I801" s="35"/>
    </row>
    <row r="802">
      <c r="I802" s="35"/>
    </row>
    <row r="803">
      <c r="I803" s="35"/>
    </row>
    <row r="804">
      <c r="I804" s="35"/>
    </row>
    <row r="805">
      <c r="I805" s="35"/>
    </row>
    <row r="806">
      <c r="I806" s="35"/>
    </row>
    <row r="807">
      <c r="I807" s="35"/>
    </row>
    <row r="808">
      <c r="I808" s="35"/>
    </row>
    <row r="809">
      <c r="I809" s="35"/>
    </row>
    <row r="810">
      <c r="I810" s="35"/>
    </row>
    <row r="811">
      <c r="I811" s="35"/>
    </row>
    <row r="812">
      <c r="I812" s="35"/>
    </row>
    <row r="813">
      <c r="I813" s="35"/>
    </row>
    <row r="814">
      <c r="I814" s="35"/>
    </row>
    <row r="815">
      <c r="I815" s="35"/>
    </row>
    <row r="816">
      <c r="I816" s="35"/>
    </row>
    <row r="817">
      <c r="I817" s="35"/>
    </row>
    <row r="818">
      <c r="I818" s="35"/>
    </row>
    <row r="819">
      <c r="I819" s="35"/>
    </row>
    <row r="820">
      <c r="I820" s="35"/>
    </row>
    <row r="821">
      <c r="I821" s="35"/>
    </row>
    <row r="822">
      <c r="I822" s="35"/>
    </row>
    <row r="823">
      <c r="I823" s="35"/>
    </row>
    <row r="824">
      <c r="I824" s="35"/>
    </row>
    <row r="825">
      <c r="I825" s="35"/>
    </row>
    <row r="826">
      <c r="I826" s="35"/>
    </row>
    <row r="827">
      <c r="I827" s="35"/>
    </row>
    <row r="828">
      <c r="I828" s="35"/>
    </row>
    <row r="829">
      <c r="I829" s="35"/>
    </row>
    <row r="830">
      <c r="I830" s="35"/>
    </row>
    <row r="831">
      <c r="I831" s="35"/>
    </row>
    <row r="832">
      <c r="I832" s="35"/>
    </row>
    <row r="833">
      <c r="I833" s="35"/>
    </row>
    <row r="834">
      <c r="I834" s="35"/>
    </row>
    <row r="835">
      <c r="I835" s="35"/>
    </row>
    <row r="836">
      <c r="I836" s="35"/>
    </row>
    <row r="837">
      <c r="I837" s="35"/>
    </row>
    <row r="838">
      <c r="I838" s="35"/>
    </row>
    <row r="839">
      <c r="I839" s="35"/>
    </row>
    <row r="840">
      <c r="I840" s="35"/>
    </row>
    <row r="841">
      <c r="I841" s="35"/>
    </row>
    <row r="842">
      <c r="I842" s="35"/>
    </row>
    <row r="843">
      <c r="I843" s="35"/>
    </row>
    <row r="844">
      <c r="I844" s="35"/>
    </row>
    <row r="845">
      <c r="I845" s="35"/>
    </row>
    <row r="846">
      <c r="I846" s="35"/>
    </row>
    <row r="847">
      <c r="I847" s="35"/>
    </row>
    <row r="848">
      <c r="I848" s="35"/>
    </row>
    <row r="849">
      <c r="I849" s="35"/>
    </row>
    <row r="850">
      <c r="I850" s="35"/>
    </row>
    <row r="851">
      <c r="I851" s="35"/>
    </row>
    <row r="852">
      <c r="I852" s="35"/>
    </row>
    <row r="853">
      <c r="I853" s="35"/>
    </row>
    <row r="854">
      <c r="I854" s="35"/>
    </row>
    <row r="855">
      <c r="I855" s="35"/>
    </row>
    <row r="856">
      <c r="I856" s="35"/>
    </row>
    <row r="857">
      <c r="I857" s="35"/>
    </row>
    <row r="858">
      <c r="I858" s="35"/>
    </row>
    <row r="859">
      <c r="I859" s="35"/>
    </row>
    <row r="860">
      <c r="I860" s="35"/>
    </row>
    <row r="861">
      <c r="I861" s="35"/>
    </row>
    <row r="862">
      <c r="I862" s="35"/>
    </row>
    <row r="863">
      <c r="I863" s="35"/>
    </row>
    <row r="864">
      <c r="I864" s="35"/>
    </row>
    <row r="865">
      <c r="I865" s="35"/>
    </row>
    <row r="866">
      <c r="I866" s="35"/>
    </row>
    <row r="867">
      <c r="I867" s="35"/>
    </row>
    <row r="868">
      <c r="I868" s="35"/>
    </row>
    <row r="869">
      <c r="I869" s="35"/>
    </row>
    <row r="870">
      <c r="I870" s="35"/>
    </row>
    <row r="871">
      <c r="I871" s="35"/>
    </row>
    <row r="872">
      <c r="I872" s="35"/>
    </row>
    <row r="873">
      <c r="I873" s="35"/>
    </row>
    <row r="874">
      <c r="I874" s="35"/>
    </row>
    <row r="875">
      <c r="I875" s="35"/>
    </row>
    <row r="876">
      <c r="I876" s="35"/>
    </row>
    <row r="877">
      <c r="I877" s="35"/>
    </row>
    <row r="878">
      <c r="I878" s="35"/>
    </row>
    <row r="879">
      <c r="I879" s="35"/>
    </row>
    <row r="880">
      <c r="I880" s="35"/>
    </row>
    <row r="881">
      <c r="I881" s="35"/>
    </row>
    <row r="882">
      <c r="I882" s="35"/>
    </row>
    <row r="883">
      <c r="I883" s="35"/>
    </row>
    <row r="884">
      <c r="I884" s="35"/>
    </row>
    <row r="885">
      <c r="I885" s="35"/>
    </row>
    <row r="886">
      <c r="I886" s="35"/>
    </row>
    <row r="887">
      <c r="I887" s="35"/>
    </row>
    <row r="888">
      <c r="I888" s="35"/>
    </row>
    <row r="889">
      <c r="I889" s="35"/>
    </row>
    <row r="890">
      <c r="I890" s="35"/>
    </row>
    <row r="891">
      <c r="I891" s="35"/>
    </row>
    <row r="892">
      <c r="I892" s="35"/>
    </row>
    <row r="893">
      <c r="I893" s="35"/>
    </row>
    <row r="894">
      <c r="I894" s="35"/>
    </row>
    <row r="895">
      <c r="I895" s="35"/>
    </row>
    <row r="896">
      <c r="I896" s="35"/>
    </row>
    <row r="897">
      <c r="I897" s="35"/>
    </row>
    <row r="898">
      <c r="I898" s="35"/>
    </row>
    <row r="899">
      <c r="I899" s="35"/>
    </row>
    <row r="900">
      <c r="I900" s="35"/>
    </row>
    <row r="901">
      <c r="I901" s="35"/>
    </row>
    <row r="902">
      <c r="I902" s="35"/>
    </row>
    <row r="903">
      <c r="I903" s="35"/>
    </row>
    <row r="904">
      <c r="I904" s="35"/>
    </row>
    <row r="905">
      <c r="I905" s="35"/>
    </row>
    <row r="906">
      <c r="I906" s="35"/>
    </row>
    <row r="907">
      <c r="I907" s="35"/>
    </row>
    <row r="908">
      <c r="I908" s="35"/>
    </row>
    <row r="909">
      <c r="I909" s="35"/>
    </row>
    <row r="910">
      <c r="I910" s="35"/>
    </row>
    <row r="911">
      <c r="I911" s="35"/>
    </row>
    <row r="912">
      <c r="I912" s="35"/>
    </row>
    <row r="913">
      <c r="I913" s="35"/>
    </row>
    <row r="914">
      <c r="I914" s="35"/>
    </row>
    <row r="915">
      <c r="I915" s="35"/>
    </row>
    <row r="916">
      <c r="I916" s="35"/>
    </row>
    <row r="917">
      <c r="I917" s="35"/>
    </row>
    <row r="918">
      <c r="I918" s="35"/>
    </row>
    <row r="919">
      <c r="I919" s="35"/>
    </row>
    <row r="920">
      <c r="I920" s="35"/>
    </row>
    <row r="921">
      <c r="I921" s="35"/>
    </row>
    <row r="922">
      <c r="I922" s="35"/>
    </row>
    <row r="923">
      <c r="I923" s="35"/>
    </row>
    <row r="924">
      <c r="I924" s="35"/>
    </row>
    <row r="925">
      <c r="I925" s="35"/>
    </row>
    <row r="926">
      <c r="I926" s="35"/>
    </row>
    <row r="927">
      <c r="I927" s="35"/>
    </row>
    <row r="928">
      <c r="I928" s="35"/>
    </row>
    <row r="929">
      <c r="I929" s="35"/>
    </row>
    <row r="930">
      <c r="I930" s="35"/>
    </row>
    <row r="931">
      <c r="I931" s="35"/>
    </row>
    <row r="932">
      <c r="I932" s="35"/>
    </row>
    <row r="933">
      <c r="I933" s="35"/>
    </row>
    <row r="934">
      <c r="I934" s="35"/>
    </row>
    <row r="935">
      <c r="I935" s="35"/>
    </row>
    <row r="936">
      <c r="I936" s="35"/>
    </row>
    <row r="937">
      <c r="I937" s="35"/>
    </row>
    <row r="938">
      <c r="I938" s="35"/>
    </row>
    <row r="939">
      <c r="I939" s="35"/>
    </row>
    <row r="940">
      <c r="I940" s="35"/>
    </row>
    <row r="941">
      <c r="I941" s="35"/>
    </row>
    <row r="942">
      <c r="I942" s="35"/>
    </row>
    <row r="943">
      <c r="I943" s="35"/>
    </row>
    <row r="944">
      <c r="I944" s="35"/>
    </row>
    <row r="945">
      <c r="I945" s="35"/>
    </row>
    <row r="946">
      <c r="I946" s="35"/>
    </row>
    <row r="947">
      <c r="I947" s="35"/>
    </row>
    <row r="948">
      <c r="I948" s="35"/>
    </row>
    <row r="949">
      <c r="I949" s="35"/>
    </row>
    <row r="950">
      <c r="I950" s="35"/>
    </row>
    <row r="951">
      <c r="I951" s="35"/>
    </row>
    <row r="952">
      <c r="I952" s="35"/>
    </row>
    <row r="953">
      <c r="I953" s="35"/>
    </row>
    <row r="954">
      <c r="I954" s="35"/>
    </row>
    <row r="955">
      <c r="I955" s="35"/>
    </row>
    <row r="956">
      <c r="I956" s="35"/>
    </row>
    <row r="957">
      <c r="I957" s="35"/>
    </row>
    <row r="958">
      <c r="I958" s="35"/>
    </row>
    <row r="959">
      <c r="I959" s="35"/>
    </row>
    <row r="960">
      <c r="I960" s="35"/>
    </row>
    <row r="961">
      <c r="I961" s="35"/>
    </row>
    <row r="962">
      <c r="I962" s="35"/>
    </row>
    <row r="963">
      <c r="I963" s="35"/>
    </row>
    <row r="964">
      <c r="I964" s="35"/>
    </row>
    <row r="965">
      <c r="I965" s="35"/>
    </row>
    <row r="966">
      <c r="I966" s="35"/>
    </row>
    <row r="967">
      <c r="I967" s="35"/>
    </row>
    <row r="968">
      <c r="I968" s="35"/>
    </row>
    <row r="969">
      <c r="I969" s="35"/>
    </row>
    <row r="970">
      <c r="I970" s="35"/>
    </row>
    <row r="971">
      <c r="I971" s="35"/>
    </row>
    <row r="972">
      <c r="I972" s="35"/>
    </row>
    <row r="973">
      <c r="I973" s="35"/>
    </row>
    <row r="974">
      <c r="I974" s="35"/>
    </row>
    <row r="975">
      <c r="I975" s="35"/>
    </row>
    <row r="976">
      <c r="I976" s="35"/>
    </row>
    <row r="977">
      <c r="I977" s="35"/>
    </row>
    <row r="978">
      <c r="I978" s="35"/>
    </row>
    <row r="979">
      <c r="I979" s="35"/>
    </row>
    <row r="980">
      <c r="I980" s="35"/>
    </row>
    <row r="981">
      <c r="I981" s="35"/>
    </row>
    <row r="982">
      <c r="I982" s="35"/>
    </row>
    <row r="983">
      <c r="I983" s="35"/>
    </row>
    <row r="984">
      <c r="I984" s="35"/>
    </row>
    <row r="985">
      <c r="I985" s="35"/>
    </row>
    <row r="986">
      <c r="I986" s="35"/>
    </row>
    <row r="987">
      <c r="I987" s="35"/>
    </row>
    <row r="988">
      <c r="I988" s="35"/>
    </row>
    <row r="989">
      <c r="I989" s="35"/>
    </row>
    <row r="990">
      <c r="I990" s="35"/>
    </row>
    <row r="991">
      <c r="I991" s="35"/>
    </row>
    <row r="992">
      <c r="I992" s="35"/>
    </row>
    <row r="993">
      <c r="I993" s="35"/>
    </row>
    <row r="994">
      <c r="I994" s="35"/>
    </row>
    <row r="995">
      <c r="I995" s="35"/>
    </row>
    <row r="996">
      <c r="I996" s="35"/>
    </row>
    <row r="997">
      <c r="I997" s="35"/>
    </row>
    <row r="998">
      <c r="I998" s="35"/>
    </row>
    <row r="999">
      <c r="I999" s="35"/>
    </row>
    <row r="1000">
      <c r="I1000" s="35"/>
    </row>
    <row r="1001">
      <c r="I1001" s="35"/>
    </row>
    <row r="1002">
      <c r="I1002" s="35"/>
    </row>
    <row r="1003">
      <c r="I1003" s="35"/>
    </row>
    <row r="1004">
      <c r="I1004" s="35"/>
    </row>
    <row r="1005">
      <c r="I1005" s="35"/>
    </row>
    <row r="1006">
      <c r="I1006" s="35"/>
    </row>
  </sheetData>
  <autoFilter ref="$A$4:$AI$89"/>
  <mergeCells count="32">
    <mergeCell ref="F1:AH1"/>
    <mergeCell ref="F2:AH2"/>
    <mergeCell ref="A3:B3"/>
    <mergeCell ref="T5:U5"/>
    <mergeCell ref="V5:W5"/>
    <mergeCell ref="X5:Y5"/>
    <mergeCell ref="Z5:AA5"/>
    <mergeCell ref="AI5:AI6"/>
    <mergeCell ref="AK8:AK15"/>
    <mergeCell ref="AK17:AK20"/>
    <mergeCell ref="AH5:AH6"/>
    <mergeCell ref="AK7:AN7"/>
    <mergeCell ref="AO7:AP7"/>
    <mergeCell ref="AQ7:AR7"/>
    <mergeCell ref="AS7:AT7"/>
    <mergeCell ref="AU7:AV7"/>
    <mergeCell ref="AW7:AX7"/>
    <mergeCell ref="AL15:AN15"/>
    <mergeCell ref="AK16:AX16"/>
    <mergeCell ref="AM17:AN17"/>
    <mergeCell ref="AM18:AN18"/>
    <mergeCell ref="AM19:AN19"/>
    <mergeCell ref="AL20:AN20"/>
    <mergeCell ref="AK82:AN82"/>
    <mergeCell ref="AK86:AN86"/>
    <mergeCell ref="AM8:AN8"/>
    <mergeCell ref="AM9:AN9"/>
    <mergeCell ref="AM10:AN10"/>
    <mergeCell ref="AM11:AN11"/>
    <mergeCell ref="AM12:AN12"/>
    <mergeCell ref="AM13:AN13"/>
    <mergeCell ref="AM14:AN14"/>
  </mergeCells>
  <conditionalFormatting sqref="AA3:AE4 AA6:AE6 AA94:AE1006">
    <cfRule type="timePeriod" dxfId="3" priority="1" timePeriod="last7Days"/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4" max="4" width="32.38"/>
    <col customWidth="1" min="6" max="6" width="6.13"/>
    <col customWidth="1" min="9" max="9" width="25.25"/>
  </cols>
  <sheetData>
    <row r="1">
      <c r="A1" s="2" t="s">
        <v>0</v>
      </c>
      <c r="F1" s="2" t="s">
        <v>0</v>
      </c>
    </row>
    <row r="3">
      <c r="A3" s="5" t="s">
        <v>2</v>
      </c>
      <c r="B3" s="7" t="s">
        <v>3</v>
      </c>
      <c r="C3" s="7"/>
      <c r="D3" s="7" t="s">
        <v>4</v>
      </c>
      <c r="F3" s="5" t="s">
        <v>2</v>
      </c>
      <c r="G3" s="7" t="s">
        <v>3</v>
      </c>
      <c r="H3" s="7" t="s">
        <v>5</v>
      </c>
      <c r="I3" s="7" t="s">
        <v>4</v>
      </c>
    </row>
    <row r="4">
      <c r="A4" s="9">
        <v>1.0</v>
      </c>
      <c r="B4" s="10" t="s">
        <v>6</v>
      </c>
      <c r="C4" s="11">
        <v>24.0</v>
      </c>
      <c r="D4" s="14" t="s">
        <v>8</v>
      </c>
      <c r="F4" s="15">
        <v>1.0</v>
      </c>
      <c r="G4" s="16" t="s">
        <v>9</v>
      </c>
      <c r="H4" s="16">
        <v>5.0</v>
      </c>
      <c r="I4" s="16" t="s">
        <v>11</v>
      </c>
    </row>
    <row r="5">
      <c r="A5" s="9">
        <v>2.0</v>
      </c>
      <c r="B5" s="10" t="s">
        <v>12</v>
      </c>
      <c r="C5" s="11">
        <v>24.0</v>
      </c>
      <c r="D5" s="14" t="s">
        <v>8</v>
      </c>
      <c r="F5" s="15">
        <v>2.0</v>
      </c>
      <c r="G5" s="16" t="s">
        <v>13</v>
      </c>
      <c r="H5" s="16">
        <v>5.0</v>
      </c>
      <c r="I5" s="16" t="s">
        <v>11</v>
      </c>
    </row>
    <row r="6">
      <c r="A6" s="9">
        <v>3.0</v>
      </c>
      <c r="B6" s="10" t="s">
        <v>14</v>
      </c>
      <c r="C6" s="11">
        <v>24.0</v>
      </c>
      <c r="D6" s="14" t="s">
        <v>8</v>
      </c>
      <c r="F6" s="15">
        <v>3.0</v>
      </c>
      <c r="G6" s="16" t="s">
        <v>15</v>
      </c>
      <c r="H6" s="16">
        <v>8.0</v>
      </c>
      <c r="I6" s="16" t="s">
        <v>16</v>
      </c>
    </row>
    <row r="7">
      <c r="A7" s="9">
        <v>4.0</v>
      </c>
      <c r="B7" s="10" t="s">
        <v>17</v>
      </c>
      <c r="C7" s="11">
        <v>24.0</v>
      </c>
      <c r="D7" s="14" t="s">
        <v>8</v>
      </c>
      <c r="F7" s="15">
        <v>4.0</v>
      </c>
      <c r="G7" s="16" t="s">
        <v>18</v>
      </c>
      <c r="H7" s="16">
        <v>5.0</v>
      </c>
      <c r="I7" s="16" t="s">
        <v>19</v>
      </c>
    </row>
    <row r="8">
      <c r="A8" s="9">
        <v>5.0</v>
      </c>
      <c r="B8" s="10" t="s">
        <v>20</v>
      </c>
      <c r="C8" s="11">
        <v>24.0</v>
      </c>
      <c r="D8" s="14" t="s">
        <v>8</v>
      </c>
      <c r="F8" s="15">
        <v>5.0</v>
      </c>
      <c r="G8" s="15" t="s">
        <v>21</v>
      </c>
      <c r="H8" s="16">
        <v>5.0</v>
      </c>
      <c r="I8" s="16" t="s">
        <v>19</v>
      </c>
    </row>
    <row r="9">
      <c r="A9" s="9">
        <v>6.0</v>
      </c>
      <c r="B9" s="10" t="s">
        <v>22</v>
      </c>
      <c r="C9" s="11">
        <v>24.0</v>
      </c>
      <c r="D9" s="14" t="s">
        <v>8</v>
      </c>
      <c r="F9" s="15">
        <v>6.0</v>
      </c>
      <c r="G9" s="15" t="s">
        <v>23</v>
      </c>
      <c r="H9" s="16">
        <v>5.0</v>
      </c>
      <c r="I9" s="16" t="s">
        <v>19</v>
      </c>
    </row>
    <row r="10">
      <c r="A10" s="9">
        <v>7.0</v>
      </c>
      <c r="B10" s="10" t="s">
        <v>24</v>
      </c>
      <c r="C10" s="19">
        <v>16.0</v>
      </c>
      <c r="D10" s="14" t="s">
        <v>8</v>
      </c>
      <c r="F10" s="15">
        <v>7.0</v>
      </c>
      <c r="G10" s="16" t="s">
        <v>25</v>
      </c>
      <c r="H10" s="16">
        <v>5.0</v>
      </c>
      <c r="I10" s="16" t="s">
        <v>19</v>
      </c>
    </row>
    <row r="11">
      <c r="A11" s="9">
        <v>8.0</v>
      </c>
      <c r="B11" s="10" t="s">
        <v>26</v>
      </c>
      <c r="C11" s="22">
        <v>16.0</v>
      </c>
      <c r="D11" s="24" t="s">
        <v>8</v>
      </c>
      <c r="F11" s="15">
        <v>8.0</v>
      </c>
      <c r="G11" s="16" t="s">
        <v>27</v>
      </c>
      <c r="H11" s="16">
        <v>5.0</v>
      </c>
      <c r="I11" s="16" t="s">
        <v>19</v>
      </c>
    </row>
    <row r="12">
      <c r="A12" s="9">
        <v>9.0</v>
      </c>
      <c r="B12" s="10" t="s">
        <v>28</v>
      </c>
      <c r="C12" s="22">
        <v>16.0</v>
      </c>
      <c r="D12" s="24" t="s">
        <v>8</v>
      </c>
      <c r="F12" s="15">
        <v>9.0</v>
      </c>
      <c r="G12" s="16" t="s">
        <v>29</v>
      </c>
      <c r="H12" s="16">
        <v>5.0</v>
      </c>
      <c r="I12" s="16" t="s">
        <v>30</v>
      </c>
    </row>
    <row r="13">
      <c r="A13" s="9">
        <v>10.0</v>
      </c>
      <c r="B13" s="10" t="s">
        <v>31</v>
      </c>
      <c r="C13" s="11">
        <v>24.0</v>
      </c>
      <c r="D13" s="14" t="s">
        <v>8</v>
      </c>
      <c r="F13" s="15">
        <v>10.0</v>
      </c>
      <c r="G13" s="16" t="s">
        <v>32</v>
      </c>
      <c r="H13" s="16">
        <v>5.0</v>
      </c>
      <c r="I13" s="16" t="s">
        <v>30</v>
      </c>
    </row>
    <row r="14">
      <c r="A14" s="9">
        <v>11.0</v>
      </c>
      <c r="B14" s="10" t="s">
        <v>33</v>
      </c>
      <c r="C14" s="11">
        <v>24.0</v>
      </c>
      <c r="D14" s="14" t="s">
        <v>8</v>
      </c>
      <c r="F14" s="15">
        <v>11.0</v>
      </c>
      <c r="G14" s="16" t="s">
        <v>34</v>
      </c>
      <c r="H14" s="16">
        <v>5.0</v>
      </c>
      <c r="I14" s="16" t="s">
        <v>30</v>
      </c>
    </row>
    <row r="15">
      <c r="A15" s="9">
        <v>12.0</v>
      </c>
      <c r="B15" s="10" t="s">
        <v>35</v>
      </c>
      <c r="C15" s="11">
        <v>24.0</v>
      </c>
      <c r="D15" s="26" t="s">
        <v>36</v>
      </c>
      <c r="F15" s="15">
        <v>12.0</v>
      </c>
      <c r="G15" s="16" t="s">
        <v>37</v>
      </c>
      <c r="H15" s="16">
        <v>5.0</v>
      </c>
      <c r="I15" s="16" t="s">
        <v>30</v>
      </c>
    </row>
    <row r="16">
      <c r="A16" s="9">
        <v>13.0</v>
      </c>
      <c r="B16" s="10" t="s">
        <v>38</v>
      </c>
      <c r="C16" s="9">
        <v>24.0</v>
      </c>
      <c r="D16" s="29" t="s">
        <v>39</v>
      </c>
      <c r="F16" s="15">
        <v>13.0</v>
      </c>
      <c r="G16" s="16" t="s">
        <v>40</v>
      </c>
      <c r="H16" s="16">
        <v>5.0</v>
      </c>
      <c r="I16" s="16" t="s">
        <v>30</v>
      </c>
    </row>
    <row r="17">
      <c r="A17" s="9">
        <v>14.0</v>
      </c>
      <c r="B17" s="10" t="s">
        <v>41</v>
      </c>
      <c r="C17" s="22">
        <v>8.0</v>
      </c>
      <c r="D17" s="29" t="s">
        <v>39</v>
      </c>
      <c r="F17" s="15">
        <v>14.0</v>
      </c>
      <c r="G17" s="16" t="s">
        <v>42</v>
      </c>
      <c r="H17" s="15">
        <v>8.0</v>
      </c>
      <c r="I17" s="16" t="s">
        <v>43</v>
      </c>
    </row>
    <row r="18">
      <c r="A18" s="9">
        <v>15.0</v>
      </c>
      <c r="B18" s="10" t="s">
        <v>44</v>
      </c>
      <c r="C18" s="22">
        <v>16.0</v>
      </c>
      <c r="D18" s="29" t="s">
        <v>39</v>
      </c>
      <c r="F18" s="15">
        <v>15.0</v>
      </c>
      <c r="G18" s="16" t="s">
        <v>45</v>
      </c>
      <c r="H18" s="15">
        <v>8.0</v>
      </c>
      <c r="I18" s="16" t="s">
        <v>43</v>
      </c>
    </row>
    <row r="19">
      <c r="A19" s="9">
        <v>16.0</v>
      </c>
      <c r="B19" s="10" t="s">
        <v>46</v>
      </c>
      <c r="C19" s="11">
        <v>24.0</v>
      </c>
      <c r="D19" s="14" t="s">
        <v>47</v>
      </c>
      <c r="F19" s="15">
        <v>16.0</v>
      </c>
      <c r="G19" s="16" t="s">
        <v>48</v>
      </c>
      <c r="H19" s="16">
        <v>8.0</v>
      </c>
      <c r="I19" s="16" t="s">
        <v>50</v>
      </c>
    </row>
    <row r="20">
      <c r="A20" s="9">
        <v>17.0</v>
      </c>
      <c r="B20" s="10" t="s">
        <v>51</v>
      </c>
      <c r="C20" s="11">
        <v>24.0</v>
      </c>
      <c r="D20" s="14" t="s">
        <v>47</v>
      </c>
      <c r="F20" s="15">
        <v>17.0</v>
      </c>
      <c r="G20" s="16" t="s">
        <v>52</v>
      </c>
      <c r="H20" s="16">
        <v>5.0</v>
      </c>
      <c r="I20" s="16" t="s">
        <v>50</v>
      </c>
    </row>
    <row r="21">
      <c r="A21" s="9">
        <v>18.0</v>
      </c>
      <c r="B21" s="10" t="s">
        <v>53</v>
      </c>
      <c r="C21" s="11">
        <v>24.0</v>
      </c>
      <c r="D21" s="14" t="s">
        <v>47</v>
      </c>
    </row>
    <row r="22">
      <c r="A22" s="9">
        <v>19.0</v>
      </c>
      <c r="B22" s="10" t="s">
        <v>54</v>
      </c>
      <c r="C22" s="11">
        <v>24.0</v>
      </c>
      <c r="D22" s="14" t="s">
        <v>47</v>
      </c>
    </row>
    <row r="23">
      <c r="A23" s="9">
        <v>20.0</v>
      </c>
      <c r="B23" s="10" t="s">
        <v>55</v>
      </c>
      <c r="C23" s="9">
        <v>24.0</v>
      </c>
      <c r="D23" s="24" t="s">
        <v>47</v>
      </c>
    </row>
    <row r="24">
      <c r="A24" s="9">
        <v>21.0</v>
      </c>
      <c r="B24" s="10" t="s">
        <v>56</v>
      </c>
      <c r="C24" s="9">
        <v>24.0</v>
      </c>
      <c r="D24" s="24" t="s">
        <v>47</v>
      </c>
    </row>
    <row r="25">
      <c r="A25" s="9">
        <v>22.0</v>
      </c>
      <c r="B25" s="10" t="s">
        <v>57</v>
      </c>
      <c r="C25" s="9">
        <v>24.0</v>
      </c>
      <c r="D25" s="24" t="s">
        <v>47</v>
      </c>
    </row>
    <row r="26">
      <c r="A26" s="9">
        <v>23.0</v>
      </c>
      <c r="B26" s="10" t="s">
        <v>58</v>
      </c>
      <c r="C26" s="9">
        <v>24.0</v>
      </c>
      <c r="D26" s="24" t="s">
        <v>47</v>
      </c>
    </row>
    <row r="27">
      <c r="A27" s="9">
        <v>24.0</v>
      </c>
      <c r="B27" s="10" t="s">
        <v>59</v>
      </c>
      <c r="C27" s="9">
        <v>24.0</v>
      </c>
      <c r="D27" s="24" t="s">
        <v>47</v>
      </c>
    </row>
    <row r="28">
      <c r="A28" s="9">
        <v>25.0</v>
      </c>
      <c r="B28" s="10" t="s">
        <v>62</v>
      </c>
      <c r="C28" s="9">
        <v>24.0</v>
      </c>
      <c r="D28" s="24" t="s">
        <v>47</v>
      </c>
    </row>
    <row r="29">
      <c r="A29" s="9">
        <v>26.0</v>
      </c>
      <c r="B29" s="10" t="s">
        <v>64</v>
      </c>
      <c r="C29" s="9">
        <v>24.0</v>
      </c>
      <c r="D29" s="24" t="s">
        <v>47</v>
      </c>
    </row>
    <row r="30">
      <c r="A30" s="9">
        <v>27.0</v>
      </c>
      <c r="B30" s="10" t="s">
        <v>66</v>
      </c>
      <c r="C30" s="11">
        <v>24.0</v>
      </c>
      <c r="D30" s="14" t="s">
        <v>47</v>
      </c>
    </row>
    <row r="31">
      <c r="A31" s="9">
        <v>28.0</v>
      </c>
      <c r="B31" s="10" t="s">
        <v>68</v>
      </c>
      <c r="C31" s="11">
        <v>24.0</v>
      </c>
      <c r="D31" s="14" t="s">
        <v>47</v>
      </c>
    </row>
    <row r="32">
      <c r="A32" s="9">
        <v>29.0</v>
      </c>
      <c r="B32" s="10" t="s">
        <v>69</v>
      </c>
      <c r="C32" s="11">
        <v>24.0</v>
      </c>
      <c r="D32" s="14" t="s">
        <v>47</v>
      </c>
    </row>
    <row r="33">
      <c r="A33" s="9">
        <v>30.0</v>
      </c>
      <c r="B33" s="10" t="s">
        <v>70</v>
      </c>
      <c r="C33" s="11">
        <v>24.0</v>
      </c>
      <c r="D33" s="14" t="s">
        <v>47</v>
      </c>
    </row>
    <row r="34">
      <c r="A34" s="9">
        <v>31.0</v>
      </c>
      <c r="B34" s="10" t="s">
        <v>71</v>
      </c>
      <c r="C34" s="11">
        <v>24.0</v>
      </c>
      <c r="D34" s="14" t="s">
        <v>47</v>
      </c>
    </row>
    <row r="35">
      <c r="A35" s="9">
        <v>32.0</v>
      </c>
      <c r="B35" s="10" t="s">
        <v>72</v>
      </c>
      <c r="C35" s="11">
        <v>24.0</v>
      </c>
      <c r="D35" s="14" t="s">
        <v>47</v>
      </c>
    </row>
    <row r="36">
      <c r="A36" s="9">
        <v>33.0</v>
      </c>
      <c r="B36" s="10" t="s">
        <v>73</v>
      </c>
      <c r="C36" s="11">
        <v>24.0</v>
      </c>
      <c r="D36" s="14" t="s">
        <v>47</v>
      </c>
    </row>
    <row r="37">
      <c r="A37" s="9">
        <v>34.0</v>
      </c>
      <c r="B37" s="10" t="s">
        <v>74</v>
      </c>
      <c r="C37" s="11">
        <v>24.0</v>
      </c>
      <c r="D37" s="14" t="s">
        <v>47</v>
      </c>
    </row>
    <row r="38">
      <c r="A38" s="9">
        <v>35.0</v>
      </c>
      <c r="B38" s="10" t="s">
        <v>75</v>
      </c>
      <c r="C38" s="11">
        <v>24.0</v>
      </c>
      <c r="D38" s="14" t="s">
        <v>47</v>
      </c>
    </row>
    <row r="39">
      <c r="A39" s="9">
        <v>36.0</v>
      </c>
      <c r="B39" s="10" t="s">
        <v>76</v>
      </c>
      <c r="C39" s="11">
        <v>24.0</v>
      </c>
      <c r="D39" s="14" t="s">
        <v>47</v>
      </c>
    </row>
    <row r="40">
      <c r="A40" s="9">
        <v>37.0</v>
      </c>
      <c r="B40" s="10" t="s">
        <v>77</v>
      </c>
      <c r="C40" s="19">
        <v>16.0</v>
      </c>
      <c r="D40" s="14" t="s">
        <v>78</v>
      </c>
    </row>
    <row r="41">
      <c r="A41" s="9">
        <v>38.0</v>
      </c>
      <c r="B41" s="10" t="s">
        <v>79</v>
      </c>
      <c r="C41" s="19">
        <v>16.0</v>
      </c>
      <c r="D41" s="14" t="s">
        <v>78</v>
      </c>
    </row>
    <row r="42">
      <c r="A42" s="9">
        <v>39.0</v>
      </c>
      <c r="B42" s="10" t="s">
        <v>80</v>
      </c>
      <c r="C42" s="19">
        <v>16.0</v>
      </c>
      <c r="D42" s="14" t="s">
        <v>78</v>
      </c>
    </row>
    <row r="43">
      <c r="A43" s="9">
        <v>40.0</v>
      </c>
      <c r="B43" s="10" t="s">
        <v>81</v>
      </c>
      <c r="C43" s="11">
        <v>24.0</v>
      </c>
      <c r="D43" s="14" t="s">
        <v>78</v>
      </c>
    </row>
    <row r="44">
      <c r="A44" s="9">
        <v>41.0</v>
      </c>
      <c r="B44" s="10" t="s">
        <v>83</v>
      </c>
      <c r="C44" s="11">
        <v>24.0</v>
      </c>
      <c r="D44" s="14" t="s">
        <v>78</v>
      </c>
    </row>
    <row r="45">
      <c r="A45" s="9">
        <v>42.0</v>
      </c>
      <c r="B45" s="10" t="s">
        <v>84</v>
      </c>
      <c r="C45" s="19">
        <v>16.0</v>
      </c>
      <c r="D45" s="14" t="s">
        <v>85</v>
      </c>
    </row>
    <row r="46">
      <c r="A46" s="9">
        <v>43.0</v>
      </c>
      <c r="B46" s="10" t="s">
        <v>86</v>
      </c>
      <c r="C46" s="19">
        <v>16.0</v>
      </c>
      <c r="D46" s="14" t="s">
        <v>85</v>
      </c>
    </row>
    <row r="47">
      <c r="A47" s="9">
        <v>44.0</v>
      </c>
      <c r="B47" s="10" t="s">
        <v>87</v>
      </c>
      <c r="C47" s="11">
        <v>24.0</v>
      </c>
      <c r="D47" s="14" t="s">
        <v>85</v>
      </c>
    </row>
    <row r="48">
      <c r="A48" s="9">
        <v>45.0</v>
      </c>
      <c r="B48" s="10" t="s">
        <v>88</v>
      </c>
      <c r="C48" s="22">
        <v>8.0</v>
      </c>
      <c r="D48" s="24" t="s">
        <v>85</v>
      </c>
    </row>
    <row r="49">
      <c r="A49" s="9">
        <v>46.0</v>
      </c>
      <c r="B49" s="10" t="s">
        <v>89</v>
      </c>
      <c r="C49" s="11">
        <v>24.0</v>
      </c>
      <c r="D49" s="14" t="s">
        <v>85</v>
      </c>
    </row>
    <row r="50">
      <c r="A50" s="9">
        <v>47.0</v>
      </c>
      <c r="B50" s="10" t="s">
        <v>91</v>
      </c>
      <c r="C50" s="19">
        <v>16.0</v>
      </c>
      <c r="D50" s="14" t="s">
        <v>85</v>
      </c>
    </row>
    <row r="51">
      <c r="A51" s="9">
        <v>48.0</v>
      </c>
      <c r="B51" s="10" t="s">
        <v>92</v>
      </c>
      <c r="C51" s="11">
        <v>16.0</v>
      </c>
      <c r="D51" s="24" t="s">
        <v>85</v>
      </c>
    </row>
    <row r="52">
      <c r="A52" s="9">
        <v>49.0</v>
      </c>
      <c r="B52" s="10" t="s">
        <v>93</v>
      </c>
      <c r="C52" s="19">
        <v>16.0</v>
      </c>
      <c r="D52" s="26" t="s">
        <v>94</v>
      </c>
    </row>
    <row r="53">
      <c r="A53" s="9">
        <v>50.0</v>
      </c>
      <c r="B53" s="10" t="s">
        <v>95</v>
      </c>
      <c r="C53" s="11">
        <v>24.0</v>
      </c>
      <c r="D53" s="26" t="s">
        <v>94</v>
      </c>
    </row>
    <row r="54">
      <c r="A54" s="9">
        <v>51.0</v>
      </c>
      <c r="B54" s="10" t="s">
        <v>97</v>
      </c>
      <c r="C54" s="11">
        <v>24.0</v>
      </c>
      <c r="D54" s="26" t="s">
        <v>94</v>
      </c>
    </row>
    <row r="55">
      <c r="A55" s="9">
        <v>52.0</v>
      </c>
      <c r="B55" s="39" t="s">
        <v>98</v>
      </c>
      <c r="C55" s="22">
        <v>16.0</v>
      </c>
      <c r="D55" s="29" t="s">
        <v>100</v>
      </c>
    </row>
    <row r="56">
      <c r="A56" s="9">
        <v>53.0</v>
      </c>
      <c r="B56" s="39" t="s">
        <v>101</v>
      </c>
      <c r="C56" s="19">
        <v>16.0</v>
      </c>
      <c r="D56" s="26" t="s">
        <v>100</v>
      </c>
    </row>
    <row r="57">
      <c r="A57" s="9">
        <v>54.0</v>
      </c>
      <c r="B57" s="39" t="s">
        <v>102</v>
      </c>
      <c r="C57" s="22">
        <v>16.0</v>
      </c>
      <c r="D57" s="29" t="s">
        <v>100</v>
      </c>
    </row>
    <row r="58">
      <c r="A58" s="9">
        <v>55.0</v>
      </c>
      <c r="B58" s="10" t="s">
        <v>103</v>
      </c>
      <c r="C58" s="11">
        <v>24.0</v>
      </c>
      <c r="D58" s="14" t="s">
        <v>100</v>
      </c>
    </row>
    <row r="59">
      <c r="A59" s="9">
        <v>56.0</v>
      </c>
      <c r="B59" s="10" t="s">
        <v>104</v>
      </c>
      <c r="C59" s="19">
        <v>16.0</v>
      </c>
      <c r="D59" s="26" t="s">
        <v>105</v>
      </c>
    </row>
    <row r="60">
      <c r="A60" s="9">
        <v>57.0</v>
      </c>
      <c r="B60" s="10" t="s">
        <v>106</v>
      </c>
      <c r="C60" s="11">
        <v>24.0</v>
      </c>
      <c r="D60" s="26" t="s">
        <v>105</v>
      </c>
    </row>
    <row r="61">
      <c r="A61" s="9">
        <v>58.0</v>
      </c>
      <c r="B61" s="10" t="s">
        <v>108</v>
      </c>
      <c r="C61" s="11">
        <v>16.0</v>
      </c>
      <c r="D61" s="14" t="s">
        <v>109</v>
      </c>
    </row>
    <row r="62">
      <c r="A62" s="9">
        <v>59.0</v>
      </c>
      <c r="B62" s="10" t="s">
        <v>110</v>
      </c>
      <c r="C62" s="11">
        <v>16.0</v>
      </c>
      <c r="D62" s="14" t="s">
        <v>109</v>
      </c>
    </row>
    <row r="63">
      <c r="A63" s="9">
        <v>60.0</v>
      </c>
      <c r="B63" s="10" t="s">
        <v>111</v>
      </c>
      <c r="C63" s="11">
        <v>16.0</v>
      </c>
      <c r="D63" s="14" t="s">
        <v>109</v>
      </c>
    </row>
    <row r="64">
      <c r="A64" s="9">
        <v>61.0</v>
      </c>
      <c r="B64" s="10" t="s">
        <v>113</v>
      </c>
      <c r="C64" s="9">
        <v>24.0</v>
      </c>
      <c r="D64" s="24" t="s">
        <v>109</v>
      </c>
    </row>
    <row r="65">
      <c r="A65" s="9">
        <v>62.0</v>
      </c>
      <c r="B65" s="10" t="s">
        <v>114</v>
      </c>
      <c r="C65" s="9">
        <v>24.0</v>
      </c>
      <c r="D65" s="24" t="s">
        <v>109</v>
      </c>
    </row>
    <row r="66">
      <c r="A66" s="9">
        <v>63.0</v>
      </c>
      <c r="B66" s="10" t="s">
        <v>115</v>
      </c>
      <c r="C66" s="22">
        <v>16.0</v>
      </c>
      <c r="D66" s="14" t="s">
        <v>116</v>
      </c>
    </row>
    <row r="67">
      <c r="A67" s="9">
        <v>64.0</v>
      </c>
      <c r="B67" s="10" t="s">
        <v>117</v>
      </c>
      <c r="C67" s="9">
        <v>16.0</v>
      </c>
      <c r="D67" s="24" t="s">
        <v>118</v>
      </c>
    </row>
    <row r="68">
      <c r="A68" s="9">
        <v>65.0</v>
      </c>
      <c r="B68" s="10" t="s">
        <v>119</v>
      </c>
      <c r="C68" s="9">
        <v>16.0</v>
      </c>
      <c r="D68" s="24" t="s">
        <v>118</v>
      </c>
    </row>
    <row r="69">
      <c r="A69" s="9">
        <v>66.0</v>
      </c>
      <c r="B69" s="10" t="s">
        <v>120</v>
      </c>
      <c r="C69" s="22">
        <v>8.0</v>
      </c>
      <c r="D69" s="24" t="s">
        <v>118</v>
      </c>
    </row>
    <row r="70">
      <c r="A70" s="9">
        <v>67.0</v>
      </c>
      <c r="B70" s="10" t="s">
        <v>121</v>
      </c>
      <c r="C70" s="22">
        <v>16.0</v>
      </c>
      <c r="D70" s="24" t="s">
        <v>118</v>
      </c>
    </row>
    <row r="71">
      <c r="A71" s="9">
        <v>68.0</v>
      </c>
      <c r="B71" s="10" t="s">
        <v>122</v>
      </c>
      <c r="C71" s="11">
        <v>16.0</v>
      </c>
      <c r="D71" s="14" t="s">
        <v>118</v>
      </c>
    </row>
    <row r="72">
      <c r="A72" s="9">
        <v>69.0</v>
      </c>
      <c r="B72" s="10" t="s">
        <v>123</v>
      </c>
      <c r="C72" s="9">
        <v>24.0</v>
      </c>
      <c r="D72" s="29" t="s">
        <v>124</v>
      </c>
    </row>
    <row r="73">
      <c r="A73" s="9">
        <v>70.0</v>
      </c>
      <c r="B73" s="10" t="s">
        <v>125</v>
      </c>
      <c r="C73" s="9">
        <v>24.0</v>
      </c>
      <c r="D73" s="29" t="s">
        <v>124</v>
      </c>
    </row>
    <row r="74">
      <c r="A74" s="9">
        <v>71.0</v>
      </c>
      <c r="B74" s="10" t="s">
        <v>127</v>
      </c>
      <c r="C74" s="11">
        <v>24.0</v>
      </c>
      <c r="D74" s="26" t="s">
        <v>124</v>
      </c>
    </row>
    <row r="75">
      <c r="A75" s="9">
        <v>72.0</v>
      </c>
      <c r="B75" s="44" t="s">
        <v>129</v>
      </c>
      <c r="C75" s="9">
        <v>24.0</v>
      </c>
      <c r="D75" s="29" t="s">
        <v>133</v>
      </c>
    </row>
    <row r="76">
      <c r="A76" s="9">
        <v>73.0</v>
      </c>
      <c r="B76" s="10" t="s">
        <v>134</v>
      </c>
      <c r="C76" s="11">
        <v>24.0</v>
      </c>
      <c r="D76" s="26" t="s">
        <v>133</v>
      </c>
    </row>
    <row r="77">
      <c r="A77" s="9">
        <v>74.0</v>
      </c>
      <c r="B77" s="46" t="s">
        <v>135</v>
      </c>
      <c r="C77" s="19">
        <v>16.0</v>
      </c>
      <c r="D77" s="26" t="s">
        <v>142</v>
      </c>
    </row>
    <row r="78">
      <c r="A78" s="9">
        <v>75.0</v>
      </c>
      <c r="B78" s="46" t="s">
        <v>145</v>
      </c>
      <c r="C78" s="11">
        <v>24.0</v>
      </c>
      <c r="D78" s="26" t="s">
        <v>142</v>
      </c>
    </row>
    <row r="79">
      <c r="A79" s="9">
        <v>76.0</v>
      </c>
      <c r="B79" s="46" t="s">
        <v>147</v>
      </c>
      <c r="C79" s="19">
        <v>16.0</v>
      </c>
      <c r="D79" s="26" t="s">
        <v>142</v>
      </c>
    </row>
    <row r="80">
      <c r="A80" s="9">
        <v>77.0</v>
      </c>
      <c r="B80" s="46" t="s">
        <v>149</v>
      </c>
      <c r="C80" s="11">
        <v>24.0</v>
      </c>
      <c r="D80" s="26" t="s">
        <v>142</v>
      </c>
    </row>
    <row r="81">
      <c r="A81" s="9">
        <v>78.0</v>
      </c>
      <c r="B81" s="47" t="s">
        <v>150</v>
      </c>
      <c r="C81" s="49">
        <v>16.0</v>
      </c>
      <c r="D81" s="50" t="s">
        <v>142</v>
      </c>
    </row>
    <row r="82">
      <c r="A82" s="9">
        <v>79.0</v>
      </c>
      <c r="B82" s="47" t="s">
        <v>152</v>
      </c>
      <c r="C82" s="49">
        <v>16.0</v>
      </c>
      <c r="D82" s="50" t="s">
        <v>142</v>
      </c>
    </row>
    <row r="83">
      <c r="A83" s="9">
        <v>80.0</v>
      </c>
      <c r="B83" s="46" t="s">
        <v>154</v>
      </c>
      <c r="C83" s="11">
        <v>24.0</v>
      </c>
      <c r="D83" s="24" t="s">
        <v>109</v>
      </c>
    </row>
    <row r="84">
      <c r="A84" s="9">
        <v>81.0</v>
      </c>
      <c r="B84" s="46" t="s">
        <v>155</v>
      </c>
      <c r="C84" s="11">
        <v>24.0</v>
      </c>
      <c r="D84" s="24" t="s">
        <v>109</v>
      </c>
    </row>
    <row r="85">
      <c r="A85" s="9">
        <v>82.0</v>
      </c>
      <c r="B85" s="47" t="s">
        <v>156</v>
      </c>
      <c r="C85" s="49">
        <v>16.0</v>
      </c>
      <c r="D85" s="29" t="s">
        <v>39</v>
      </c>
    </row>
    <row r="86">
      <c r="A86" s="9">
        <v>83.0</v>
      </c>
      <c r="B86" s="47" t="s">
        <v>157</v>
      </c>
      <c r="C86" s="49">
        <v>16.0</v>
      </c>
      <c r="D86" s="29" t="s">
        <v>39</v>
      </c>
    </row>
  </sheetData>
  <mergeCells count="2">
    <mergeCell ref="A1:D2"/>
    <mergeCell ref="F1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IFERROR(__xludf.DUMMYFUNCTION("QUERY(IMPORTRANGE(""187YsK9jYp30WK1GXbc3m1Q041XAhg-Z-63pvHs6E2K0"",""DataMT!A:Z""),""select * where Col1 is not null"",1)"),"No Polisi")</f>
        <v>No Polisi</v>
      </c>
      <c r="B1" s="4" t="str">
        <f>IFERROR(__xludf.DUMMYFUNCTION("""COMPUTED_VALUE"""),"Kapasitas MT")</f>
        <v>Kapasitas MT</v>
      </c>
      <c r="C1" s="4" t="str">
        <f>IFERROR(__xludf.DUMMYFUNCTION("""COMPUTED_VALUE"""),"Transportir")</f>
        <v>Transportir</v>
      </c>
      <c r="D1" s="4" t="str">
        <f>IFERROR(__xludf.DUMMYFUNCTION("""COMPUTED_VALUE"""),"Folder ID")</f>
        <v>Folder ID</v>
      </c>
      <c r="E1" s="4" t="str">
        <f>IFERROR(__xludf.DUMMYFUNCTION("""COMPUTED_VALUE"""),"STNK Exp")</f>
        <v>STNK Exp</v>
      </c>
      <c r="F1" s="4" t="str">
        <f>IFERROR(__xludf.DUMMYFUNCTION("""COMPUTED_VALUE"""),"Pajak Exp")</f>
        <v>Pajak Exp</v>
      </c>
      <c r="G1" s="4" t="str">
        <f>IFERROR(__xludf.DUMMYFUNCTION("""COMPUTED_VALUE"""),"Keur Head Exp")</f>
        <v>Keur Head Exp</v>
      </c>
      <c r="H1" s="4" t="str">
        <f>IFERROR(__xludf.DUMMYFUNCTION("""COMPUTED_VALUE"""),"Keur Trailer Exp")</f>
        <v>Keur Trailer Exp</v>
      </c>
      <c r="I1" s="4" t="str">
        <f>IFERROR(__xludf.DUMMYFUNCTION("""COMPUTED_VALUE"""),"KIM Exp")</f>
        <v>KIM Exp</v>
      </c>
      <c r="J1" s="4" t="str">
        <f>IFERROR(__xludf.DUMMYFUNCTION("""COMPUTED_VALUE"""),"Tera Exp")</f>
        <v>Tera Exp</v>
      </c>
      <c r="K1" s="4" t="str">
        <f>IFERROR(__xludf.DUMMYFUNCTION("""COMPUTED_VALUE"""),"Kekedapan Exp")</f>
        <v>Kekedapan Exp</v>
      </c>
      <c r="L1" s="4" t="str">
        <f>IFERROR(__xludf.DUMMYFUNCTION("""COMPUTED_VALUE"""),"Asuransi Exp")</f>
        <v>Asuransi Exp</v>
      </c>
      <c r="M1" s="4" t="str">
        <f>IFERROR(__xludf.DUMMYFUNCTION("""COMPUTED_VALUE"""),"No Asuransi")</f>
        <v>No Asuransi</v>
      </c>
      <c r="N1" s="4" t="str">
        <f>IFERROR(__xludf.DUMMYFUNCTION("""COMPUTED_VALUE"""),"File STNK")</f>
        <v>File STNK</v>
      </c>
      <c r="O1" s="4" t="str">
        <f>IFERROR(__xludf.DUMMYFUNCTION("""COMPUTED_VALUE"""),"File Pajak")</f>
        <v>File Pajak</v>
      </c>
      <c r="P1" s="4" t="str">
        <f>IFERROR(__xludf.DUMMYFUNCTION("""COMPUTED_VALUE"""),"File Keur Head")</f>
        <v>File Keur Head</v>
      </c>
      <c r="Q1" s="4" t="str">
        <f>IFERROR(__xludf.DUMMYFUNCTION("""COMPUTED_VALUE"""),"File Keur Trailer")</f>
        <v>File Keur Trailer</v>
      </c>
      <c r="R1" s="4" t="str">
        <f>IFERROR(__xludf.DUMMYFUNCTION("""COMPUTED_VALUE"""),"File KIM")</f>
        <v>File KIM</v>
      </c>
      <c r="S1" s="4" t="str">
        <f>IFERROR(__xludf.DUMMYFUNCTION("""COMPUTED_VALUE"""),"File Tera")</f>
        <v>File Tera</v>
      </c>
      <c r="T1" s="4" t="str">
        <f>IFERROR(__xludf.DUMMYFUNCTION("""COMPUTED_VALUE"""),"File Kekedapan")</f>
        <v>File Kekedapan</v>
      </c>
      <c r="U1" s="4" t="str">
        <f>IFERROR(__xludf.DUMMYFUNCTION("""COMPUTED_VALUE"""),"File Asuransi")</f>
        <v>File Asuransi</v>
      </c>
      <c r="V1" s="4" t="str">
        <f>IFERROR(__xludf.DUMMYFUNCTION("""COMPUTED_VALUE"""),"File Dokumen Lengkap")</f>
        <v>File Dokumen Lengkap</v>
      </c>
      <c r="W1" s="4" t="str">
        <f>IFERROR(__xludf.DUMMYFUNCTION("""COMPUTED_VALUE"""),"Foto Depan")</f>
        <v>Foto Depan</v>
      </c>
      <c r="X1" s="4" t="str">
        <f>IFERROR(__xludf.DUMMYFUNCTION("""COMPUTED_VALUE"""),"Foto Belakang")</f>
        <v>Foto Belakang</v>
      </c>
      <c r="Y1" s="4" t="str">
        <f>IFERROR(__xludf.DUMMYFUNCTION("""COMPUTED_VALUE"""),"Foto Kanan")</f>
        <v>Foto Kanan</v>
      </c>
      <c r="Z1" s="4" t="str">
        <f>IFERROR(__xludf.DUMMYFUNCTION("""COMPUTED_VALUE"""),"Foto Kiri")</f>
        <v>Foto Kiri</v>
      </c>
    </row>
    <row r="2">
      <c r="A2" s="4" t="str">
        <f>IFERROR(__xludf.DUMMYFUNCTION("""COMPUTED_VALUE"""),"B9425TEK")</f>
        <v>B9425TEK</v>
      </c>
      <c r="B2" s="4" t="str">
        <f>IFERROR(__xludf.DUMMYFUNCTION("""COMPUTED_VALUE"""),"24 KL")</f>
        <v>24 KL</v>
      </c>
      <c r="C2" s="4" t="str">
        <f>IFERROR(__xludf.DUMMYFUNCTION("""COMPUTED_VALUE"""),"PT. PUSPITA CIPTA")</f>
        <v>PT. PUSPITA CIPTA</v>
      </c>
      <c r="D2" s="4" t="str">
        <f>IFERROR(__xludf.DUMMYFUNCTION("""COMPUTED_VALUE"""),"1FK4xAEYPFXIRULlnI1rOLCbHuJZzBIb4")</f>
        <v>1FK4xAEYPFXIRULlnI1rOLCbHuJZzBIb4</v>
      </c>
      <c r="E2" s="17">
        <f>IFERROR(__xludf.DUMMYFUNCTION("""COMPUTED_VALUE"""),47973.0)</f>
        <v>47973</v>
      </c>
      <c r="F2" s="17">
        <f>IFERROR(__xludf.DUMMYFUNCTION("""COMPUTED_VALUE"""),46512.0)</f>
        <v>46512</v>
      </c>
      <c r="G2" s="17">
        <f>IFERROR(__xludf.DUMMYFUNCTION("""COMPUTED_VALUE"""),46358.0)</f>
        <v>46358</v>
      </c>
      <c r="H2" s="17">
        <f>IFERROR(__xludf.DUMMYFUNCTION("""COMPUTED_VALUE"""),46358.0)</f>
        <v>46358</v>
      </c>
      <c r="I2" s="17">
        <f>IFERROR(__xludf.DUMMYFUNCTION("""COMPUTED_VALUE"""),46358.0)</f>
        <v>46358</v>
      </c>
      <c r="J2" s="17">
        <f>IFERROR(__xludf.DUMMYFUNCTION("""COMPUTED_VALUE"""),46914.0)</f>
        <v>46914</v>
      </c>
      <c r="K2" s="17">
        <f>IFERROR(__xludf.DUMMYFUNCTION("""COMPUTED_VALUE"""),46395.0)</f>
        <v>46395</v>
      </c>
      <c r="L2" s="17">
        <f>IFERROR(__xludf.DUMMYFUNCTION("""COMPUTED_VALUE"""),46541.0)</f>
        <v>46541</v>
      </c>
      <c r="M2" s="4" t="str">
        <f>IFERROR(__xludf.DUMMYFUNCTION("""COMPUTED_VALUE""")," 00080/CN/02/SHR-ATPI/VI/2026")</f>
        <v> 00080/CN/02/SHR-ATPI/VI/2026</v>
      </c>
      <c r="N2" s="28" t="str">
        <f>IFERROR(__xludf.DUMMYFUNCTION("""COMPUTED_VALUE"""),"https://drive.google.com/file/d/1iwLW_jr7VrNQgTnaQ8OpwUT-J3IzAdCF/view?usp=drivesdk")</f>
        <v>https://drive.google.com/file/d/1iwLW_jr7VrNQgTnaQ8OpwUT-J3IzAdCF/view?usp=drivesdk</v>
      </c>
      <c r="O2" s="28" t="str">
        <f>IFERROR(__xludf.DUMMYFUNCTION("""COMPUTED_VALUE"""),"https://drive.google.com/file/d/18UIz76WX6mOb_5c4MXbTTw2rJdbFDHbQ/view?usp=drivesdk")</f>
        <v>https://drive.google.com/file/d/18UIz76WX6mOb_5c4MXbTTw2rJdbFDHbQ/view?usp=drivesdk</v>
      </c>
      <c r="P2" s="28" t="str">
        <f>IFERROR(__xludf.DUMMYFUNCTION("""COMPUTED_VALUE"""),"https://drive.google.com/file/d/13kG7TZTNNrdRWSTZN39rCsigls6xfboB/view?usp=drivesdk")</f>
        <v>https://drive.google.com/file/d/13kG7TZTNNrdRWSTZN39rCsigls6xfboB/view?usp=drivesdk</v>
      </c>
      <c r="Q2" s="28" t="str">
        <f>IFERROR(__xludf.DUMMYFUNCTION("""COMPUTED_VALUE"""),"https://drive.google.com/file/d/1KY_3kFnzLWMzQnyMOrg6lpOv5OpWuOFM/view?usp=drivesdk")</f>
        <v>https://drive.google.com/file/d/1KY_3kFnzLWMzQnyMOrg6lpOv5OpWuOFM/view?usp=drivesdk</v>
      </c>
      <c r="R2" s="28" t="str">
        <f>IFERROR(__xludf.DUMMYFUNCTION("""COMPUTED_VALUE"""),"https://drive.google.com/file/d/1SXdCjFn9JPGpur7rWHOD7cqTaaVC-DID/view?usp=drivesdk")</f>
        <v>https://drive.google.com/file/d/1SXdCjFn9JPGpur7rWHOD7cqTaaVC-DID/view?usp=drivesdk</v>
      </c>
      <c r="S2" s="28" t="str">
        <f>IFERROR(__xludf.DUMMYFUNCTION("""COMPUTED_VALUE"""),"https://drive.google.com/file/d/1Z7REYu81XPIFb2Qjkhc5FtQHt3vaz1Dn/view?usp=drivesdk")</f>
        <v>https://drive.google.com/file/d/1Z7REYu81XPIFb2Qjkhc5FtQHt3vaz1Dn/view?usp=drivesdk</v>
      </c>
      <c r="T2" s="28" t="str">
        <f>IFERROR(__xludf.DUMMYFUNCTION("""COMPUTED_VALUE"""),"https://drive.google.com/file/d/1xLkDywC7WOPoxpncA4FsIfqDOQnNv6sN/view?usp=drivesdk")</f>
        <v>https://drive.google.com/file/d/1xLkDywC7WOPoxpncA4FsIfqDOQnNv6sN/view?usp=drivesdk</v>
      </c>
      <c r="U2" s="28" t="str">
        <f>IFERROR(__xludf.DUMMYFUNCTION("""COMPUTED_VALUE"""),"https://drive.google.com/file/d/1aO9i8-YdZKDPVUAVL5oy0SVrZmES95Jp/view?usp=drivesdk")</f>
        <v>https://drive.google.com/file/d/1aO9i8-YdZKDPVUAVL5oy0SVrZmES95Jp/view?usp=drivesdk</v>
      </c>
      <c r="V2" s="4"/>
      <c r="W2" s="4"/>
      <c r="X2" s="4"/>
      <c r="Y2" s="4"/>
      <c r="Z2" s="4"/>
    </row>
    <row r="3">
      <c r="A3" s="4" t="str">
        <f>IFERROR(__xludf.DUMMYFUNCTION("""COMPUTED_VALUE"""),"N8021UEA")</f>
        <v>N8021UEA</v>
      </c>
      <c r="B3" s="4" t="str">
        <f>IFERROR(__xludf.DUMMYFUNCTION("""COMPUTED_VALUE"""),"16 KL")</f>
        <v>16 KL</v>
      </c>
      <c r="C3" s="4" t="str">
        <f>IFERROR(__xludf.DUMMYFUNCTION("""COMPUTED_VALUE"""),"PT. DHARMA CITRA ENERGY")</f>
        <v>PT. DHARMA CITRA ENERGY</v>
      </c>
      <c r="D3" s="4" t="str">
        <f>IFERROR(__xludf.DUMMYFUNCTION("""COMPUTED_VALUE"""),"1H4_Bpkr_5vJfmtAy0hWFW7GdozLmhuPy")</f>
        <v>1H4_Bpkr_5vJfmtAy0hWFW7GdozLmhuPy</v>
      </c>
      <c r="E3" s="17">
        <f>IFERROR(__xludf.DUMMYFUNCTION("""COMPUTED_VALUE"""),47596.0)</f>
        <v>47596</v>
      </c>
      <c r="F3" s="17">
        <f>IFERROR(__xludf.DUMMYFUNCTION("""COMPUTED_VALUE"""),46500.0)</f>
        <v>46500</v>
      </c>
      <c r="G3" s="17">
        <f>IFERROR(__xludf.DUMMYFUNCTION("""COMPUTED_VALUE"""),46337.0)</f>
        <v>46337</v>
      </c>
      <c r="H3" s="17"/>
      <c r="I3" s="17">
        <f>IFERROR(__xludf.DUMMYFUNCTION("""COMPUTED_VALUE"""),46337.0)</f>
        <v>46337</v>
      </c>
      <c r="J3" s="17">
        <f>IFERROR(__xludf.DUMMYFUNCTION("""COMPUTED_VALUE"""),46542.0)</f>
        <v>46542</v>
      </c>
      <c r="K3" s="17">
        <f>IFERROR(__xludf.DUMMYFUNCTION("""COMPUTED_VALUE"""),46347.0)</f>
        <v>46347</v>
      </c>
      <c r="L3" s="17">
        <f>IFERROR(__xludf.DUMMYFUNCTION("""COMPUTED_VALUE"""),46388.0)</f>
        <v>46388</v>
      </c>
      <c r="M3" s="4" t="str">
        <f>IFERROR(__xludf.DUMMYFUNCTION("""COMPUTED_VALUE"""),"4260000000011 / 000088")</f>
        <v>4260000000011 / 000088</v>
      </c>
      <c r="N3" s="28" t="str">
        <f>IFERROR(__xludf.DUMMYFUNCTION("""COMPUTED_VALUE"""),"https://drive.google.com/open?id=1-ng5Ay22ubdDPOOa6Odry1Bvai-cjCTa")</f>
        <v>https://drive.google.com/open?id=1-ng5Ay22ubdDPOOa6Odry1Bvai-cjCTa</v>
      </c>
      <c r="O3" s="28" t="str">
        <f>IFERROR(__xludf.DUMMYFUNCTION("""COMPUTED_VALUE"""),"https://drive.google.com/file/d/1qC_KmsAw7xEoN9VPUV11V7Ha8v8u_trg/view?usp=drivesdk")</f>
        <v>https://drive.google.com/file/d/1qC_KmsAw7xEoN9VPUV11V7Ha8v8u_trg/view?usp=drivesdk</v>
      </c>
      <c r="P3" s="28" t="str">
        <f>IFERROR(__xludf.DUMMYFUNCTION("""COMPUTED_VALUE"""),"https://drive.google.com/open?id=1n4XKz_QxDKtbc2lcuKz6cQi_gfYKZ1gu")</f>
        <v>https://drive.google.com/open?id=1n4XKz_QxDKtbc2lcuKz6cQi_gfYKZ1gu</v>
      </c>
      <c r="Q3" s="4"/>
      <c r="R3" s="28" t="str">
        <f>IFERROR(__xludf.DUMMYFUNCTION("""COMPUTED_VALUE"""),"https://drive.google.com/file/d/1qE5ineHKs7jV4LyQLzm9MuyMNrHXahDZ/view?usp=drivesdk")</f>
        <v>https://drive.google.com/file/d/1qE5ineHKs7jV4LyQLzm9MuyMNrHXahDZ/view?usp=drivesdk</v>
      </c>
      <c r="S3" s="28" t="str">
        <f>IFERROR(__xludf.DUMMYFUNCTION("""COMPUTED_VALUE"""),"https://drive.google.com/file/d/1vSsRxNFPc0eLFIXrHYodST_0qQiggZRA/view?usp=drivesdk")</f>
        <v>https://drive.google.com/file/d/1vSsRxNFPc0eLFIXrHYodST_0qQiggZRA/view?usp=drivesdk</v>
      </c>
      <c r="T3" s="4"/>
      <c r="U3" s="4"/>
      <c r="V3" s="4"/>
      <c r="W3" s="4"/>
      <c r="X3" s="4"/>
      <c r="Y3" s="4"/>
      <c r="Z3" s="4"/>
    </row>
    <row r="4">
      <c r="A4" s="4" t="str">
        <f>IFERROR(__xludf.DUMMYFUNCTION("""COMPUTED_VALUE"""),"H8481OH")</f>
        <v>H8481OH</v>
      </c>
      <c r="B4" s="4" t="str">
        <f>IFERROR(__xludf.DUMMYFUNCTION("""COMPUTED_VALUE"""),"16 KL")</f>
        <v>16 KL</v>
      </c>
      <c r="C4" s="4" t="str">
        <f>IFERROR(__xludf.DUMMYFUNCTION("""COMPUTED_VALUE"""),"PT. LUMAS BIRU MANDIRI")</f>
        <v>PT. LUMAS BIRU MANDIRI</v>
      </c>
      <c r="D4" s="4" t="str">
        <f>IFERROR(__xludf.DUMMYFUNCTION("""COMPUTED_VALUE"""),"1bPsKnTNQyc2makUa0kZ6Qj4niSXfHAn9")</f>
        <v>1bPsKnTNQyc2makUa0kZ6Qj4niSXfHAn9</v>
      </c>
      <c r="E4" s="17">
        <f>IFERROR(__xludf.DUMMYFUNCTION("""COMPUTED_VALUE"""),47360.0)</f>
        <v>47360</v>
      </c>
      <c r="F4" s="17">
        <f>IFERROR(__xludf.DUMMYFUNCTION("""COMPUTED_VALUE"""),46629.0)</f>
        <v>46629</v>
      </c>
      <c r="G4" s="17">
        <f>IFERROR(__xludf.DUMMYFUNCTION("""COMPUTED_VALUE"""),46448.0)</f>
        <v>46448</v>
      </c>
      <c r="H4" s="17"/>
      <c r="I4" s="17">
        <f>IFERROR(__xludf.DUMMYFUNCTION("""COMPUTED_VALUE"""),46277.0)</f>
        <v>46277</v>
      </c>
      <c r="J4" s="17">
        <f>IFERROR(__xludf.DUMMYFUNCTION("""COMPUTED_VALUE"""),47007.0)</f>
        <v>47007</v>
      </c>
      <c r="K4" s="17">
        <f>IFERROR(__xludf.DUMMYFUNCTION("""COMPUTED_VALUE"""),46340.0)</f>
        <v>46340</v>
      </c>
      <c r="L4" s="17">
        <f>IFERROR(__xludf.DUMMYFUNCTION("""COMPUTED_VALUE"""),46388.0)</f>
        <v>46388</v>
      </c>
      <c r="M4" s="4" t="str">
        <f>IFERROR(__xludf.DUMMYFUNCTION("""COMPUTED_VALUE"""),"04260000000011 / 000034")</f>
        <v>04260000000011 / 000034</v>
      </c>
      <c r="N4" s="28" t="str">
        <f>IFERROR(__xludf.DUMMYFUNCTION("""COMPUTED_VALUE"""),"https://drive.google.com/file/d/1i0iKr9D8u5RnuVq9zDcuRFdqRRzu3a4b/view?usp=drivesdk")</f>
        <v>https://drive.google.com/file/d/1i0iKr9D8u5RnuVq9zDcuRFdqRRzu3a4b/view?usp=drivesdk</v>
      </c>
      <c r="O4" s="28" t="str">
        <f>IFERROR(__xludf.DUMMYFUNCTION("""COMPUTED_VALUE"""),"https://drive.google.com/file/d/1dEmB4IUx-cUpaiKJlC9yGRpwyqyy2dL1/view?usp=drivesdk")</f>
        <v>https://drive.google.com/file/d/1dEmB4IUx-cUpaiKJlC9yGRpwyqyy2dL1/view?usp=drivesdk</v>
      </c>
      <c r="P4" s="28" t="str">
        <f>IFERROR(__xludf.DUMMYFUNCTION("""COMPUTED_VALUE"""),"https://drive.google.com/file/d/1f8dUGXRIvssSUJ65PbHDRrTP7yOmTWT-/view?usp=drivesdk")</f>
        <v>https://drive.google.com/file/d/1f8dUGXRIvssSUJ65PbHDRrTP7yOmTWT-/view?usp=drivesdk</v>
      </c>
      <c r="Q4" s="4"/>
      <c r="R4" s="28" t="str">
        <f>IFERROR(__xludf.DUMMYFUNCTION("""COMPUTED_VALUE"""),"https://drive.google.com/file/d/1DM4peZHhHCfjPRvQTNEDLF4wnPtZkd4S/view?usp=drivesdk")</f>
        <v>https://drive.google.com/file/d/1DM4peZHhHCfjPRvQTNEDLF4wnPtZkd4S/view?usp=drivesdk</v>
      </c>
      <c r="S4" s="28" t="str">
        <f>IFERROR(__xludf.DUMMYFUNCTION("""COMPUTED_VALUE"""),"https://drive.google.com/file/d/1riRWGsNrqUcikcJDDypIZxBcKmLRbpZ6/view?usp=drivesdk")</f>
        <v>https://drive.google.com/file/d/1riRWGsNrqUcikcJDDypIZxBcKmLRbpZ6/view?usp=drivesdk</v>
      </c>
      <c r="T4" s="28" t="str">
        <f>IFERROR(__xludf.DUMMYFUNCTION("""COMPUTED_VALUE"""),"https://drive.google.com/file/d/1ol9JJAeR4lU0IlSOc8LEjRugMJneO6-p/view?usp=drivesdk")</f>
        <v>https://drive.google.com/file/d/1ol9JJAeR4lU0IlSOc8LEjRugMJneO6-p/view?usp=drivesdk</v>
      </c>
      <c r="U4" s="4"/>
      <c r="V4" s="4"/>
      <c r="W4" s="4"/>
      <c r="X4" s="4"/>
      <c r="Y4" s="4"/>
      <c r="Z4" s="4"/>
    </row>
    <row r="5">
      <c r="A5" s="4" t="str">
        <f>IFERROR(__xludf.DUMMYFUNCTION("""COMPUTED_VALUE"""),"N9657UI")</f>
        <v>N9657UI</v>
      </c>
      <c r="B5" s="4" t="str">
        <f>IFERROR(__xludf.DUMMYFUNCTION("""COMPUTED_VALUE"""),"24 KL")</f>
        <v>24 KL</v>
      </c>
      <c r="C5" s="4" t="str">
        <f>IFERROR(__xludf.DUMMYFUNCTION("""COMPUTED_VALUE"""),"PT. SINAR WAHANA SURYA")</f>
        <v>PT. SINAR WAHANA SURYA</v>
      </c>
      <c r="D5" s="4" t="str">
        <f>IFERROR(__xludf.DUMMYFUNCTION("""COMPUTED_VALUE"""),"1iwE7-HYFDE6WqhsgfFPbC5yK8-qRT4Mc")</f>
        <v>1iwE7-HYFDE6WqhsgfFPbC5yK8-qRT4Mc</v>
      </c>
      <c r="E5" s="17">
        <f>IFERROR(__xludf.DUMMYFUNCTION("""COMPUTED_VALUE"""),47225.0)</f>
        <v>47225</v>
      </c>
      <c r="F5" s="17">
        <f>IFERROR(__xludf.DUMMYFUNCTION("""COMPUTED_VALUE"""),46482.0)</f>
        <v>46482</v>
      </c>
      <c r="G5" s="17">
        <f>IFERROR(__xludf.DUMMYFUNCTION("""COMPUTED_VALUE"""),46317.0)</f>
        <v>46317</v>
      </c>
      <c r="H5" s="17">
        <f>IFERROR(__xludf.DUMMYFUNCTION("""COMPUTED_VALUE"""),46317.0)</f>
        <v>46317</v>
      </c>
      <c r="I5" s="17">
        <f>IFERROR(__xludf.DUMMYFUNCTION("""COMPUTED_VALUE"""),46317.0)</f>
        <v>46317</v>
      </c>
      <c r="J5" s="17">
        <f>IFERROR(__xludf.DUMMYFUNCTION("""COMPUTED_VALUE"""),46941.0)</f>
        <v>46941</v>
      </c>
      <c r="K5" s="17">
        <f>IFERROR(__xludf.DUMMYFUNCTION("""COMPUTED_VALUE"""),46340.0)</f>
        <v>46340</v>
      </c>
      <c r="L5" s="17">
        <f>IFERROR(__xludf.DUMMYFUNCTION("""COMPUTED_VALUE"""),46388.0)</f>
        <v>46388</v>
      </c>
      <c r="M5" s="4" t="str">
        <f>IFERROR(__xludf.DUMMYFUNCTION("""COMPUTED_VALUE"""),"04260000000011 / 000203")</f>
        <v>04260000000011 / 000203</v>
      </c>
      <c r="N5" s="28" t="str">
        <f>IFERROR(__xludf.DUMMYFUNCTION("""COMPUTED_VALUE"""),"https://drive.google.com/file/d/12HpyT7ur5-Sh7IwGn-T55WyNLXmEMijx/view?usp=drivesdk")</f>
        <v>https://drive.google.com/file/d/12HpyT7ur5-Sh7IwGn-T55WyNLXmEMijx/view?usp=drivesdk</v>
      </c>
      <c r="O5" s="28" t="str">
        <f>IFERROR(__xludf.DUMMYFUNCTION("""COMPUTED_VALUE"""),"https://drive.google.com/file/d/1BN0drqJbESmtqvQxMncTGmfoq1wql74E/view?usp=drivesdk")</f>
        <v>https://drive.google.com/file/d/1BN0drqJbESmtqvQxMncTGmfoq1wql74E/view?usp=drivesdk</v>
      </c>
      <c r="P5" s="28" t="str">
        <f>IFERROR(__xludf.DUMMYFUNCTION("""COMPUTED_VALUE"""),"https://drive.google.com/open?id=1NyP67uerEQzvBD4gtd1DzsnhQVSnu3ru")</f>
        <v>https://drive.google.com/open?id=1NyP67uerEQzvBD4gtd1DzsnhQVSnu3ru</v>
      </c>
      <c r="Q5" s="28" t="str">
        <f>IFERROR(__xludf.DUMMYFUNCTION("""COMPUTED_VALUE"""),"https://drive.google.com/open?id=18xpS3uTDaxcQRk3DuWEmwg7xgS4Kyoit")</f>
        <v>https://drive.google.com/open?id=18xpS3uTDaxcQRk3DuWEmwg7xgS4Kyoit</v>
      </c>
      <c r="R5" s="28" t="str">
        <f>IFERROR(__xludf.DUMMYFUNCTION("""COMPUTED_VALUE"""),"https://drive.google.com/open?id=1XDUzkt5wgFIOZmdOVH23ArVPop4gGjAk")</f>
        <v>https://drive.google.com/open?id=1XDUzkt5wgFIOZmdOVH23ArVPop4gGjAk</v>
      </c>
      <c r="S5" s="28" t="str">
        <f>IFERROR(__xludf.DUMMYFUNCTION("""COMPUTED_VALUE"""),"https://drive.google.com/file/d/1glAYbKc_gszx_fHEyWN6TjkGvwYIQfto/view?usp=drivesdk")</f>
        <v>https://drive.google.com/file/d/1glAYbKc_gszx_fHEyWN6TjkGvwYIQfto/view?usp=drivesdk</v>
      </c>
      <c r="T5" s="28" t="str">
        <f>IFERROR(__xludf.DUMMYFUNCTION("""COMPUTED_VALUE"""),"https://drive.google.com/file/d/18Jhr_gLC--yNoSWE2rOBiIXlgu-uxEmy/view?usp=drivesdk")</f>
        <v>https://drive.google.com/file/d/18Jhr_gLC--yNoSWE2rOBiIXlgu-uxEmy/view?usp=drivesdk</v>
      </c>
      <c r="U5" s="4"/>
      <c r="V5" s="4"/>
      <c r="W5" s="4"/>
      <c r="X5" s="4"/>
      <c r="Y5" s="4"/>
      <c r="Z5" s="4"/>
    </row>
    <row r="6">
      <c r="A6" s="4" t="str">
        <f>IFERROR(__xludf.DUMMYFUNCTION("""COMPUTED_VALUE"""),"H9739OH")</f>
        <v>H9739OH</v>
      </c>
      <c r="B6" s="4" t="str">
        <f>IFERROR(__xludf.DUMMYFUNCTION("""COMPUTED_VALUE"""),"24 KL")</f>
        <v>24 KL</v>
      </c>
      <c r="C6" s="4" t="str">
        <f>IFERROR(__xludf.DUMMYFUNCTION("""COMPUTED_VALUE"""),"PT. ADHI BUANA PERSADA")</f>
        <v>PT. ADHI BUANA PERSADA</v>
      </c>
      <c r="D6" s="4" t="str">
        <f>IFERROR(__xludf.DUMMYFUNCTION("""COMPUTED_VALUE"""),"1jQub6Bti5kn1wxRbEu2DvBZ8x2031Bea")</f>
        <v>1jQub6Bti5kn1wxRbEu2DvBZ8x2031Bea</v>
      </c>
      <c r="E6" s="17">
        <f>IFERROR(__xludf.DUMMYFUNCTION("""COMPUTED_VALUE"""),47958.0)</f>
        <v>47958</v>
      </c>
      <c r="F6" s="17">
        <f>IFERROR(__xludf.DUMMYFUNCTION("""COMPUTED_VALUE"""),46497.0)</f>
        <v>46497</v>
      </c>
      <c r="G6" s="17">
        <f>IFERROR(__xludf.DUMMYFUNCTION("""COMPUTED_VALUE"""),46318.0)</f>
        <v>46318</v>
      </c>
      <c r="H6" s="17">
        <f>IFERROR(__xludf.DUMMYFUNCTION("""COMPUTED_VALUE"""),46318.0)</f>
        <v>46318</v>
      </c>
      <c r="I6" s="17">
        <f>IFERROR(__xludf.DUMMYFUNCTION("""COMPUTED_VALUE"""),46500.0)</f>
        <v>46500</v>
      </c>
      <c r="J6" s="17">
        <f>IFERROR(__xludf.DUMMYFUNCTION("""COMPUTED_VALUE"""),46886.0)</f>
        <v>46886</v>
      </c>
      <c r="K6" s="17">
        <f>IFERROR(__xludf.DUMMYFUNCTION("""COMPUTED_VALUE"""),46358.0)</f>
        <v>46358</v>
      </c>
      <c r="L6" s="17">
        <f>IFERROR(__xludf.DUMMYFUNCTION("""COMPUTED_VALUE"""),46476.0)</f>
        <v>46476</v>
      </c>
      <c r="M6" s="4" t="str">
        <f>IFERROR(__xludf.DUMMYFUNCTION("""COMPUTED_VALUE"""),"3260000003246")</f>
        <v>3260000003246</v>
      </c>
      <c r="N6" s="28" t="str">
        <f>IFERROR(__xludf.DUMMYFUNCTION("""COMPUTED_VALUE"""),"https://drive.google.com/file/d/1GgLdPQYEIhKZN7OVA-96_VX5v5qI_YA7/view?usp=drivesdk")</f>
        <v>https://drive.google.com/file/d/1GgLdPQYEIhKZN7OVA-96_VX5v5qI_YA7/view?usp=drivesdk</v>
      </c>
      <c r="O6" s="28" t="str">
        <f>IFERROR(__xludf.DUMMYFUNCTION("""COMPUTED_VALUE"""),"https://drive.google.com/file/d/1vVohGyHLHOQz5uK28JqCiPpl6bse6geE/view?usp=drivesdk")</f>
        <v>https://drive.google.com/file/d/1vVohGyHLHOQz5uK28JqCiPpl6bse6geE/view?usp=drivesdk</v>
      </c>
      <c r="P6" s="28" t="str">
        <f>IFERROR(__xludf.DUMMYFUNCTION("""COMPUTED_VALUE"""),"https://drive.google.com/file/d/10tpiGl55zpUSm0cXcMzRBuPZRRQNUYUV/view?usp=drivesdk")</f>
        <v>https://drive.google.com/file/d/10tpiGl55zpUSm0cXcMzRBuPZRRQNUYUV/view?usp=drivesdk</v>
      </c>
      <c r="Q6" s="28" t="str">
        <f>IFERROR(__xludf.DUMMYFUNCTION("""COMPUTED_VALUE"""),"https://drive.google.com/file/d/1Oz1NljkWBFDxyLqozZPuBKWWw4AmE0aE/view?usp=drivesdk")</f>
        <v>https://drive.google.com/file/d/1Oz1NljkWBFDxyLqozZPuBKWWw4AmE0aE/view?usp=drivesdk</v>
      </c>
      <c r="R6" s="28" t="str">
        <f>IFERROR(__xludf.DUMMYFUNCTION("""COMPUTED_VALUE"""),"https://drive.google.com/file/d/1upO-ob_9Av1fxWFuQeTEevCacs9feILQ/view?usp=drivesdk")</f>
        <v>https://drive.google.com/file/d/1upO-ob_9Av1fxWFuQeTEevCacs9feILQ/view?usp=drivesdk</v>
      </c>
      <c r="S6" s="28" t="str">
        <f>IFERROR(__xludf.DUMMYFUNCTION("""COMPUTED_VALUE"""),"https://drive.google.com/file/d/1RWsU6apKZNIdD5xpxkCvGaJQTTjAlxPX/view?usp=drivesdk")</f>
        <v>https://drive.google.com/file/d/1RWsU6apKZNIdD5xpxkCvGaJQTTjAlxPX/view?usp=drivesdk</v>
      </c>
      <c r="T6" s="28" t="str">
        <f>IFERROR(__xludf.DUMMYFUNCTION("""COMPUTED_VALUE"""),"https://drive.google.com/file/d/1Y2qncU1BPUNLsm2EQX6hOEs5db-yYElU/view?usp=drivesdk")</f>
        <v>https://drive.google.com/file/d/1Y2qncU1BPUNLsm2EQX6hOEs5db-yYElU/view?usp=drivesdk</v>
      </c>
      <c r="U6" s="28" t="str">
        <f>IFERROR(__xludf.DUMMYFUNCTION("""COMPUTED_VALUE"""),"https://drive.google.com/file/d/1dRQA2NHiYNrNdrLr0L6NJNgtpFisDy-A/view?usp=drivesdk")</f>
        <v>https://drive.google.com/file/d/1dRQA2NHiYNrNdrLr0L6NJNgtpFisDy-A/view?usp=drivesdk</v>
      </c>
      <c r="V6" s="4"/>
      <c r="W6" s="4"/>
      <c r="X6" s="4"/>
      <c r="Y6" s="4"/>
      <c r="Z6" s="4"/>
    </row>
    <row r="7">
      <c r="A7" s="4" t="str">
        <f>IFERROR(__xludf.DUMMYFUNCTION("""COMPUTED_VALUE"""),"B9810TEI")</f>
        <v>B9810TEI</v>
      </c>
      <c r="B7" s="4" t="str">
        <f>IFERROR(__xludf.DUMMYFUNCTION("""COMPUTED_VALUE"""),"24 KL")</f>
        <v>24 KL</v>
      </c>
      <c r="C7" s="4" t="str">
        <f>IFERROR(__xludf.DUMMYFUNCTION("""COMPUTED_VALUE"""),"PT. ADAM TRANS")</f>
        <v>PT. ADAM TRANS</v>
      </c>
      <c r="D7" s="4" t="str">
        <f>IFERROR(__xludf.DUMMYFUNCTION("""COMPUTED_VALUE"""),"1SfY6BoJrtTGNVwj3vzxk6pK8y5zQlZB2")</f>
        <v>1SfY6BoJrtTGNVwj3vzxk6pK8y5zQlZB2</v>
      </c>
      <c r="E7" s="17">
        <f>IFERROR(__xludf.DUMMYFUNCTION("""COMPUTED_VALUE"""),46903.0)</f>
        <v>46903</v>
      </c>
      <c r="F7" s="17">
        <f>IFERROR(__xludf.DUMMYFUNCTION("""COMPUTED_VALUE"""),46537.0)</f>
        <v>46537</v>
      </c>
      <c r="G7" s="17">
        <f>IFERROR(__xludf.DUMMYFUNCTION("""COMPUTED_VALUE"""),46416.0)</f>
        <v>46416</v>
      </c>
      <c r="H7" s="17">
        <f>IFERROR(__xludf.DUMMYFUNCTION("""COMPUTED_VALUE"""),46416.0)</f>
        <v>46416</v>
      </c>
      <c r="I7" s="17">
        <f>IFERROR(__xludf.DUMMYFUNCTION("""COMPUTED_VALUE"""),46416.0)</f>
        <v>46416</v>
      </c>
      <c r="J7" s="17">
        <f>IFERROR(__xludf.DUMMYFUNCTION("""COMPUTED_VALUE"""),46506.0)</f>
        <v>46506</v>
      </c>
      <c r="K7" s="17">
        <f>IFERROR(__xludf.DUMMYFUNCTION("""COMPUTED_VALUE"""),46340.0)</f>
        <v>46340</v>
      </c>
      <c r="L7" s="17">
        <f>IFERROR(__xludf.DUMMYFUNCTION("""COMPUTED_VALUE"""),46388.0)</f>
        <v>46388</v>
      </c>
      <c r="M7" s="4" t="str">
        <f>IFERROR(__xludf.DUMMYFUNCTION("""COMPUTED_VALUE"""),"04260000000011 / 000009")</f>
        <v>04260000000011 / 000009</v>
      </c>
      <c r="N7" s="28" t="str">
        <f>IFERROR(__xludf.DUMMYFUNCTION("""COMPUTED_VALUE"""),"https://drive.google.com/open?id=1aFl4dAQMNwxSltJsxtKdSJfwEPegWxRB")</f>
        <v>https://drive.google.com/open?id=1aFl4dAQMNwxSltJsxtKdSJfwEPegWxRB</v>
      </c>
      <c r="O7" s="28" t="str">
        <f>IFERROR(__xludf.DUMMYFUNCTION("""COMPUTED_VALUE"""),"https://drive.google.com/open?id=1aFl4dAQMNwxSltJsxtKdSJfwEPegWxRB")</f>
        <v>https://drive.google.com/open?id=1aFl4dAQMNwxSltJsxtKdSJfwEPegWxRB</v>
      </c>
      <c r="P7" s="28" t="str">
        <f>IFERROR(__xludf.DUMMYFUNCTION("""COMPUTED_VALUE"""),"https://drive.google.com/file/d/1n75-nHeB4gAQLjYhycy_6_iq5T6m5AnM/view?usp=drivesdk")</f>
        <v>https://drive.google.com/file/d/1n75-nHeB4gAQLjYhycy_6_iq5T6m5AnM/view?usp=drivesdk</v>
      </c>
      <c r="Q7" s="28" t="str">
        <f>IFERROR(__xludf.DUMMYFUNCTION("""COMPUTED_VALUE"""),"https://drive.google.com/file/d/1aFPpOHBxbcLpR_XCQqEFMouw20PmAFti/view?usp=drivesdk")</f>
        <v>https://drive.google.com/file/d/1aFPpOHBxbcLpR_XCQqEFMouw20PmAFti/view?usp=drivesdk</v>
      </c>
      <c r="R7" s="28" t="str">
        <f>IFERROR(__xludf.DUMMYFUNCTION("""COMPUTED_VALUE"""),"https://drive.google.com/file/d/1j2YAr9oKApHBmqUDAzoIW_5wAKzwiw_f/view?usp=drivesdk")</f>
        <v>https://drive.google.com/file/d/1j2YAr9oKApHBmqUDAzoIW_5wAKzwiw_f/view?usp=drivesdk</v>
      </c>
      <c r="S7" s="28" t="str">
        <f>IFERROR(__xludf.DUMMYFUNCTION("""COMPUTED_VALUE"""),"https://drive.google.com/file/d/192A5uwryN1ntvbDulmFcvEG3wbTGdw4x/view?usp=drivesdk")</f>
        <v>https://drive.google.com/file/d/192A5uwryN1ntvbDulmFcvEG3wbTGdw4x/view?usp=drivesdk</v>
      </c>
      <c r="T7" s="28" t="str">
        <f>IFERROR(__xludf.DUMMYFUNCTION("""COMPUTED_VALUE"""),"https://drive.google.com/file/d/1qjv4YntVYbrEI1EALIyYzr7LMQsLgPNP/view?usp=drivesdk")</f>
        <v>https://drive.google.com/file/d/1qjv4YntVYbrEI1EALIyYzr7LMQsLgPNP/view?usp=drivesdk</v>
      </c>
      <c r="U7" s="4"/>
      <c r="V7" s="4"/>
      <c r="W7" s="4"/>
      <c r="X7" s="4"/>
      <c r="Y7" s="4"/>
      <c r="Z7" s="4"/>
    </row>
    <row r="8">
      <c r="A8" s="4" t="str">
        <f>IFERROR(__xludf.DUMMYFUNCTION("""COMPUTED_VALUE"""),"E9512YC")</f>
        <v>E9512YC</v>
      </c>
      <c r="B8" s="4" t="str">
        <f>IFERROR(__xludf.DUMMYFUNCTION("""COMPUTED_VALUE"""),"24 KL")</f>
        <v>24 KL</v>
      </c>
      <c r="C8" s="4" t="str">
        <f>IFERROR(__xludf.DUMMYFUNCTION("""COMPUTED_VALUE"""),"PT. PUSPITA CIPTA")</f>
        <v>PT. PUSPITA CIPTA</v>
      </c>
      <c r="D8" s="4" t="str">
        <f>IFERROR(__xludf.DUMMYFUNCTION("""COMPUTED_VALUE"""),"1yIQdMbPV1iK9-SrX9PiI2ax4lp2LrvUH")</f>
        <v>1yIQdMbPV1iK9-SrX9PiI2ax4lp2LrvUH</v>
      </c>
      <c r="E8" s="17">
        <f>IFERROR(__xludf.DUMMYFUNCTION("""COMPUTED_VALUE"""),47716.0)</f>
        <v>47716</v>
      </c>
      <c r="F8" s="17">
        <f>IFERROR(__xludf.DUMMYFUNCTION("""COMPUTED_VALUE"""),46620.0)</f>
        <v>46620</v>
      </c>
      <c r="G8" s="17">
        <f>IFERROR(__xludf.DUMMYFUNCTION("""COMPUTED_VALUE"""),46311.0)</f>
        <v>46311</v>
      </c>
      <c r="H8" s="17">
        <f>IFERROR(__xludf.DUMMYFUNCTION("""COMPUTED_VALUE"""),46311.0)</f>
        <v>46311</v>
      </c>
      <c r="I8" s="17">
        <f>IFERROR(__xludf.DUMMYFUNCTION("""COMPUTED_VALUE"""),46311.0)</f>
        <v>46311</v>
      </c>
      <c r="J8" s="17">
        <f>IFERROR(__xludf.DUMMYFUNCTION("""COMPUTED_VALUE"""),46688.0)</f>
        <v>46688</v>
      </c>
      <c r="K8" s="17">
        <f>IFERROR(__xludf.DUMMYFUNCTION("""COMPUTED_VALUE"""),46332.0)</f>
        <v>46332</v>
      </c>
      <c r="L8" s="17">
        <f>IFERROR(__xludf.DUMMYFUNCTION("""COMPUTED_VALUE"""),46388.0)</f>
        <v>46388</v>
      </c>
      <c r="M8" s="4" t="str">
        <f>IFERROR(__xludf.DUMMYFUNCTION("""COMPUTED_VALUE"""),"4260000000011 / 000044")</f>
        <v>4260000000011 / 000044</v>
      </c>
      <c r="N8" s="28" t="str">
        <f>IFERROR(__xludf.DUMMYFUNCTION("""COMPUTED_VALUE"""),"https://drive.google.com/open?id=1itrUcqDsGfRv9RC1ztUJEltoIvP0DJ3w")</f>
        <v>https://drive.google.com/open?id=1itrUcqDsGfRv9RC1ztUJEltoIvP0DJ3w</v>
      </c>
      <c r="O8" s="28" t="str">
        <f>IFERROR(__xludf.DUMMYFUNCTION("""COMPUTED_VALUE"""),"https://drive.google.com/file/d/1nfw2B5zWjJm-Arrf6Yj2lC3jU2jsPD__/view?usp=drivesdk")</f>
        <v>https://drive.google.com/file/d/1nfw2B5zWjJm-Arrf6Yj2lC3jU2jsPD__/view?usp=drivesdk</v>
      </c>
      <c r="P8" s="28" t="str">
        <f>IFERROR(__xludf.DUMMYFUNCTION("""COMPUTED_VALUE"""),"https://drive.google.com/open?id=1vQ2Rf7Zsp6asbUhVmQTUBQKgwGkdDx0W")</f>
        <v>https://drive.google.com/open?id=1vQ2Rf7Zsp6asbUhVmQTUBQKgwGkdDx0W</v>
      </c>
      <c r="Q8" s="28" t="str">
        <f>IFERROR(__xludf.DUMMYFUNCTION("""COMPUTED_VALUE"""),"https://drive.google.com/open?id=1wY6Ert6klnAow4IsgZMZCuq5SCrDU72d")</f>
        <v>https://drive.google.com/open?id=1wY6Ert6klnAow4IsgZMZCuq5SCrDU72d</v>
      </c>
      <c r="R8" s="28" t="str">
        <f>IFERROR(__xludf.DUMMYFUNCTION("""COMPUTED_VALUE"""),"https://drive.google.com/open?id=1ndrykIieNLQM07DUiV6oPw4FTmrHNWD8")</f>
        <v>https://drive.google.com/open?id=1ndrykIieNLQM07DUiV6oPw4FTmrHNWD8</v>
      </c>
      <c r="S8" s="28" t="str">
        <f>IFERROR(__xludf.DUMMYFUNCTION("""COMPUTED_VALUE"""),"https://drive.google.com/file/d/1gD_aT8BiKYY3r-VWKf3z1M68Feq6in7f/view?usp=drivesdk")</f>
        <v>https://drive.google.com/file/d/1gD_aT8BiKYY3r-VWKf3z1M68Feq6in7f/view?usp=drivesdk</v>
      </c>
      <c r="T8" s="28" t="str">
        <f>IFERROR(__xludf.DUMMYFUNCTION("""COMPUTED_VALUE"""),"https://drive.google.com/file/d/1u99i6DTuXxkdptr8eXs0ylb7dJwvuOaL/view?usp=drivesdk")</f>
        <v>https://drive.google.com/file/d/1u99i6DTuXxkdptr8eXs0ylb7dJwvuOaL/view?usp=drivesdk</v>
      </c>
      <c r="U8" s="4"/>
      <c r="V8" s="4"/>
      <c r="W8" s="28" t="str">
        <f>IFERROR(__xludf.DUMMYFUNCTION("""COMPUTED_VALUE"""),"https://drive.google.com/file/d/1q8ifFrPhtxZ1dvxtWxD74YLVEV6iUu4-/view?usp=drivesdk")</f>
        <v>https://drive.google.com/file/d/1q8ifFrPhtxZ1dvxtWxD74YLVEV6iUu4-/view?usp=drivesdk</v>
      </c>
      <c r="X8" s="28" t="str">
        <f>IFERROR(__xludf.DUMMYFUNCTION("""COMPUTED_VALUE"""),"https://drive.google.com/file/d/1MyplEHyumMIGPtzshtytNpprmeEpMtTv/view?usp=drivesdk")</f>
        <v>https://drive.google.com/file/d/1MyplEHyumMIGPtzshtytNpprmeEpMtTv/view?usp=drivesdk</v>
      </c>
      <c r="Y8" s="28" t="str">
        <f>IFERROR(__xludf.DUMMYFUNCTION("""COMPUTED_VALUE"""),"https://drive.google.com/file/d/1fHQupbBX1SXahGag_RYgR3eygxZWch1J/view?usp=drivesdk")</f>
        <v>https://drive.google.com/file/d/1fHQupbBX1SXahGag_RYgR3eygxZWch1J/view?usp=drivesdk</v>
      </c>
      <c r="Z8" s="28" t="str">
        <f>IFERROR(__xludf.DUMMYFUNCTION("""COMPUTED_VALUE"""),"https://drive.google.com/file/d/1uDr3P4UnkNyGVH6P7TlZgDLwb0ffO0_n/view?usp=drivesdk")</f>
        <v>https://drive.google.com/file/d/1uDr3P4UnkNyGVH6P7TlZgDLwb0ffO0_n/view?usp=drivesdk</v>
      </c>
    </row>
    <row r="9">
      <c r="A9" s="4" t="str">
        <f>IFERROR(__xludf.DUMMYFUNCTION("""COMPUTED_VALUE"""),"E9495YC")</f>
        <v>E9495YC</v>
      </c>
      <c r="B9" s="4" t="str">
        <f>IFERROR(__xludf.DUMMYFUNCTION("""COMPUTED_VALUE"""),"24 KL")</f>
        <v>24 KL</v>
      </c>
      <c r="C9" s="4" t="str">
        <f>IFERROR(__xludf.DUMMYFUNCTION("""COMPUTED_VALUE"""),"PT. PUSPITA CIPTA")</f>
        <v>PT. PUSPITA CIPTA</v>
      </c>
      <c r="D9" s="4" t="str">
        <f>IFERROR(__xludf.DUMMYFUNCTION("""COMPUTED_VALUE"""),"1RegfJx6XbejNg4SFNa9CcAWVGR7nsXOB")</f>
        <v>1RegfJx6XbejNg4SFNa9CcAWVGR7nsXOB</v>
      </c>
      <c r="E9" s="17">
        <f>IFERROR(__xludf.DUMMYFUNCTION("""COMPUTED_VALUE"""),47625.0)</f>
        <v>47625</v>
      </c>
      <c r="F9" s="17">
        <f>IFERROR(__xludf.DUMMYFUNCTION("""COMPUTED_VALUE"""),46529.0)</f>
        <v>46529</v>
      </c>
      <c r="G9" s="17">
        <f>IFERROR(__xludf.DUMMYFUNCTION("""COMPUTED_VALUE"""),46331.0)</f>
        <v>46331</v>
      </c>
      <c r="H9" s="17">
        <f>IFERROR(__xludf.DUMMYFUNCTION("""COMPUTED_VALUE"""),46360.0)</f>
        <v>46360</v>
      </c>
      <c r="I9" s="17">
        <f>IFERROR(__xludf.DUMMYFUNCTION("""COMPUTED_VALUE"""),46331.0)</f>
        <v>46331</v>
      </c>
      <c r="J9" s="17">
        <f>IFERROR(__xludf.DUMMYFUNCTION("""COMPUTED_VALUE"""),46575.0)</f>
        <v>46575</v>
      </c>
      <c r="K9" s="17">
        <f>IFERROR(__xludf.DUMMYFUNCTION("""COMPUTED_VALUE"""),46340.0)</f>
        <v>46340</v>
      </c>
      <c r="L9" s="17">
        <f>IFERROR(__xludf.DUMMYFUNCTION("""COMPUTED_VALUE"""),46388.0)</f>
        <v>46388</v>
      </c>
      <c r="M9" s="4" t="str">
        <f>IFERROR(__xludf.DUMMYFUNCTION("""COMPUTED_VALUE"""),"4260000000011 / 000256")</f>
        <v>4260000000011 / 000256</v>
      </c>
      <c r="N9" s="28" t="str">
        <f>IFERROR(__xludf.DUMMYFUNCTION("""COMPUTED_VALUE"""),"https://drive.google.com/file/d/1TXFzmkFs-TK6KtyUvBInZDrJiX6MP6I7/view?usp=drivesdk")</f>
        <v>https://drive.google.com/file/d/1TXFzmkFs-TK6KtyUvBInZDrJiX6MP6I7/view?usp=drivesdk</v>
      </c>
      <c r="O9" s="28" t="str">
        <f>IFERROR(__xludf.DUMMYFUNCTION("""COMPUTED_VALUE"""),"https://drive.google.com/file/d/1-D7ulaWN2hPOpeimmgJnTaal0L6rQe2L/view?usp=drivesdk")</f>
        <v>https://drive.google.com/file/d/1-D7ulaWN2hPOpeimmgJnTaal0L6rQe2L/view?usp=drivesdk</v>
      </c>
      <c r="P9" s="28" t="str">
        <f>IFERROR(__xludf.DUMMYFUNCTION("""COMPUTED_VALUE"""),"https://drive.google.com/file/d/1UMoJIchv4gKJxvwEswnrb6ehceZMEqpy/view?usp=drivesdk")</f>
        <v>https://drive.google.com/file/d/1UMoJIchv4gKJxvwEswnrb6ehceZMEqpy/view?usp=drivesdk</v>
      </c>
      <c r="Q9" s="28" t="str">
        <f>IFERROR(__xludf.DUMMYFUNCTION("""COMPUTED_VALUE"""),"https://drive.google.com/file/d/1OsjGLz3bS8eULDGhG1Tda-xHF6FGJ3of/view?usp=drivesdk")</f>
        <v>https://drive.google.com/file/d/1OsjGLz3bS8eULDGhG1Tda-xHF6FGJ3of/view?usp=drivesdk</v>
      </c>
      <c r="R9" s="28" t="str">
        <f>IFERROR(__xludf.DUMMYFUNCTION("""COMPUTED_VALUE"""),"https://drive.google.com/file/d/1tsdYsjUCJombb8PdfUk5GuJG0donN-DP/view?usp=drivesdk")</f>
        <v>https://drive.google.com/file/d/1tsdYsjUCJombb8PdfUk5GuJG0donN-DP/view?usp=drivesdk</v>
      </c>
      <c r="S9" s="28" t="str">
        <f>IFERROR(__xludf.DUMMYFUNCTION("""COMPUTED_VALUE"""),"https://drive.google.com/file/d/1R6bQNPauJztjaRZNzenzMqmOETYlA4lz/view?usp=drivesdk")</f>
        <v>https://drive.google.com/file/d/1R6bQNPauJztjaRZNzenzMqmOETYlA4lz/view?usp=drivesdk</v>
      </c>
      <c r="T9" s="28" t="str">
        <f>IFERROR(__xludf.DUMMYFUNCTION("""COMPUTED_VALUE"""),"https://drive.google.com/file/d/1C191wRJfnbJXsCRj5879CHjhR_IGvqMG/view?usp=drivesdk")</f>
        <v>https://drive.google.com/file/d/1C191wRJfnbJXsCRj5879CHjhR_IGvqMG/view?usp=drivesdk</v>
      </c>
      <c r="U9" s="4"/>
      <c r="V9" s="4"/>
      <c r="W9" s="4"/>
      <c r="X9" s="4"/>
      <c r="Y9" s="4"/>
      <c r="Z9" s="4"/>
    </row>
    <row r="10">
      <c r="A10" s="4" t="str">
        <f>IFERROR(__xludf.DUMMYFUNCTION("""COMPUTED_VALUE"""),"H9536OH")</f>
        <v>H9536OH</v>
      </c>
      <c r="B10" s="4" t="str">
        <f>IFERROR(__xludf.DUMMYFUNCTION("""COMPUTED_VALUE"""),"16 KL")</f>
        <v>16 KL</v>
      </c>
      <c r="C10" s="4" t="str">
        <f>IFERROR(__xludf.DUMMYFUNCTION("""COMPUTED_VALUE"""),"PT. LUMAS BIRU MANDIRI")</f>
        <v>PT. LUMAS BIRU MANDIRI</v>
      </c>
      <c r="D10" s="4" t="str">
        <f>IFERROR(__xludf.DUMMYFUNCTION("""COMPUTED_VALUE"""),"1seSOZSSTWfiN1iVE9KpuDOtPfr2rZ7Lp")</f>
        <v>1seSOZSSTWfiN1iVE9KpuDOtPfr2rZ7Lp</v>
      </c>
      <c r="E10" s="17">
        <f>IFERROR(__xludf.DUMMYFUNCTION("""COMPUTED_VALUE"""),47673.0)</f>
        <v>47673</v>
      </c>
      <c r="F10" s="17">
        <f>IFERROR(__xludf.DUMMYFUNCTION("""COMPUTED_VALUE"""),46577.0)</f>
        <v>46577</v>
      </c>
      <c r="G10" s="17">
        <f>IFERROR(__xludf.DUMMYFUNCTION("""COMPUTED_VALUE"""),46437.0)</f>
        <v>46437</v>
      </c>
      <c r="H10" s="17"/>
      <c r="I10" s="17">
        <f>IFERROR(__xludf.DUMMYFUNCTION("""COMPUTED_VALUE"""),46437.0)</f>
        <v>46437</v>
      </c>
      <c r="J10" s="17">
        <f>IFERROR(__xludf.DUMMYFUNCTION("""COMPUTED_VALUE"""),46625.0)</f>
        <v>46625</v>
      </c>
      <c r="K10" s="17">
        <f>IFERROR(__xludf.DUMMYFUNCTION("""COMPUTED_VALUE"""),46340.0)</f>
        <v>46340</v>
      </c>
      <c r="L10" s="17">
        <f>IFERROR(__xludf.DUMMYFUNCTION("""COMPUTED_VALUE"""),46752.0)</f>
        <v>46752</v>
      </c>
      <c r="M10" s="4" t="str">
        <f>IFERROR(__xludf.DUMMYFUNCTION("""COMPUTED_VALUE"""),"3250000008789")</f>
        <v>3250000008789</v>
      </c>
      <c r="N10" s="28" t="str">
        <f>IFERROR(__xludf.DUMMYFUNCTION("""COMPUTED_VALUE"""),"https://drive.google.com/open?id=13eVNsEqEVEatCW3fd3IHay6P47Nk7u4B")</f>
        <v>https://drive.google.com/open?id=13eVNsEqEVEatCW3fd3IHay6P47Nk7u4B</v>
      </c>
      <c r="O10" s="28" t="str">
        <f>IFERROR(__xludf.DUMMYFUNCTION("""COMPUTED_VALUE"""),"https://drive.google.com/file/d/1dA6ozRyBc7ppfRR99bMeu3U0VXjU8ycV/view?usp=drivesdk")</f>
        <v>https://drive.google.com/file/d/1dA6ozRyBc7ppfRR99bMeu3U0VXjU8ycV/view?usp=drivesdk</v>
      </c>
      <c r="P10" s="28" t="str">
        <f>IFERROR(__xludf.DUMMYFUNCTION("""COMPUTED_VALUE"""),"https://drive.google.com/file/d/1kF7tAATxMKAOpnxM6CmVNxTPgDYl20Ko/view?usp=drivesdk")</f>
        <v>https://drive.google.com/file/d/1kF7tAATxMKAOpnxM6CmVNxTPgDYl20Ko/view?usp=drivesdk</v>
      </c>
      <c r="Q10" s="4"/>
      <c r="R10" s="28" t="str">
        <f>IFERROR(__xludf.DUMMYFUNCTION("""COMPUTED_VALUE"""),"https://drive.google.com/file/d/1oNBOfB6wInTqLD2TkmYjHceldbN2CsOd/view?usp=drivesdk")</f>
        <v>https://drive.google.com/file/d/1oNBOfB6wInTqLD2TkmYjHceldbN2CsOd/view?usp=drivesdk</v>
      </c>
      <c r="S10" s="28" t="str">
        <f>IFERROR(__xludf.DUMMYFUNCTION("""COMPUTED_VALUE"""),"https://drive.google.com/file/d/1y_nXXDG42zgUvjLbFUXQtOgF5SYmZkUH/view?usp=drivesdk")</f>
        <v>https://drive.google.com/file/d/1y_nXXDG42zgUvjLbFUXQtOgF5SYmZkUH/view?usp=drivesdk</v>
      </c>
      <c r="T10" s="28" t="str">
        <f>IFERROR(__xludf.DUMMYFUNCTION("""COMPUTED_VALUE"""),"https://drive.google.com/file/d/1-4l1hTYGHjEwGSWbE60yU530cMfDqF_B/view?usp=drivesdk")</f>
        <v>https://drive.google.com/file/d/1-4l1hTYGHjEwGSWbE60yU530cMfDqF_B/view?usp=drivesdk</v>
      </c>
      <c r="U10" s="4"/>
      <c r="V10" s="4"/>
      <c r="W10" s="4"/>
      <c r="X10" s="4"/>
      <c r="Y10" s="4"/>
      <c r="Z10" s="4"/>
    </row>
    <row r="11">
      <c r="A11" s="4" t="str">
        <f>IFERROR(__xludf.DUMMYFUNCTION("""COMPUTED_VALUE"""),"B9811TEI")</f>
        <v>B9811TEI</v>
      </c>
      <c r="B11" s="4" t="str">
        <f>IFERROR(__xludf.DUMMYFUNCTION("""COMPUTED_VALUE"""),"24 KL")</f>
        <v>24 KL</v>
      </c>
      <c r="C11" s="4" t="str">
        <f>IFERROR(__xludf.DUMMYFUNCTION("""COMPUTED_VALUE"""),"PT. ADAM TRANS")</f>
        <v>PT. ADAM TRANS</v>
      </c>
      <c r="D11" s="4" t="str">
        <f>IFERROR(__xludf.DUMMYFUNCTION("""COMPUTED_VALUE"""),"1bTOyiUzWB_x90dtA87-TV4Qi1lhBfvOi")</f>
        <v>1bTOyiUzWB_x90dtA87-TV4Qi1lhBfvOi</v>
      </c>
      <c r="E11" s="17">
        <f>IFERROR(__xludf.DUMMYFUNCTION("""COMPUTED_VALUE"""),46903.0)</f>
        <v>46903</v>
      </c>
      <c r="F11" s="17">
        <f>IFERROR(__xludf.DUMMYFUNCTION("""COMPUTED_VALUE"""),46537.0)</f>
        <v>46537</v>
      </c>
      <c r="G11" s="17">
        <f>IFERROR(__xludf.DUMMYFUNCTION("""COMPUTED_VALUE"""),46436.0)</f>
        <v>46436</v>
      </c>
      <c r="H11" s="17">
        <f>IFERROR(__xludf.DUMMYFUNCTION("""COMPUTED_VALUE"""),46437.0)</f>
        <v>46437</v>
      </c>
      <c r="I11" s="17">
        <f>IFERROR(__xludf.DUMMYFUNCTION("""COMPUTED_VALUE"""),46436.0)</f>
        <v>46436</v>
      </c>
      <c r="J11" s="17">
        <f>IFERROR(__xludf.DUMMYFUNCTION("""COMPUTED_VALUE"""),46922.0)</f>
        <v>46922</v>
      </c>
      <c r="K11" s="17">
        <f>IFERROR(__xludf.DUMMYFUNCTION("""COMPUTED_VALUE"""),46372.0)</f>
        <v>46372</v>
      </c>
      <c r="L11" s="17">
        <f>IFERROR(__xludf.DUMMYFUNCTION("""COMPUTED_VALUE"""),46388.0)</f>
        <v>46388</v>
      </c>
      <c r="M11" s="4" t="str">
        <f>IFERROR(__xludf.DUMMYFUNCTION("""COMPUTED_VALUE"""),"04260000000011 / 000010")</f>
        <v>04260000000011 / 000010</v>
      </c>
      <c r="N11" s="28" t="str">
        <f>IFERROR(__xludf.DUMMYFUNCTION("""COMPUTED_VALUE"""),"https://drive.google.com/file/d/1djHz2o2QWIHe6gsjLsUoXx8F6TmUZ1KI/view?usp=drive_link")</f>
        <v>https://drive.google.com/file/d/1djHz2o2QWIHe6gsjLsUoXx8F6TmUZ1KI/view?usp=drive_link</v>
      </c>
      <c r="O11" s="28" t="str">
        <f>IFERROR(__xludf.DUMMYFUNCTION("""COMPUTED_VALUE"""),"https://drive.google.com/file/d/1djHz2o2QWIHe6gsjLsUoXx8F6TmUZ1KI/view?usp=drive_link")</f>
        <v>https://drive.google.com/file/d/1djHz2o2QWIHe6gsjLsUoXx8F6TmUZ1KI/view?usp=drive_link</v>
      </c>
      <c r="P11" s="28" t="str">
        <f>IFERROR(__xludf.DUMMYFUNCTION("""COMPUTED_VALUE"""),"https://drive.google.com/file/d/1ZqDPWGuv6O9tsH4xnfZdg8lHN9DdkvPz/view?usp=drivesdk")</f>
        <v>https://drive.google.com/file/d/1ZqDPWGuv6O9tsH4xnfZdg8lHN9DdkvPz/view?usp=drivesdk</v>
      </c>
      <c r="Q11" s="28" t="str">
        <f>IFERROR(__xludf.DUMMYFUNCTION("""COMPUTED_VALUE"""),"https://drive.google.com/file/d/1n_MEEMzZ87SfGWgUcl4Vcx0axjPaF19u/view?usp=drivesdk")</f>
        <v>https://drive.google.com/file/d/1n_MEEMzZ87SfGWgUcl4Vcx0axjPaF19u/view?usp=drivesdk</v>
      </c>
      <c r="R11" s="28" t="str">
        <f>IFERROR(__xludf.DUMMYFUNCTION("""COMPUTED_VALUE"""),"https://drive.google.com/file/d/1UQm8c4yDjfR6sG9bmYi-2IuhJOEachE1/view?usp=drivesdk")</f>
        <v>https://drive.google.com/file/d/1UQm8c4yDjfR6sG9bmYi-2IuhJOEachE1/view?usp=drivesdk</v>
      </c>
      <c r="S11" s="28" t="str">
        <f>IFERROR(__xludf.DUMMYFUNCTION("""COMPUTED_VALUE"""),"https://drive.google.com/file/d/1LX0wu-I_rr6kjfaHj92dmyuSPewsZP8e/view?usp=drivesdk")</f>
        <v>https://drive.google.com/file/d/1LX0wu-I_rr6kjfaHj92dmyuSPewsZP8e/view?usp=drivesdk</v>
      </c>
      <c r="T11" s="28" t="str">
        <f>IFERROR(__xludf.DUMMYFUNCTION("""COMPUTED_VALUE"""),"https://drive.google.com/file/d/1AyMMotb-PLDTbX1v6jqYBL7kOXbE25iP/view?usp=drivesdk")</f>
        <v>https://drive.google.com/file/d/1AyMMotb-PLDTbX1v6jqYBL7kOXbE25iP/view?usp=drivesdk</v>
      </c>
      <c r="U11" s="4"/>
      <c r="V11" s="4"/>
      <c r="W11" s="4"/>
      <c r="X11" s="4"/>
      <c r="Y11" s="4"/>
      <c r="Z11" s="4"/>
    </row>
    <row r="12">
      <c r="A12" s="4" t="str">
        <f>IFERROR(__xludf.DUMMYFUNCTION("""COMPUTED_VALUE"""),"N9405UH")</f>
        <v>N9405UH</v>
      </c>
      <c r="B12" s="4" t="str">
        <f>IFERROR(__xludf.DUMMYFUNCTION("""COMPUTED_VALUE"""),"8 KL")</f>
        <v>8 KL</v>
      </c>
      <c r="C12" s="4" t="str">
        <f>IFERROR(__xludf.DUMMYFUNCTION("""COMPUTED_VALUE"""),"PT. DHARMA CITRA ENERGY")</f>
        <v>PT. DHARMA CITRA ENERGY</v>
      </c>
      <c r="D12" s="4" t="str">
        <f>IFERROR(__xludf.DUMMYFUNCTION("""COMPUTED_VALUE"""),"14KIY2SLr8YEi-Rt_PNAm5Nexydnn7-Ls")</f>
        <v>14KIY2SLr8YEi-Rt_PNAm5Nexydnn7-Ls</v>
      </c>
      <c r="E12" s="17">
        <f>IFERROR(__xludf.DUMMYFUNCTION("""COMPUTED_VALUE"""),47102.0)</f>
        <v>47102</v>
      </c>
      <c r="F12" s="17">
        <f>IFERROR(__xludf.DUMMYFUNCTION("""COMPUTED_VALUE"""),46371.0)</f>
        <v>46371</v>
      </c>
      <c r="G12" s="17">
        <f>IFERROR(__xludf.DUMMYFUNCTION("""COMPUTED_VALUE"""),46367.0)</f>
        <v>46367</v>
      </c>
      <c r="H12" s="17"/>
      <c r="I12" s="17">
        <f>IFERROR(__xludf.DUMMYFUNCTION("""COMPUTED_VALUE"""),46367.0)</f>
        <v>46367</v>
      </c>
      <c r="J12" s="17">
        <f>IFERROR(__xludf.DUMMYFUNCTION("""COMPUTED_VALUE"""),46767.0)</f>
        <v>46767</v>
      </c>
      <c r="K12" s="17">
        <f>IFERROR(__xludf.DUMMYFUNCTION("""COMPUTED_VALUE"""),46360.0)</f>
        <v>46360</v>
      </c>
      <c r="L12" s="17">
        <f>IFERROR(__xludf.DUMMYFUNCTION("""COMPUTED_VALUE"""),46388.0)</f>
        <v>46388</v>
      </c>
      <c r="M12" s="4" t="str">
        <f>IFERROR(__xludf.DUMMYFUNCTION("""COMPUTED_VALUE"""),"04260000000011 / 000083")</f>
        <v>04260000000011 / 000083</v>
      </c>
      <c r="N12" s="28" t="str">
        <f>IFERROR(__xludf.DUMMYFUNCTION("""COMPUTED_VALUE"""),"https://drive.google.com/file/d/1lnthKqpJtw9qZGYx9_D3wVn4B7oftpsd/view?usp=drivesdk")</f>
        <v>https://drive.google.com/file/d/1lnthKqpJtw9qZGYx9_D3wVn4B7oftpsd/view?usp=drivesdk</v>
      </c>
      <c r="O12" s="28" t="str">
        <f>IFERROR(__xludf.DUMMYFUNCTION("""COMPUTED_VALUE"""),"https://drive.google.com/file/d/1VMylKtqpQYXLzk8qN4_Iuj_7KASvmsC8/view?usp=drivesdk")</f>
        <v>https://drive.google.com/file/d/1VMylKtqpQYXLzk8qN4_Iuj_7KASvmsC8/view?usp=drivesdk</v>
      </c>
      <c r="P12" s="28" t="str">
        <f>IFERROR(__xludf.DUMMYFUNCTION("""COMPUTED_VALUE"""),"https://drive.google.com/file/d/1jlABZbsWm2_ykftU8ToK8ZfTIWVXFsge/view?usp=drivesdk")</f>
        <v>https://drive.google.com/file/d/1jlABZbsWm2_ykftU8ToK8ZfTIWVXFsge/view?usp=drivesdk</v>
      </c>
      <c r="Q12" s="4"/>
      <c r="R12" s="28" t="str">
        <f>IFERROR(__xludf.DUMMYFUNCTION("""COMPUTED_VALUE"""),"https://drive.google.com/file/d/13hBtntokWjjKvHDOQSnA7uKHnybKbWyi/view?usp=drivesdk")</f>
        <v>https://drive.google.com/file/d/13hBtntokWjjKvHDOQSnA7uKHnybKbWyi/view?usp=drivesdk</v>
      </c>
      <c r="S12" s="28" t="str">
        <f>IFERROR(__xludf.DUMMYFUNCTION("""COMPUTED_VALUE"""),"https://drive.google.com/file/d/1bldOeS1vC50bLImcW9sfVzTtB85KnV8z/view?usp=drivesdk")</f>
        <v>https://drive.google.com/file/d/1bldOeS1vC50bLImcW9sfVzTtB85KnV8z/view?usp=drivesdk</v>
      </c>
      <c r="T12" s="4"/>
      <c r="U12" s="4"/>
      <c r="V12" s="4"/>
      <c r="W12" s="28" t="str">
        <f>IFERROR(__xludf.DUMMYFUNCTION("""COMPUTED_VALUE"""),"https://drive.google.com/file/d/12jGGxm9htEfJzU0A7UtLM20iyfiIJW3k/view?usp=drivesdk")</f>
        <v>https://drive.google.com/file/d/12jGGxm9htEfJzU0A7UtLM20iyfiIJW3k/view?usp=drivesdk</v>
      </c>
      <c r="X12" s="28" t="str">
        <f>IFERROR(__xludf.DUMMYFUNCTION("""COMPUTED_VALUE"""),"https://drive.google.com/file/d/11rqf1uX44cnR1gt21Jm4IYJ-mr3rLCoy/view?usp=drivesdk")</f>
        <v>https://drive.google.com/file/d/11rqf1uX44cnR1gt21Jm4IYJ-mr3rLCoy/view?usp=drivesdk</v>
      </c>
      <c r="Y12" s="28" t="str">
        <f>IFERROR(__xludf.DUMMYFUNCTION("""COMPUTED_VALUE"""),"https://drive.google.com/file/d/1XPqrSz3WydsIoU6wbBMPIVE0FtsxjCOz/view?usp=drivesdk")</f>
        <v>https://drive.google.com/file/d/1XPqrSz3WydsIoU6wbBMPIVE0FtsxjCOz/view?usp=drivesdk</v>
      </c>
      <c r="Z12" s="28" t="str">
        <f>IFERROR(__xludf.DUMMYFUNCTION("""COMPUTED_VALUE"""),"https://drive.google.com/file/d/1RgxNvsGwqUZ_m5Tn6Ox8_XrmHAyP1Vpn/view?usp=drivesdk")</f>
        <v>https://drive.google.com/file/d/1RgxNvsGwqUZ_m5Tn6Ox8_XrmHAyP1Vpn/view?usp=drivesdk</v>
      </c>
    </row>
    <row r="13">
      <c r="A13" s="4" t="str">
        <f>IFERROR(__xludf.DUMMYFUNCTION("""COMPUTED_VALUE"""),"E9535YC")</f>
        <v>E9535YC</v>
      </c>
      <c r="B13" s="4" t="str">
        <f>IFERROR(__xludf.DUMMYFUNCTION("""COMPUTED_VALUE"""),"24 KL")</f>
        <v>24 KL</v>
      </c>
      <c r="C13" s="4" t="str">
        <f>IFERROR(__xludf.DUMMYFUNCTION("""COMPUTED_VALUE"""),"PT. PUSPITA CIPTA")</f>
        <v>PT. PUSPITA CIPTA</v>
      </c>
      <c r="D13" s="4" t="str">
        <f>IFERROR(__xludf.DUMMYFUNCTION("""COMPUTED_VALUE"""),"19Ja4tS6J0Q8k8WU8TTgN-9V6pdI4sIWI")</f>
        <v>19Ja4tS6J0Q8k8WU8TTgN-9V6pdI4sIWI</v>
      </c>
      <c r="E13" s="17">
        <f>IFERROR(__xludf.DUMMYFUNCTION("""COMPUTED_VALUE"""),47779.0)</f>
        <v>47779</v>
      </c>
      <c r="F13" s="17">
        <f>IFERROR(__xludf.DUMMYFUNCTION("""COMPUTED_VALUE"""),46318.0)</f>
        <v>46318</v>
      </c>
      <c r="G13" s="17">
        <f>IFERROR(__xludf.DUMMYFUNCTION("""COMPUTED_VALUE"""),46337.0)</f>
        <v>46337</v>
      </c>
      <c r="H13" s="17">
        <f>IFERROR(__xludf.DUMMYFUNCTION("""COMPUTED_VALUE"""),46337.0)</f>
        <v>46337</v>
      </c>
      <c r="I13" s="17">
        <f>IFERROR(__xludf.DUMMYFUNCTION("""COMPUTED_VALUE"""),46337.0)</f>
        <v>46337</v>
      </c>
      <c r="J13" s="17">
        <f>IFERROR(__xludf.DUMMYFUNCTION("""COMPUTED_VALUE"""),46719.0)</f>
        <v>46719</v>
      </c>
      <c r="K13" s="17">
        <f>IFERROR(__xludf.DUMMYFUNCTION("""COMPUTED_VALUE"""),46373.0)</f>
        <v>46373</v>
      </c>
      <c r="L13" s="17">
        <f>IFERROR(__xludf.DUMMYFUNCTION("""COMPUTED_VALUE"""),46388.0)</f>
        <v>46388</v>
      </c>
      <c r="M13" s="4" t="str">
        <f>IFERROR(__xludf.DUMMYFUNCTION("""COMPUTED_VALUE"""),"04260000000011 / 000694")</f>
        <v>04260000000011 / 000694</v>
      </c>
      <c r="N13" s="28" t="str">
        <f>IFERROR(__xludf.DUMMYFUNCTION("""COMPUTED_VALUE"""),"https://drive.google.com/open?id=1MvkU6ZXaK2HDzgui8DrHFY2ry0SgdDb8")</f>
        <v>https://drive.google.com/open?id=1MvkU6ZXaK2HDzgui8DrHFY2ry0SgdDb8</v>
      </c>
      <c r="O13" s="28" t="str">
        <f>IFERROR(__xludf.DUMMYFUNCTION("""COMPUTED_VALUE"""),"https://drive.google.com/open?id=1MvkU6ZXaK2HDzgui8DrHFY2ry0SgdDb8")</f>
        <v>https://drive.google.com/open?id=1MvkU6ZXaK2HDzgui8DrHFY2ry0SgdDb8</v>
      </c>
      <c r="P13" s="28" t="str">
        <f>IFERROR(__xludf.DUMMYFUNCTION("""COMPUTED_VALUE"""),"https://drive.google.com/open?id=1D5KsISBMrsWugifOd0cYI_bpSgBK9_43")</f>
        <v>https://drive.google.com/open?id=1D5KsISBMrsWugifOd0cYI_bpSgBK9_43</v>
      </c>
      <c r="Q13" s="28" t="str">
        <f>IFERROR(__xludf.DUMMYFUNCTION("""COMPUTED_VALUE"""),"https://drive.google.com/open?id=1yxXrdFMH686QcF4zdly-JTUMTdmeR3l8")</f>
        <v>https://drive.google.com/open?id=1yxXrdFMH686QcF4zdly-JTUMTdmeR3l8</v>
      </c>
      <c r="R13" s="28" t="str">
        <f>IFERROR(__xludf.DUMMYFUNCTION("""COMPUTED_VALUE"""),"https://drive.google.com/open?id=17k9Kt0doX1tnJDsq9CxfqOVOclly1Whu")</f>
        <v>https://drive.google.com/open?id=17k9Kt0doX1tnJDsq9CxfqOVOclly1Whu</v>
      </c>
      <c r="S13" s="28" t="str">
        <f>IFERROR(__xludf.DUMMYFUNCTION("""COMPUTED_VALUE"""),"https://drive.google.com/file/d/1W2IysUDBgYiAlKnGGIGgLXWb9eulVwoy/view?usp=drivesdk")</f>
        <v>https://drive.google.com/file/d/1W2IysUDBgYiAlKnGGIGgLXWb9eulVwoy/view?usp=drivesdk</v>
      </c>
      <c r="T13" s="28" t="str">
        <f>IFERROR(__xludf.DUMMYFUNCTION("""COMPUTED_VALUE"""),"https://drive.google.com/file/d/1OuoaML7a0JWwE9hPfGmzB5aOzDZ8_ii1/view?usp=drivesdk")</f>
        <v>https://drive.google.com/file/d/1OuoaML7a0JWwE9hPfGmzB5aOzDZ8_ii1/view?usp=drivesdk</v>
      </c>
      <c r="U13" s="4"/>
      <c r="V13" s="4"/>
      <c r="W13" s="4"/>
      <c r="X13" s="4"/>
      <c r="Y13" s="4"/>
      <c r="Z13" s="4"/>
    </row>
    <row r="14">
      <c r="A14" s="4" t="str">
        <f>IFERROR(__xludf.DUMMYFUNCTION("""COMPUTED_VALUE"""),"AD8603OH")</f>
        <v>AD8603OH</v>
      </c>
      <c r="B14" s="4" t="str">
        <f>IFERROR(__xludf.DUMMYFUNCTION("""COMPUTED_VALUE"""),"24 KL")</f>
        <v>24 KL</v>
      </c>
      <c r="C14" s="4" t="str">
        <f>IFERROR(__xludf.DUMMYFUNCTION("""COMPUTED_VALUE"""),"PT. KARYAMAS NIAGA MANUNGGAL JAYA")</f>
        <v>PT. KARYAMAS NIAGA MANUNGGAL JAYA</v>
      </c>
      <c r="D14" s="4" t="str">
        <f>IFERROR(__xludf.DUMMYFUNCTION("""COMPUTED_VALUE"""),"12oH5NmPu3tiM8PMzX7iJWG6lbevvQEEK")</f>
        <v>12oH5NmPu3tiM8PMzX7iJWG6lbevvQEEK</v>
      </c>
      <c r="E14" s="17">
        <f>IFERROR(__xludf.DUMMYFUNCTION("""COMPUTED_VALUE"""),47645.0)</f>
        <v>47645</v>
      </c>
      <c r="F14" s="17">
        <f>IFERROR(__xludf.DUMMYFUNCTION("""COMPUTED_VALUE"""),46549.0)</f>
        <v>46549</v>
      </c>
      <c r="G14" s="17">
        <f>IFERROR(__xludf.DUMMYFUNCTION("""COMPUTED_VALUE"""),46364.0)</f>
        <v>46364</v>
      </c>
      <c r="H14" s="17">
        <f>IFERROR(__xludf.DUMMYFUNCTION("""COMPUTED_VALUE"""),46364.0)</f>
        <v>46364</v>
      </c>
      <c r="I14" s="17">
        <f>IFERROR(__xludf.DUMMYFUNCTION("""COMPUTED_VALUE"""),46364.0)</f>
        <v>46364</v>
      </c>
      <c r="J14" s="17">
        <f>IFERROR(__xludf.DUMMYFUNCTION("""COMPUTED_VALUE"""),46576.0)</f>
        <v>46576</v>
      </c>
      <c r="K14" s="17">
        <f>IFERROR(__xludf.DUMMYFUNCTION("""COMPUTED_VALUE"""),46304.0)</f>
        <v>46304</v>
      </c>
      <c r="L14" s="17">
        <f>IFERROR(__xludf.DUMMYFUNCTION("""COMPUTED_VALUE"""),46906.0)</f>
        <v>46906</v>
      </c>
      <c r="M14" s="4" t="str">
        <f>IFERROR(__xludf.DUMMYFUNCTION("""COMPUTED_VALUE"""),"1LA02312400224")</f>
        <v>1LA02312400224</v>
      </c>
      <c r="N14" s="28" t="str">
        <f>IFERROR(__xludf.DUMMYFUNCTION("""COMPUTED_VALUE"""),"https://drive.google.com/file/d/1bYgrhIV1x3zEyj2ZQTN3ma40sTwY2MPA/view?usp=drivesdk")</f>
        <v>https://drive.google.com/file/d/1bYgrhIV1x3zEyj2ZQTN3ma40sTwY2MPA/view?usp=drivesdk</v>
      </c>
      <c r="O14" s="28" t="str">
        <f>IFERROR(__xludf.DUMMYFUNCTION("""COMPUTED_VALUE"""),"https://drive.google.com/file/d/1FhMSycKJX5TafoW076Ldc6jMWj6C_7kZ/view?usp=drivesdk")</f>
        <v>https://drive.google.com/file/d/1FhMSycKJX5TafoW076Ldc6jMWj6C_7kZ/view?usp=drivesdk</v>
      </c>
      <c r="P14" s="28" t="str">
        <f>IFERROR(__xludf.DUMMYFUNCTION("""COMPUTED_VALUE"""),"https://drive.google.com/file/d/1gFYe_MMVqLPsiU_5uhiH4YVHCBUCwdfN/view?usp=drivesdk")</f>
        <v>https://drive.google.com/file/d/1gFYe_MMVqLPsiU_5uhiH4YVHCBUCwdfN/view?usp=drivesdk</v>
      </c>
      <c r="Q14" s="28" t="str">
        <f>IFERROR(__xludf.DUMMYFUNCTION("""COMPUTED_VALUE"""),"https://drive.google.com/file/d/1QLvzje84Cc-GighI0rpyx-8b6o5i5zxN/view?usp=drivesdk")</f>
        <v>https://drive.google.com/file/d/1QLvzje84Cc-GighI0rpyx-8b6o5i5zxN/view?usp=drivesdk</v>
      </c>
      <c r="R14" s="28" t="str">
        <f>IFERROR(__xludf.DUMMYFUNCTION("""COMPUTED_VALUE"""),"https://drive.google.com/file/d/1MeT4VzSTqyT9wn70Ejy7GiDhnkE4duNc/view?usp=drivesdk")</f>
        <v>https://drive.google.com/file/d/1MeT4VzSTqyT9wn70Ejy7GiDhnkE4duNc/view?usp=drivesdk</v>
      </c>
      <c r="S14" s="28" t="str">
        <f>IFERROR(__xludf.DUMMYFUNCTION("""COMPUTED_VALUE"""),"https://drive.google.com/file/d/1vFbKIx6AZfHkBUoCOVCSTzBRkQvjwwuM/view?usp=drivesdk")</f>
        <v>https://drive.google.com/file/d/1vFbKIx6AZfHkBUoCOVCSTzBRkQvjwwuM/view?usp=drivesdk</v>
      </c>
      <c r="T14" s="28" t="str">
        <f>IFERROR(__xludf.DUMMYFUNCTION("""COMPUTED_VALUE"""),"https://drive.google.com/file/d/1HDIB7AdaF50gQEPp0EibQi16ff5lZWs-/view?usp=drivesdk")</f>
        <v>https://drive.google.com/file/d/1HDIB7AdaF50gQEPp0EibQi16ff5lZWs-/view?usp=drivesdk</v>
      </c>
      <c r="U14" s="4"/>
      <c r="V14" s="4"/>
      <c r="W14" s="4"/>
      <c r="X14" s="4"/>
      <c r="Y14" s="4"/>
      <c r="Z14" s="4"/>
    </row>
    <row r="15">
      <c r="A15" s="4" t="str">
        <f>IFERROR(__xludf.DUMMYFUNCTION("""COMPUTED_VALUE"""),"B9355TFV")</f>
        <v>B9355TFV</v>
      </c>
      <c r="B15" s="4" t="str">
        <f>IFERROR(__xludf.DUMMYFUNCTION("""COMPUTED_VALUE"""),"24 KL")</f>
        <v>24 KL</v>
      </c>
      <c r="C15" s="4" t="str">
        <f>IFERROR(__xludf.DUMMYFUNCTION("""COMPUTED_VALUE"""),"PT. ADAM TRANS")</f>
        <v>PT. ADAM TRANS</v>
      </c>
      <c r="D15" s="4" t="str">
        <f>IFERROR(__xludf.DUMMYFUNCTION("""COMPUTED_VALUE"""),"1q0UQepxKo4k4F9OsWPTIXZnyDfp1puk9")</f>
        <v>1q0UQepxKo4k4F9OsWPTIXZnyDfp1puk9</v>
      </c>
      <c r="E15" s="17">
        <f>IFERROR(__xludf.DUMMYFUNCTION("""COMPUTED_VALUE"""),46680.0)</f>
        <v>46680</v>
      </c>
      <c r="F15" s="17">
        <f>IFERROR(__xludf.DUMMYFUNCTION("""COMPUTED_VALUE"""),46315.0)</f>
        <v>46315</v>
      </c>
      <c r="G15" s="17">
        <f>IFERROR(__xludf.DUMMYFUNCTION("""COMPUTED_VALUE"""),46303.0)</f>
        <v>46303</v>
      </c>
      <c r="H15" s="17">
        <f>IFERROR(__xludf.DUMMYFUNCTION("""COMPUTED_VALUE"""),46303.0)</f>
        <v>46303</v>
      </c>
      <c r="I15" s="17">
        <f>IFERROR(__xludf.DUMMYFUNCTION("""COMPUTED_VALUE"""),46303.0)</f>
        <v>46303</v>
      </c>
      <c r="J15" s="17">
        <f>IFERROR(__xludf.DUMMYFUNCTION("""COMPUTED_VALUE"""),46402.0)</f>
        <v>46402</v>
      </c>
      <c r="K15" s="17">
        <f>IFERROR(__xludf.DUMMYFUNCTION("""COMPUTED_VALUE"""),46311.0)</f>
        <v>46311</v>
      </c>
      <c r="L15" s="17">
        <f>IFERROR(__xludf.DUMMYFUNCTION("""COMPUTED_VALUE"""),46388.0)</f>
        <v>46388</v>
      </c>
      <c r="M15" s="4" t="str">
        <f>IFERROR(__xludf.DUMMYFUNCTION("""COMPUTED_VALUE"""),"04260000000011 / 000006")</f>
        <v>04260000000011 / 000006</v>
      </c>
      <c r="N15" s="28" t="str">
        <f>IFERROR(__xludf.DUMMYFUNCTION("""COMPUTED_VALUE"""),"https://drive.google.com/file/d/1TFGQS8rVkJLi8Jc5HIQBjWLfBNEIRySs/view?usp=drivesdk")</f>
        <v>https://drive.google.com/file/d/1TFGQS8rVkJLi8Jc5HIQBjWLfBNEIRySs/view?usp=drivesdk</v>
      </c>
      <c r="O15" s="28" t="str">
        <f>IFERROR(__xludf.DUMMYFUNCTION("""COMPUTED_VALUE"""),"https://drive.google.com/file/d/1G78MxIvNdYdSPZO40okKSjVS9dADF43L/view?usp=drivesdk")</f>
        <v>https://drive.google.com/file/d/1G78MxIvNdYdSPZO40okKSjVS9dADF43L/view?usp=drivesdk</v>
      </c>
      <c r="P15" s="28" t="str">
        <f>IFERROR(__xludf.DUMMYFUNCTION("""COMPUTED_VALUE"""),"https://drive.google.com/file/d/1ltFIQPczDedEA_8MsrMBf_OMWpNele_6/view?usp=drivesdk")</f>
        <v>https://drive.google.com/file/d/1ltFIQPczDedEA_8MsrMBf_OMWpNele_6/view?usp=drivesdk</v>
      </c>
      <c r="Q15" s="28" t="str">
        <f>IFERROR(__xludf.DUMMYFUNCTION("""COMPUTED_VALUE"""),"https://drive.google.com/file/d/1uXmdxwohi8M7VgG2AV8RIWaklBL6HJhK/view?usp=drivesdk")</f>
        <v>https://drive.google.com/file/d/1uXmdxwohi8M7VgG2AV8RIWaklBL6HJhK/view?usp=drivesdk</v>
      </c>
      <c r="R15" s="28" t="str">
        <f>IFERROR(__xludf.DUMMYFUNCTION("""COMPUTED_VALUE"""),"https://drive.google.com/file/d/19wXvuVnBrVnj8D9b2jc8nVsRFZDJs-PA/view?usp=drivesdk")</f>
        <v>https://drive.google.com/file/d/19wXvuVnBrVnj8D9b2jc8nVsRFZDJs-PA/view?usp=drivesdk</v>
      </c>
      <c r="S15" s="28" t="str">
        <f>IFERROR(__xludf.DUMMYFUNCTION("""COMPUTED_VALUE"""),"https://drive.google.com/file/d/1PxoZpHfXCKI42TbGsNpnddm_gFv5UO7A/view?usp=drivesdk")</f>
        <v>https://drive.google.com/file/d/1PxoZpHfXCKI42TbGsNpnddm_gFv5UO7A/view?usp=drivesdk</v>
      </c>
      <c r="T15" s="28" t="str">
        <f>IFERROR(__xludf.DUMMYFUNCTION("""COMPUTED_VALUE"""),"https://drive.google.com/file/d/1vYieVYFfLuyFLSyNWyNAePyCVIECYsxq/view?usp=drivesdk")</f>
        <v>https://drive.google.com/file/d/1vYieVYFfLuyFLSyNWyNAePyCVIECYsxq/view?usp=drivesdk</v>
      </c>
      <c r="U15" s="4"/>
      <c r="V15" s="4"/>
      <c r="W15" s="4"/>
      <c r="X15" s="4"/>
      <c r="Y15" s="4"/>
      <c r="Z15" s="4"/>
    </row>
    <row r="16">
      <c r="A16" s="4" t="str">
        <f>IFERROR(__xludf.DUMMYFUNCTION("""COMPUTED_VALUE"""),"B9300TFV")</f>
        <v>B9300TFV</v>
      </c>
      <c r="B16" s="4" t="str">
        <f>IFERROR(__xludf.DUMMYFUNCTION("""COMPUTED_VALUE"""),"16 KL")</f>
        <v>16 KL</v>
      </c>
      <c r="C16" s="4" t="str">
        <f>IFERROR(__xludf.DUMMYFUNCTION("""COMPUTED_VALUE"""),"PT. ADAM TRANS")</f>
        <v>PT. ADAM TRANS</v>
      </c>
      <c r="D16" s="4" t="str">
        <f>IFERROR(__xludf.DUMMYFUNCTION("""COMPUTED_VALUE"""),"1vZI0K59PG0_8JKLauSU8gH-Oz9m_E_LO")</f>
        <v>1vZI0K59PG0_8JKLauSU8gH-Oz9m_E_LO</v>
      </c>
      <c r="E16" s="17">
        <f>IFERROR(__xludf.DUMMYFUNCTION("""COMPUTED_VALUE"""),46730.0)</f>
        <v>46730</v>
      </c>
      <c r="F16" s="17">
        <f>IFERROR(__xludf.DUMMYFUNCTION("""COMPUTED_VALUE"""),46365.0)</f>
        <v>46365</v>
      </c>
      <c r="G16" s="17">
        <f>IFERROR(__xludf.DUMMYFUNCTION("""COMPUTED_VALUE"""),46303.0)</f>
        <v>46303</v>
      </c>
      <c r="H16" s="17"/>
      <c r="I16" s="17">
        <f>IFERROR(__xludf.DUMMYFUNCTION("""COMPUTED_VALUE"""),46303.0)</f>
        <v>46303</v>
      </c>
      <c r="J16" s="17">
        <f>IFERROR(__xludf.DUMMYFUNCTION("""COMPUTED_VALUE"""),46337.0)</f>
        <v>46337</v>
      </c>
      <c r="K16" s="17">
        <f>IFERROR(__xludf.DUMMYFUNCTION("""COMPUTED_VALUE"""),46347.0)</f>
        <v>46347</v>
      </c>
      <c r="L16" s="17">
        <f>IFERROR(__xludf.DUMMYFUNCTION("""COMPUTED_VALUE"""),46388.0)</f>
        <v>46388</v>
      </c>
      <c r="M16" s="4" t="str">
        <f>IFERROR(__xludf.DUMMYFUNCTION("""COMPUTED_VALUE"""),"04260000000011 / 000007")</f>
        <v>04260000000011 / 000007</v>
      </c>
      <c r="N16" s="28" t="str">
        <f>IFERROR(__xludf.DUMMYFUNCTION("""COMPUTED_VALUE"""),"https://drive.google.com/open?id=1ykyEqUKp4ew8ZY--GCiOERcpShBEU7TH")</f>
        <v>https://drive.google.com/open?id=1ykyEqUKp4ew8ZY--GCiOERcpShBEU7TH</v>
      </c>
      <c r="O16" s="28" t="str">
        <f>IFERROR(__xludf.DUMMYFUNCTION("""COMPUTED_VALUE"""),"https://drive.google.com/open?id=1ykyEqUKp4ew8ZY--GCiOERcpShBEU7TH")</f>
        <v>https://drive.google.com/open?id=1ykyEqUKp4ew8ZY--GCiOERcpShBEU7TH</v>
      </c>
      <c r="P16" s="28" t="str">
        <f>IFERROR(__xludf.DUMMYFUNCTION("""COMPUTED_VALUE"""),"https://drive.google.com/open?id=1mxxpr9otFS2YaCWVpTag4F1FKshdLUg2")</f>
        <v>https://drive.google.com/open?id=1mxxpr9otFS2YaCWVpTag4F1FKshdLUg2</v>
      </c>
      <c r="Q16" s="4"/>
      <c r="R16" s="28" t="str">
        <f>IFERROR(__xludf.DUMMYFUNCTION("""COMPUTED_VALUE"""),"https://drive.google.com/open?id=1eyLMji7Q0hb3HOsATXV8GjPZfn51KmKa")</f>
        <v>https://drive.google.com/open?id=1eyLMji7Q0hb3HOsATXV8GjPZfn51KmKa</v>
      </c>
      <c r="S16" s="28" t="str">
        <f>IFERROR(__xludf.DUMMYFUNCTION("""COMPUTED_VALUE"""),"https://drive.google.com/file/d/1EJnDF19gX9JCyWJlM0b2gtcO-Nnu8UzK/view?usp=drivesdk")</f>
        <v>https://drive.google.com/file/d/1EJnDF19gX9JCyWJlM0b2gtcO-Nnu8UzK/view?usp=drivesdk</v>
      </c>
      <c r="T16" s="28" t="str">
        <f>IFERROR(__xludf.DUMMYFUNCTION("""COMPUTED_VALUE"""),"https://drive.google.com/file/d/1oGOlqrUZxG4VE6ZTl3quJLMQE3LGekkV/view?usp=drivesdk")</f>
        <v>https://drive.google.com/file/d/1oGOlqrUZxG4VE6ZTl3quJLMQE3LGekkV/view?usp=drivesdk</v>
      </c>
      <c r="U16" s="4"/>
      <c r="V16" s="4"/>
      <c r="W16" s="4"/>
      <c r="X16" s="4"/>
      <c r="Y16" s="4"/>
      <c r="Z16" s="4"/>
    </row>
    <row r="17">
      <c r="A17" s="4" t="str">
        <f>IFERROR(__xludf.DUMMYFUNCTION("""COMPUTED_VALUE"""),"B9298SFW")</f>
        <v>B9298SFW</v>
      </c>
      <c r="B17" s="4" t="str">
        <f>IFERROR(__xludf.DUMMYFUNCTION("""COMPUTED_VALUE"""),"16 KL")</f>
        <v>16 KL</v>
      </c>
      <c r="C17" s="4" t="str">
        <f>IFERROR(__xludf.DUMMYFUNCTION("""COMPUTED_VALUE"""),"PT. ELNUSA PETROFIN")</f>
        <v>PT. ELNUSA PETROFIN</v>
      </c>
      <c r="D17" s="4" t="str">
        <f>IFERROR(__xludf.DUMMYFUNCTION("""COMPUTED_VALUE"""),"1SGLTK7FD4NBB65ITNlPolSAJL_69Onqo")</f>
        <v>1SGLTK7FD4NBB65ITNlPolSAJL_69Onqo</v>
      </c>
      <c r="E17" s="17">
        <f>IFERROR(__xludf.DUMMYFUNCTION("""COMPUTED_VALUE"""),47954.0)</f>
        <v>47954</v>
      </c>
      <c r="F17" s="17">
        <f>IFERROR(__xludf.DUMMYFUNCTION("""COMPUTED_VALUE"""),46493.0)</f>
        <v>46493</v>
      </c>
      <c r="G17" s="17">
        <f>IFERROR(__xludf.DUMMYFUNCTION("""COMPUTED_VALUE"""),46323.0)</f>
        <v>46323</v>
      </c>
      <c r="H17" s="17"/>
      <c r="I17" s="17">
        <f>IFERROR(__xludf.DUMMYFUNCTION("""COMPUTED_VALUE"""),46323.0)</f>
        <v>46323</v>
      </c>
      <c r="J17" s="17">
        <f>IFERROR(__xludf.DUMMYFUNCTION("""COMPUTED_VALUE"""),46892.0)</f>
        <v>46892</v>
      </c>
      <c r="K17" s="17">
        <f>IFERROR(__xludf.DUMMYFUNCTION("""COMPUTED_VALUE"""),46362.0)</f>
        <v>46362</v>
      </c>
      <c r="L17" s="17">
        <f>IFERROR(__xludf.DUMMYFUNCTION("""COMPUTED_VALUE"""),46295.0)</f>
        <v>46295</v>
      </c>
      <c r="M17" s="4" t="str">
        <f>IFERROR(__xludf.DUMMYFUNCTION("""COMPUTED_VALUE"""),"002/SKT/06/UW2-ATPI/VI/2026")</f>
        <v>002/SKT/06/UW2-ATPI/VI/2026</v>
      </c>
      <c r="N17" s="28" t="str">
        <f>IFERROR(__xludf.DUMMYFUNCTION("""COMPUTED_VALUE"""),"https://drive.google.com/file/d/1JBrWHT4qgGannCSax4taa1QqOB_eQuVp/view?usp=drivesdk")</f>
        <v>https://drive.google.com/file/d/1JBrWHT4qgGannCSax4taa1QqOB_eQuVp/view?usp=drivesdk</v>
      </c>
      <c r="O17" s="28" t="str">
        <f>IFERROR(__xludf.DUMMYFUNCTION("""COMPUTED_VALUE"""),"https://drive.google.com/file/d/1ZLDNIC42vevV685TkJDa0ssGQ8UeJRBq/view?usp=drivesdk")</f>
        <v>https://drive.google.com/file/d/1ZLDNIC42vevV685TkJDa0ssGQ8UeJRBq/view?usp=drivesdk</v>
      </c>
      <c r="P17" s="28" t="str">
        <f>IFERROR(__xludf.DUMMYFUNCTION("""COMPUTED_VALUE"""),"https://drive.google.com/file/d/1v1UGHDmxY_nhzoEqVyx40VkdOI0XNs3k/view?usp=drivesdk")</f>
        <v>https://drive.google.com/file/d/1v1UGHDmxY_nhzoEqVyx40VkdOI0XNs3k/view?usp=drivesdk</v>
      </c>
      <c r="Q17" s="4"/>
      <c r="R17" s="28" t="str">
        <f>IFERROR(__xludf.DUMMYFUNCTION("""COMPUTED_VALUE"""),"https://drive.google.com/file/d/1oypA5cU9swiN2QdZ5emH6gc7byvnrdxL/view?usp=drivesdk")</f>
        <v>https://drive.google.com/file/d/1oypA5cU9swiN2QdZ5emH6gc7byvnrdxL/view?usp=drivesdk</v>
      </c>
      <c r="S17" s="28" t="str">
        <f>IFERROR(__xludf.DUMMYFUNCTION("""COMPUTED_VALUE"""),"https://drive.google.com/file/d/1BhLvmFQBNMLoWTTDaRyEdx76-19pxhng/view?usp=drivesdk")</f>
        <v>https://drive.google.com/file/d/1BhLvmFQBNMLoWTTDaRyEdx76-19pxhng/view?usp=drivesdk</v>
      </c>
      <c r="T17" s="28" t="str">
        <f>IFERROR(__xludf.DUMMYFUNCTION("""COMPUTED_VALUE"""),"https://drive.google.com/file/d/1C9MH8SoZFTW5ptmCvV_yaYr8kfzAjMB7/view?usp=drivesdk")</f>
        <v>https://drive.google.com/file/d/1C9MH8SoZFTW5ptmCvV_yaYr8kfzAjMB7/view?usp=drivesdk</v>
      </c>
      <c r="U17" s="28" t="str">
        <f>IFERROR(__xludf.DUMMYFUNCTION("""COMPUTED_VALUE"""),"https://drive.google.com/file/d/1DPdnnmKtXA7U9YFYO-5saeCd1SKPrMgH/view?usp=drivesdk")</f>
        <v>https://drive.google.com/file/d/1DPdnnmKtXA7U9YFYO-5saeCd1SKPrMgH/view?usp=drivesdk</v>
      </c>
      <c r="V17" s="4"/>
      <c r="W17" s="4"/>
      <c r="X17" s="4"/>
      <c r="Y17" s="4"/>
      <c r="Z17" s="4"/>
    </row>
    <row r="18">
      <c r="A18" s="4" t="str">
        <f>IFERROR(__xludf.DUMMYFUNCTION("""COMPUTED_VALUE"""),"R9674B")</f>
        <v>R9674B</v>
      </c>
      <c r="B18" s="4" t="str">
        <f>IFERROR(__xludf.DUMMYFUNCTION("""COMPUTED_VALUE"""),"16 KL")</f>
        <v>16 KL</v>
      </c>
      <c r="C18" s="4" t="str">
        <f>IFERROR(__xludf.DUMMYFUNCTION("""COMPUTED_VALUE"""),"PT. SERAYU MITRA JAYA")</f>
        <v>PT. SERAYU MITRA JAYA</v>
      </c>
      <c r="D18" s="4" t="str">
        <f>IFERROR(__xludf.DUMMYFUNCTION("""COMPUTED_VALUE"""),"1sABMLaVjtg6Qhn-X2EpKkPEBrFRvczPQ")</f>
        <v>1sABMLaVjtg6Qhn-X2EpKkPEBrFRvczPQ</v>
      </c>
      <c r="E18" s="17">
        <f>IFERROR(__xludf.DUMMYFUNCTION("""COMPUTED_VALUE"""),46705.0)</f>
        <v>46705</v>
      </c>
      <c r="F18" s="17">
        <f>IFERROR(__xludf.DUMMYFUNCTION("""COMPUTED_VALUE"""),46340.0)</f>
        <v>46340</v>
      </c>
      <c r="G18" s="17">
        <f>IFERROR(__xludf.DUMMYFUNCTION("""COMPUTED_VALUE"""),46330.0)</f>
        <v>46330</v>
      </c>
      <c r="H18" s="17"/>
      <c r="I18" s="17">
        <f>IFERROR(__xludf.DUMMYFUNCTION("""COMPUTED_VALUE"""),46330.0)</f>
        <v>46330</v>
      </c>
      <c r="J18" s="17">
        <f>IFERROR(__xludf.DUMMYFUNCTION("""COMPUTED_VALUE"""),46648.0)</f>
        <v>46648</v>
      </c>
      <c r="K18" s="17">
        <f>IFERROR(__xludf.DUMMYFUNCTION("""COMPUTED_VALUE"""),46340.0)</f>
        <v>46340</v>
      </c>
      <c r="L18" s="17">
        <f>IFERROR(__xludf.DUMMYFUNCTION("""COMPUTED_VALUE"""),46388.0)</f>
        <v>46388</v>
      </c>
      <c r="M18" s="4" t="str">
        <f>IFERROR(__xludf.DUMMYFUNCTION("""COMPUTED_VALUE"""),"04260000000011 / 000272")</f>
        <v>04260000000011 / 000272</v>
      </c>
      <c r="N18" s="28" t="str">
        <f>IFERROR(__xludf.DUMMYFUNCTION("""COMPUTED_VALUE"""),"https://drive.google.com/open?id=1hnFqszTel0HHECz4Xh59yEMo604LukLb")</f>
        <v>https://drive.google.com/open?id=1hnFqszTel0HHECz4Xh59yEMo604LukLb</v>
      </c>
      <c r="O18" s="28" t="str">
        <f>IFERROR(__xludf.DUMMYFUNCTION("""COMPUTED_VALUE"""),"https://drive.google.com/open?id=1hnFqszTel0HHECz4Xh59yEMo604LukLb")</f>
        <v>https://drive.google.com/open?id=1hnFqszTel0HHECz4Xh59yEMo604LukLb</v>
      </c>
      <c r="P18" s="28" t="str">
        <f>IFERROR(__xludf.DUMMYFUNCTION("""COMPUTED_VALUE"""),"https://drive.google.com/open?id=1kT_C9kzQf39aBEjR84ei1Ky1B_G40qCq")</f>
        <v>https://drive.google.com/open?id=1kT_C9kzQf39aBEjR84ei1Ky1B_G40qCq</v>
      </c>
      <c r="Q18" s="4"/>
      <c r="R18" s="28" t="str">
        <f>IFERROR(__xludf.DUMMYFUNCTION("""COMPUTED_VALUE"""),"https://drive.google.com/open?id=1oR5LmhwIKEv96STs6dp5CiBEnF8WAO_J")</f>
        <v>https://drive.google.com/open?id=1oR5LmhwIKEv96STs6dp5CiBEnF8WAO_J</v>
      </c>
      <c r="S18" s="28" t="str">
        <f>IFERROR(__xludf.DUMMYFUNCTION("""COMPUTED_VALUE"""),"https://drive.google.com/file/d/1XP943NUU_abDmbANNKbpwKZGcL2m77F6/view?usp=drivesdk")</f>
        <v>https://drive.google.com/file/d/1XP943NUU_abDmbANNKbpwKZGcL2m77F6/view?usp=drivesdk</v>
      </c>
      <c r="T18" s="28" t="str">
        <f>IFERROR(__xludf.DUMMYFUNCTION("""COMPUTED_VALUE"""),"https://drive.google.com/file/d/1uh0pQ1lOZVJM9Xli8tUzNC2aae6AoDH4/view?usp=drivesdk")</f>
        <v>https://drive.google.com/file/d/1uh0pQ1lOZVJM9Xli8tUzNC2aae6AoDH4/view?usp=drivesdk</v>
      </c>
      <c r="U18" s="4"/>
      <c r="V18" s="4"/>
      <c r="W18" s="4"/>
      <c r="X18" s="4"/>
      <c r="Y18" s="4"/>
      <c r="Z18" s="4"/>
    </row>
    <row r="19">
      <c r="A19" s="4" t="str">
        <f>IFERROR(__xludf.DUMMYFUNCTION("""COMPUTED_VALUE"""),"R9237IH")</f>
        <v>R9237IH</v>
      </c>
      <c r="B19" s="4" t="str">
        <f>IFERROR(__xludf.DUMMYFUNCTION("""COMPUTED_VALUE"""),"24 KL")</f>
        <v>24 KL</v>
      </c>
      <c r="C19" s="4" t="str">
        <f>IFERROR(__xludf.DUMMYFUNCTION("""COMPUTED_VALUE"""),"PT. SATU HATI")</f>
        <v>PT. SATU HATI</v>
      </c>
      <c r="D19" s="4" t="str">
        <f>IFERROR(__xludf.DUMMYFUNCTION("""COMPUTED_VALUE"""),"1J8Yyb7-xXGv8k0AhuHsQqjFeqI9zvQuL")</f>
        <v>1J8Yyb7-xXGv8k0AhuHsQqjFeqI9zvQuL</v>
      </c>
      <c r="E19" s="17">
        <f>IFERROR(__xludf.DUMMYFUNCTION("""COMPUTED_VALUE"""),47720.0)</f>
        <v>47720</v>
      </c>
      <c r="F19" s="17">
        <f>IFERROR(__xludf.DUMMYFUNCTION("""COMPUTED_VALUE"""),46624.0)</f>
        <v>46624</v>
      </c>
      <c r="G19" s="17">
        <f>IFERROR(__xludf.DUMMYFUNCTION("""COMPUTED_VALUE"""),46421.0)</f>
        <v>46421</v>
      </c>
      <c r="H19" s="17">
        <f>IFERROR(__xludf.DUMMYFUNCTION("""COMPUTED_VALUE"""),46421.0)</f>
        <v>46421</v>
      </c>
      <c r="I19" s="17">
        <f>IFERROR(__xludf.DUMMYFUNCTION("""COMPUTED_VALUE"""),46421.0)</f>
        <v>46421</v>
      </c>
      <c r="J19" s="17">
        <f>IFERROR(__xludf.DUMMYFUNCTION("""COMPUTED_VALUE"""),46843.0)</f>
        <v>46843</v>
      </c>
      <c r="K19" s="17">
        <f>IFERROR(__xludf.DUMMYFUNCTION("""COMPUTED_VALUE"""),46341.0)</f>
        <v>46341</v>
      </c>
      <c r="L19" s="17">
        <f>IFERROR(__xludf.DUMMYFUNCTION("""COMPUTED_VALUE"""),46388.0)</f>
        <v>46388</v>
      </c>
      <c r="M19" s="4" t="str">
        <f>IFERROR(__xludf.DUMMYFUNCTION("""COMPUTED_VALUE"""),"04260000000011 / 000271")</f>
        <v>04260000000011 / 000271</v>
      </c>
      <c r="N19" s="28" t="str">
        <f>IFERROR(__xludf.DUMMYFUNCTION("""COMPUTED_VALUE"""),"https://drive.google.com/file/d/1bkAulutX1YffW2TM2NvW1WOc2mdYTq0E/view?usp=drivesdk")</f>
        <v>https://drive.google.com/file/d/1bkAulutX1YffW2TM2NvW1WOc2mdYTq0E/view?usp=drivesdk</v>
      </c>
      <c r="O19" s="28" t="str">
        <f>IFERROR(__xludf.DUMMYFUNCTION("""COMPUTED_VALUE"""),"https://drive.google.com/file/d/1CLwumaDrG50iX48Y-R96xzzlFe4QV2N_/view?usp=drivesdk")</f>
        <v>https://drive.google.com/file/d/1CLwumaDrG50iX48Y-R96xzzlFe4QV2N_/view?usp=drivesdk</v>
      </c>
      <c r="P19" s="28" t="str">
        <f>IFERROR(__xludf.DUMMYFUNCTION("""COMPUTED_VALUE"""),"https://drive.google.com/file/d/11nQuKPJKbJpAZ_BObZ8tfSBJS-guZsOd/view?usp=drivesdk")</f>
        <v>https://drive.google.com/file/d/11nQuKPJKbJpAZ_BObZ8tfSBJS-guZsOd/view?usp=drivesdk</v>
      </c>
      <c r="Q19" s="28" t="str">
        <f>IFERROR(__xludf.DUMMYFUNCTION("""COMPUTED_VALUE"""),"https://drive.google.com/file/d/1795jV54F25ULmAMItSnOCpBpFY8bknvO/view?usp=drivesdk")</f>
        <v>https://drive.google.com/file/d/1795jV54F25ULmAMItSnOCpBpFY8bknvO/view?usp=drivesdk</v>
      </c>
      <c r="R19" s="28" t="str">
        <f>IFERROR(__xludf.DUMMYFUNCTION("""COMPUTED_VALUE"""),"https://drive.google.com/file/d/1KCL-CYE4o5_Rz0xEi7fpnohnuCTvVuu7/view?usp=drivesdk")</f>
        <v>https://drive.google.com/file/d/1KCL-CYE4o5_Rz0xEi7fpnohnuCTvVuu7/view?usp=drivesdk</v>
      </c>
      <c r="S19" s="28" t="str">
        <f>IFERROR(__xludf.DUMMYFUNCTION("""COMPUTED_VALUE"""),"https://drive.google.com/file/d/1kkGAcURFePKdOz7GsUM8MOPj4BQFY5Nf/view?usp=drivesdk")</f>
        <v>https://drive.google.com/file/d/1kkGAcURFePKdOz7GsUM8MOPj4BQFY5Nf/view?usp=drivesdk</v>
      </c>
      <c r="T19" s="28" t="str">
        <f>IFERROR(__xludf.DUMMYFUNCTION("""COMPUTED_VALUE"""),"https://drive.google.com/file/d/1aOj0PmIg9C6zxgMC6Xdp8Q2ZV_CsFwuK/view?usp=drivesdk")</f>
        <v>https://drive.google.com/file/d/1aOj0PmIg9C6zxgMC6Xdp8Q2ZV_CsFwuK/view?usp=drivesdk</v>
      </c>
      <c r="U19" s="4"/>
      <c r="V19" s="4"/>
      <c r="W19" s="28" t="str">
        <f>IFERROR(__xludf.DUMMYFUNCTION("""COMPUTED_VALUE"""),"https://drive.google.com/file/d/1T2ZzFd7u6V65a74F-WlDmilYcVUnGAoR/view?usp=drivesdk")</f>
        <v>https://drive.google.com/file/d/1T2ZzFd7u6V65a74F-WlDmilYcVUnGAoR/view?usp=drivesdk</v>
      </c>
      <c r="X19" s="28" t="str">
        <f>IFERROR(__xludf.DUMMYFUNCTION("""COMPUTED_VALUE"""),"https://drive.google.com/file/d/1O6Uts_U7Got2snuEKsLKRJciaXO894oK/view?usp=drivesdk")</f>
        <v>https://drive.google.com/file/d/1O6Uts_U7Got2snuEKsLKRJciaXO894oK/view?usp=drivesdk</v>
      </c>
      <c r="Y19" s="28" t="str">
        <f>IFERROR(__xludf.DUMMYFUNCTION("""COMPUTED_VALUE"""),"https://drive.google.com/file/d/12jCwEE-TpdKDXhKseDmqJdIeKjwApBID/view?usp=drivesdk")</f>
        <v>https://drive.google.com/file/d/12jCwEE-TpdKDXhKseDmqJdIeKjwApBID/view?usp=drivesdk</v>
      </c>
      <c r="Z19" s="28" t="str">
        <f>IFERROR(__xludf.DUMMYFUNCTION("""COMPUTED_VALUE"""),"https://drive.google.com/file/d/1lteraJrfWWRptRIZvRJy3IuGIT8VmUkh/view?usp=drivesdk")</f>
        <v>https://drive.google.com/file/d/1lteraJrfWWRptRIZvRJy3IuGIT8VmUkh/view?usp=drivesdk</v>
      </c>
    </row>
    <row r="20">
      <c r="A20" s="4" t="str">
        <f>IFERROR(__xludf.DUMMYFUNCTION("""COMPUTED_VALUE"""),"N8864UG")</f>
        <v>N8864UG</v>
      </c>
      <c r="B20" s="4" t="str">
        <f>IFERROR(__xludf.DUMMYFUNCTION("""COMPUTED_VALUE"""),"24 KL")</f>
        <v>24 KL</v>
      </c>
      <c r="C20" s="4" t="str">
        <f>IFERROR(__xludf.DUMMYFUNCTION("""COMPUTED_VALUE"""),"PT. DHARMA CITRA ENERGY")</f>
        <v>PT. DHARMA CITRA ENERGY</v>
      </c>
      <c r="D20" s="4" t="str">
        <f>IFERROR(__xludf.DUMMYFUNCTION("""COMPUTED_VALUE"""),"1Vwk7ZQK0eLB3M79q8sYAIUpn7ExWas2w")</f>
        <v>1Vwk7ZQK0eLB3M79q8sYAIUpn7ExWas2w</v>
      </c>
      <c r="E20" s="17">
        <f>IFERROR(__xludf.DUMMYFUNCTION("""COMPUTED_VALUE"""),47184.0)</f>
        <v>47184</v>
      </c>
      <c r="F20" s="17">
        <f>IFERROR(__xludf.DUMMYFUNCTION("""COMPUTED_VALUE"""),46453.0)</f>
        <v>46453</v>
      </c>
      <c r="G20" s="17">
        <f>IFERROR(__xludf.DUMMYFUNCTION("""COMPUTED_VALUE"""),46456.0)</f>
        <v>46456</v>
      </c>
      <c r="H20" s="17">
        <f>IFERROR(__xludf.DUMMYFUNCTION("""COMPUTED_VALUE"""),46456.0)</f>
        <v>46456</v>
      </c>
      <c r="I20" s="17">
        <f>IFERROR(__xludf.DUMMYFUNCTION("""COMPUTED_VALUE"""),46456.0)</f>
        <v>46456</v>
      </c>
      <c r="J20" s="17">
        <f>IFERROR(__xludf.DUMMYFUNCTION("""COMPUTED_VALUE"""),46806.0)</f>
        <v>46806</v>
      </c>
      <c r="K20" s="17">
        <f>IFERROR(__xludf.DUMMYFUNCTION("""COMPUTED_VALUE"""),46449.0)</f>
        <v>46449</v>
      </c>
      <c r="L20" s="17">
        <f>IFERROR(__xludf.DUMMYFUNCTION("""COMPUTED_VALUE"""),46388.0)</f>
        <v>46388</v>
      </c>
      <c r="M20" s="4" t="str">
        <f>IFERROR(__xludf.DUMMYFUNCTION("""COMPUTED_VALUE"""),"04260000000011 / 000085")</f>
        <v>04260000000011 / 000085</v>
      </c>
      <c r="N20" s="28" t="str">
        <f>IFERROR(__xludf.DUMMYFUNCTION("""COMPUTED_VALUE"""),"https://drive.google.com/open?id=1GaU4GrFABBw8ezwGeXXG5exV-m44_ukz")</f>
        <v>https://drive.google.com/open?id=1GaU4GrFABBw8ezwGeXXG5exV-m44_ukz</v>
      </c>
      <c r="O20" s="28" t="str">
        <f>IFERROR(__xludf.DUMMYFUNCTION("""COMPUTED_VALUE"""),"https://drive.google.com/open?id=1GaU4GrFABBw8ezwGeXXG5exV-m44_ukz")</f>
        <v>https://drive.google.com/open?id=1GaU4GrFABBw8ezwGeXXG5exV-m44_ukz</v>
      </c>
      <c r="P20" s="28" t="str">
        <f>IFERROR(__xludf.DUMMYFUNCTION("""COMPUTED_VALUE"""),"https://drive.google.com/file/d/1eAeb1RkqQ3E55rROmlNs7dVy8x45bSSB/view?usp=drivesdk")</f>
        <v>https://drive.google.com/file/d/1eAeb1RkqQ3E55rROmlNs7dVy8x45bSSB/view?usp=drivesdk</v>
      </c>
      <c r="Q20" s="28" t="str">
        <f>IFERROR(__xludf.DUMMYFUNCTION("""COMPUTED_VALUE"""),"https://drive.google.com/file/d/1bNQrYiDpsVkX4uWzQ4bsq8zz0LQjghqp/view?usp=drivesdk")</f>
        <v>https://drive.google.com/file/d/1bNQrYiDpsVkX4uWzQ4bsq8zz0LQjghqp/view?usp=drivesdk</v>
      </c>
      <c r="R20" s="28" t="str">
        <f>IFERROR(__xludf.DUMMYFUNCTION("""COMPUTED_VALUE"""),"https://drive.google.com/file/d/17Qnc8bffOHwzEfd32elRBjQLBEQmNm4Q/view?usp=drivesdk")</f>
        <v>https://drive.google.com/file/d/17Qnc8bffOHwzEfd32elRBjQLBEQmNm4Q/view?usp=drivesdk</v>
      </c>
      <c r="S20" s="28" t="str">
        <f>IFERROR(__xludf.DUMMYFUNCTION("""COMPUTED_VALUE"""),"https://drive.google.com/file/d/1zkgLxCLJAUK_iPkLEgmoSzWuk6vMvwWD/view?usp=drivesdk")</f>
        <v>https://drive.google.com/file/d/1zkgLxCLJAUK_iPkLEgmoSzWuk6vMvwWD/view?usp=drivesdk</v>
      </c>
      <c r="T20" s="28" t="str">
        <f>IFERROR(__xludf.DUMMYFUNCTION("""COMPUTED_VALUE"""),"https://drive.google.com/file/d/1VqSz_RaD2DfuPbG--uMX0de4lO-MdwIK/view?usp=drivesdk")</f>
        <v>https://drive.google.com/file/d/1VqSz_RaD2DfuPbG--uMX0de4lO-MdwIK/view?usp=drivesdk</v>
      </c>
      <c r="U20" s="4"/>
      <c r="V20" s="4"/>
      <c r="W20" s="4"/>
      <c r="X20" s="4"/>
      <c r="Y20" s="4"/>
      <c r="Z20" s="4"/>
    </row>
    <row r="21">
      <c r="A21" s="4" t="str">
        <f>IFERROR(__xludf.DUMMYFUNCTION("""COMPUTED_VALUE"""),"G9532OA")</f>
        <v>G9532OA</v>
      </c>
      <c r="B21" s="4" t="str">
        <f>IFERROR(__xludf.DUMMYFUNCTION("""COMPUTED_VALUE"""),"24 KL")</f>
        <v>24 KL</v>
      </c>
      <c r="C21" s="4" t="str">
        <f>IFERROR(__xludf.DUMMYFUNCTION("""COMPUTED_VALUE"""),"PT. MURNI ADHI DUKUH JAYA")</f>
        <v>PT. MURNI ADHI DUKUH JAYA</v>
      </c>
      <c r="D21" s="4" t="str">
        <f>IFERROR(__xludf.DUMMYFUNCTION("""COMPUTED_VALUE"""),"1d4lgWtdrEk1ArJ-66gK4OohJg1P5j80m")</f>
        <v>1d4lgWtdrEk1ArJ-66gK4OohJg1P5j80m</v>
      </c>
      <c r="E21" s="17">
        <f>IFERROR(__xludf.DUMMYFUNCTION("""COMPUTED_VALUE"""),47911.0)</f>
        <v>47911</v>
      </c>
      <c r="F21" s="17">
        <f>IFERROR(__xludf.DUMMYFUNCTION("""COMPUTED_VALUE"""),46450.0)</f>
        <v>46450</v>
      </c>
      <c r="G21" s="17">
        <f>IFERROR(__xludf.DUMMYFUNCTION("""COMPUTED_VALUE"""),46459.0)</f>
        <v>46459</v>
      </c>
      <c r="H21" s="17">
        <f>IFERROR(__xludf.DUMMYFUNCTION("""COMPUTED_VALUE"""),46457.0)</f>
        <v>46457</v>
      </c>
      <c r="I21" s="17">
        <f>IFERROR(__xludf.DUMMYFUNCTION("""COMPUTED_VALUE"""),46457.0)</f>
        <v>46457</v>
      </c>
      <c r="J21" s="17">
        <f>IFERROR(__xludf.DUMMYFUNCTION("""COMPUTED_VALUE"""),46829.0)</f>
        <v>46829</v>
      </c>
      <c r="K21" s="17">
        <f>IFERROR(__xludf.DUMMYFUNCTION("""COMPUTED_VALUE"""),46459.0)</f>
        <v>46459</v>
      </c>
      <c r="L21" s="17">
        <f>IFERROR(__xludf.DUMMYFUNCTION("""COMPUTED_VALUE"""),46462.0)</f>
        <v>46462</v>
      </c>
      <c r="M21" s="4" t="str">
        <f>IFERROR(__xludf.DUMMYFUNCTION("""COMPUTED_VALUE"""),"3260000002601")</f>
        <v>3260000002601</v>
      </c>
      <c r="N21" s="28" t="str">
        <f>IFERROR(__xludf.DUMMYFUNCTION("""COMPUTED_VALUE"""),"https://drive.google.com/file/d/1KrsPNpeP2rrvQL72zTobQkJXwGCYpT_y/view?usp=drivesdk")</f>
        <v>https://drive.google.com/file/d/1KrsPNpeP2rrvQL72zTobQkJXwGCYpT_y/view?usp=drivesdk</v>
      </c>
      <c r="O21" s="28" t="str">
        <f>IFERROR(__xludf.DUMMYFUNCTION("""COMPUTED_VALUE"""),"https://drive.google.com/file/d/1jmUmVGE2xXEJRuhZHFhP2Az7Tel7NqiZ/view?usp=drivesdk")</f>
        <v>https://drive.google.com/file/d/1jmUmVGE2xXEJRuhZHFhP2Az7Tel7NqiZ/view?usp=drivesdk</v>
      </c>
      <c r="P21" s="28" t="str">
        <f>IFERROR(__xludf.DUMMYFUNCTION("""COMPUTED_VALUE"""),"https://drive.google.com/file/d/1X9Fa2_w-wFWkz0EsBnqOCAQu75hC4BjR/view?usp=drivesdk")</f>
        <v>https://drive.google.com/file/d/1X9Fa2_w-wFWkz0EsBnqOCAQu75hC4BjR/view?usp=drivesdk</v>
      </c>
      <c r="Q21" s="28" t="str">
        <f>IFERROR(__xludf.DUMMYFUNCTION("""COMPUTED_VALUE"""),"https://drive.google.com/file/d/1eZsknqSSY5sq224B3nF8pBaMGGklxuza/view?usp=drivesdk")</f>
        <v>https://drive.google.com/file/d/1eZsknqSSY5sq224B3nF8pBaMGGklxuza/view?usp=drivesdk</v>
      </c>
      <c r="R21" s="28" t="str">
        <f>IFERROR(__xludf.DUMMYFUNCTION("""COMPUTED_VALUE"""),"https://drive.google.com/file/d/1sc3hzGaiMhl7wTa15iCumOCrBSz87bBP/view?usp=drivesdk")</f>
        <v>https://drive.google.com/file/d/1sc3hzGaiMhl7wTa15iCumOCrBSz87bBP/view?usp=drivesdk</v>
      </c>
      <c r="S21" s="28" t="str">
        <f>IFERROR(__xludf.DUMMYFUNCTION("""COMPUTED_VALUE"""),"https://drive.google.com/file/d/1y1sMRVugNovQQLjhJNIkJmhNWcIF-8mt/view?usp=drivesdk")</f>
        <v>https://drive.google.com/file/d/1y1sMRVugNovQQLjhJNIkJmhNWcIF-8mt/view?usp=drivesdk</v>
      </c>
      <c r="T21" s="28" t="str">
        <f>IFERROR(__xludf.DUMMYFUNCTION("""COMPUTED_VALUE"""),"https://drive.google.com/file/d/1YGIHlPeGst4RTTBKL6yDgPwcC7cRF4PY/view?usp=drivesdk")</f>
        <v>https://drive.google.com/file/d/1YGIHlPeGst4RTTBKL6yDgPwcC7cRF4PY/view?usp=drivesdk</v>
      </c>
      <c r="U21" s="4"/>
      <c r="V21" s="4"/>
      <c r="W21" s="4"/>
      <c r="X21" s="4"/>
      <c r="Y21" s="4"/>
      <c r="Z21" s="4"/>
    </row>
    <row r="22">
      <c r="A22" s="4" t="str">
        <f>IFERROR(__xludf.DUMMYFUNCTION("""COMPUTED_VALUE"""),"H8428OH")</f>
        <v>H8428OH</v>
      </c>
      <c r="B22" s="4" t="str">
        <f>IFERROR(__xludf.DUMMYFUNCTION("""COMPUTED_VALUE"""),"8 KL")</f>
        <v>8 KL</v>
      </c>
      <c r="C22" s="4" t="str">
        <f>IFERROR(__xludf.DUMMYFUNCTION("""COMPUTED_VALUE"""),"PT. LUMAS BIRU MANDIRI")</f>
        <v>PT. LUMAS BIRU MANDIRI</v>
      </c>
      <c r="D22" s="4" t="str">
        <f>IFERROR(__xludf.DUMMYFUNCTION("""COMPUTED_VALUE"""),"1t95Qzk5FALJJQ37SiJ1n0paFNeTDUY8g")</f>
        <v>1t95Qzk5FALJJQ37SiJ1n0paFNeTDUY8g</v>
      </c>
      <c r="E22" s="17">
        <f>IFERROR(__xludf.DUMMYFUNCTION("""COMPUTED_VALUE"""),47337.0)</f>
        <v>47337</v>
      </c>
      <c r="F22" s="17">
        <f>IFERROR(__xludf.DUMMYFUNCTION("""COMPUTED_VALUE"""),46606.0)</f>
        <v>46606</v>
      </c>
      <c r="G22" s="17">
        <f>IFERROR(__xludf.DUMMYFUNCTION("""COMPUTED_VALUE"""),46449.0)</f>
        <v>46449</v>
      </c>
      <c r="H22" s="17"/>
      <c r="I22" s="17">
        <f>IFERROR(__xludf.DUMMYFUNCTION("""COMPUTED_VALUE"""),46449.0)</f>
        <v>46449</v>
      </c>
      <c r="J22" s="17">
        <f>IFERROR(__xludf.DUMMYFUNCTION("""COMPUTED_VALUE"""),46962.0)</f>
        <v>46962</v>
      </c>
      <c r="K22" s="17">
        <f>IFERROR(__xludf.DUMMYFUNCTION("""COMPUTED_VALUE"""),46302.0)</f>
        <v>46302</v>
      </c>
      <c r="L22" s="17">
        <f>IFERROR(__xludf.DUMMYFUNCTION("""COMPUTED_VALUE"""),46388.0)</f>
        <v>46388</v>
      </c>
      <c r="M22" s="4" t="str">
        <f>IFERROR(__xludf.DUMMYFUNCTION("""COMPUTED_VALUE"""),"04260000000011 / 000035")</f>
        <v>04260000000011 / 000035</v>
      </c>
      <c r="N22" s="28" t="str">
        <f>IFERROR(__xludf.DUMMYFUNCTION("""COMPUTED_VALUE"""),"https://drive.google.com/open?id=1rgGEyxmD-o0h-scqsg7yYNfFODDRYWF1")</f>
        <v>https://drive.google.com/open?id=1rgGEyxmD-o0h-scqsg7yYNfFODDRYWF1</v>
      </c>
      <c r="O22" s="28" t="str">
        <f>IFERROR(__xludf.DUMMYFUNCTION("""COMPUTED_VALUE"""),"https://drive.google.com/file/d/1XNd_0R4Pxf6Y2aZ50aSMc2upANyLeMFo/view?usp=drivesdk")</f>
        <v>https://drive.google.com/file/d/1XNd_0R4Pxf6Y2aZ50aSMc2upANyLeMFo/view?usp=drivesdk</v>
      </c>
      <c r="P22" s="28" t="str">
        <f>IFERROR(__xludf.DUMMYFUNCTION("""COMPUTED_VALUE"""),"https://drive.google.com/file/d/1ZumhtDHZLWYt8Z_h8kWDJem6yAZOqKwH/view?usp=drivesdk")</f>
        <v>https://drive.google.com/file/d/1ZumhtDHZLWYt8Z_h8kWDJem6yAZOqKwH/view?usp=drivesdk</v>
      </c>
      <c r="Q22" s="4"/>
      <c r="R22" s="28" t="str">
        <f>IFERROR(__xludf.DUMMYFUNCTION("""COMPUTED_VALUE"""),"https://drive.google.com/file/d/1PMYcq3AlbFEYlxKCRWaKG9yctBOw0U3Q/view?usp=drivesdk")</f>
        <v>https://drive.google.com/file/d/1PMYcq3AlbFEYlxKCRWaKG9yctBOw0U3Q/view?usp=drivesdk</v>
      </c>
      <c r="S22" s="28" t="str">
        <f>IFERROR(__xludf.DUMMYFUNCTION("""COMPUTED_VALUE"""),"https://drive.google.com/file/d/1LhcnbZEgJ4htlGvmV4poAMXoCki2NAG3/view?usp=drivesdk")</f>
        <v>https://drive.google.com/file/d/1LhcnbZEgJ4htlGvmV4poAMXoCki2NAG3/view?usp=drivesdk</v>
      </c>
      <c r="T22" s="28" t="str">
        <f>IFERROR(__xludf.DUMMYFUNCTION("""COMPUTED_VALUE"""),"https://drive.google.com/file/d/1xvZfRpoyEt4mq55iM3EDY3fVWyko54nq/view?usp=drivesdk")</f>
        <v>https://drive.google.com/file/d/1xvZfRpoyEt4mq55iM3EDY3fVWyko54nq/view?usp=drivesdk</v>
      </c>
      <c r="U22" s="4"/>
      <c r="V22" s="4"/>
      <c r="W22" s="4"/>
      <c r="X22" s="4"/>
      <c r="Y22" s="4"/>
      <c r="Z22" s="4"/>
    </row>
    <row r="23">
      <c r="A23" s="4" t="str">
        <f>IFERROR(__xludf.DUMMYFUNCTION("""COMPUTED_VALUE"""),"R9238IH")</f>
        <v>R9238IH</v>
      </c>
      <c r="B23" s="4" t="str">
        <f>IFERROR(__xludf.DUMMYFUNCTION("""COMPUTED_VALUE"""),"24 KL")</f>
        <v>24 KL</v>
      </c>
      <c r="C23" s="4" t="str">
        <f>IFERROR(__xludf.DUMMYFUNCTION("""COMPUTED_VALUE"""),"PT. SATU HATI")</f>
        <v>PT. SATU HATI</v>
      </c>
      <c r="D23" s="4" t="str">
        <f>IFERROR(__xludf.DUMMYFUNCTION("""COMPUTED_VALUE"""),"16QeejgX_xmdyHlmy83y9EqBFYXDkUxr8")</f>
        <v>16QeejgX_xmdyHlmy83y9EqBFYXDkUxr8</v>
      </c>
      <c r="E23" s="17">
        <f>IFERROR(__xludf.DUMMYFUNCTION("""COMPUTED_VALUE"""),47720.0)</f>
        <v>47720</v>
      </c>
      <c r="F23" s="17">
        <f>IFERROR(__xludf.DUMMYFUNCTION("""COMPUTED_VALUE"""),46624.0)</f>
        <v>46624</v>
      </c>
      <c r="G23" s="17">
        <f>IFERROR(__xludf.DUMMYFUNCTION("""COMPUTED_VALUE"""),46421.0)</f>
        <v>46421</v>
      </c>
      <c r="H23" s="17">
        <f>IFERROR(__xludf.DUMMYFUNCTION("""COMPUTED_VALUE"""),46421.0)</f>
        <v>46421</v>
      </c>
      <c r="I23" s="17">
        <f>IFERROR(__xludf.DUMMYFUNCTION("""COMPUTED_VALUE"""),46421.0)</f>
        <v>46421</v>
      </c>
      <c r="J23" s="17">
        <f>IFERROR(__xludf.DUMMYFUNCTION("""COMPUTED_VALUE"""),46942.0)</f>
        <v>46942</v>
      </c>
      <c r="K23" s="17">
        <f>IFERROR(__xludf.DUMMYFUNCTION("""COMPUTED_VALUE"""),46340.0)</f>
        <v>46340</v>
      </c>
      <c r="L23" s="17">
        <f>IFERROR(__xludf.DUMMYFUNCTION("""COMPUTED_VALUE"""),46388.0)</f>
        <v>46388</v>
      </c>
      <c r="M23" s="4" t="str">
        <f>IFERROR(__xludf.DUMMYFUNCTION("""COMPUTED_VALUE"""),"04260000000011 / 000270")</f>
        <v>04260000000011 / 000270</v>
      </c>
      <c r="N23" s="28" t="str">
        <f>IFERROR(__xludf.DUMMYFUNCTION("""COMPUTED_VALUE"""),"https://drive.google.com/file/d/1ZcEjnC0HimruEZdSo46So1apiDVQimgJ/view?usp=drivesdk")</f>
        <v>https://drive.google.com/file/d/1ZcEjnC0HimruEZdSo46So1apiDVQimgJ/view?usp=drivesdk</v>
      </c>
      <c r="O23" s="28" t="str">
        <f>IFERROR(__xludf.DUMMYFUNCTION("""COMPUTED_VALUE"""),"https://drive.google.com/file/d/1Hu184nifRNjYiztFHupOLuC82Tms4P9p/view?usp=drivesdk")</f>
        <v>https://drive.google.com/file/d/1Hu184nifRNjYiztFHupOLuC82Tms4P9p/view?usp=drivesdk</v>
      </c>
      <c r="P23" s="28" t="str">
        <f>IFERROR(__xludf.DUMMYFUNCTION("""COMPUTED_VALUE"""),"https://drive.google.com/file/d/1XvVjxZTYkV7pBjv5cJdIX4SCwES10b0a/view?usp=drivesdk")</f>
        <v>https://drive.google.com/file/d/1XvVjxZTYkV7pBjv5cJdIX4SCwES10b0a/view?usp=drivesdk</v>
      </c>
      <c r="Q23" s="28" t="str">
        <f>IFERROR(__xludf.DUMMYFUNCTION("""COMPUTED_VALUE"""),"https://drive.google.com/file/d/17IpRlSkjzTG5wD3tnb4K2EvOhzqwUao7/view?usp=drivesdk")</f>
        <v>https://drive.google.com/file/d/17IpRlSkjzTG5wD3tnb4K2EvOhzqwUao7/view?usp=drivesdk</v>
      </c>
      <c r="R23" s="28" t="str">
        <f>IFERROR(__xludf.DUMMYFUNCTION("""COMPUTED_VALUE"""),"https://drive.google.com/file/d/1L3RVbRGk6xFjWeq0ljSb7z0wKKr19fNF/view?usp=drivesdk")</f>
        <v>https://drive.google.com/file/d/1L3RVbRGk6xFjWeq0ljSb7z0wKKr19fNF/view?usp=drivesdk</v>
      </c>
      <c r="S23" s="28" t="str">
        <f>IFERROR(__xludf.DUMMYFUNCTION("""COMPUTED_VALUE"""),"https://drive.google.com/file/d/1N9oqclSLBKF4RXtCzpDE5oDG6_IaIxOP/view?usp=drivesdk")</f>
        <v>https://drive.google.com/file/d/1N9oqclSLBKF4RXtCzpDE5oDG6_IaIxOP/view?usp=drivesdk</v>
      </c>
      <c r="T23" s="28" t="str">
        <f>IFERROR(__xludf.DUMMYFUNCTION("""COMPUTED_VALUE"""),"https://drive.google.com/file/d/1ddcfrDB1x74xMx7DBMHy00e-nym79hEK/view?usp=drivesdk")</f>
        <v>https://drive.google.com/file/d/1ddcfrDB1x74xMx7DBMHy00e-nym79hEK/view?usp=drivesdk</v>
      </c>
      <c r="U23" s="4"/>
      <c r="V23" s="4"/>
      <c r="W23" s="28" t="str">
        <f>IFERROR(__xludf.DUMMYFUNCTION("""COMPUTED_VALUE"""),"https://drive.google.com/file/d/1Q1qkp6A9QDoK1QM6xJNgOaLrh_HTXhyG/view?usp=drivesdk")</f>
        <v>https://drive.google.com/file/d/1Q1qkp6A9QDoK1QM6xJNgOaLrh_HTXhyG/view?usp=drivesdk</v>
      </c>
      <c r="X23" s="28" t="str">
        <f>IFERROR(__xludf.DUMMYFUNCTION("""COMPUTED_VALUE"""),"https://drive.google.com/file/d/1jRU0M5ezjLhZ60QSD9T9bjx3U1LdbLbb/view?usp=drivesdk")</f>
        <v>https://drive.google.com/file/d/1jRU0M5ezjLhZ60QSD9T9bjx3U1LdbLbb/view?usp=drivesdk</v>
      </c>
      <c r="Y23" s="28" t="str">
        <f>IFERROR(__xludf.DUMMYFUNCTION("""COMPUTED_VALUE"""),"https://drive.google.com/file/d/1fMEIrCqOxuk1CTped0BGHgP5iOo2SaS0/view?usp=drivesdk")</f>
        <v>https://drive.google.com/file/d/1fMEIrCqOxuk1CTped0BGHgP5iOo2SaS0/view?usp=drivesdk</v>
      </c>
      <c r="Z23" s="28" t="str">
        <f>IFERROR(__xludf.DUMMYFUNCTION("""COMPUTED_VALUE"""),"https://drive.google.com/file/d/1m2q92xK96sW3TvCZXRlxyKGZSTdyRyd3/view?usp=drivesdk")</f>
        <v>https://drive.google.com/file/d/1m2q92xK96sW3TvCZXRlxyKGZSTdyRyd3/view?usp=drivesdk</v>
      </c>
    </row>
    <row r="24">
      <c r="A24" s="4" t="str">
        <f>IFERROR(__xludf.DUMMYFUNCTION("""COMPUTED_VALUE"""),"AD8618OH")</f>
        <v>AD8618OH</v>
      </c>
      <c r="B24" s="4" t="str">
        <f>IFERROR(__xludf.DUMMYFUNCTION("""COMPUTED_VALUE"""),"24 KL")</f>
        <v>24 KL</v>
      </c>
      <c r="C24" s="4" t="str">
        <f>IFERROR(__xludf.DUMMYFUNCTION("""COMPUTED_VALUE"""),"PT. KARYAMAS NIAGA MANUNGGAL JAYA")</f>
        <v>PT. KARYAMAS NIAGA MANUNGGAL JAYA</v>
      </c>
      <c r="D24" s="4" t="str">
        <f>IFERROR(__xludf.DUMMYFUNCTION("""COMPUTED_VALUE"""),"1Nk607lFE3CBaCDZSKGRPYwH37wA660Ri")</f>
        <v>1Nk607lFE3CBaCDZSKGRPYwH37wA660Ri</v>
      </c>
      <c r="E24" s="17">
        <f>IFERROR(__xludf.DUMMYFUNCTION("""COMPUTED_VALUE"""),47668.0)</f>
        <v>47668</v>
      </c>
      <c r="F24" s="17">
        <f>IFERROR(__xludf.DUMMYFUNCTION("""COMPUTED_VALUE"""),46572.0)</f>
        <v>46572</v>
      </c>
      <c r="G24" s="17">
        <f>IFERROR(__xludf.DUMMYFUNCTION("""COMPUTED_VALUE"""),46364.0)</f>
        <v>46364</v>
      </c>
      <c r="H24" s="17">
        <f>IFERROR(__xludf.DUMMYFUNCTION("""COMPUTED_VALUE"""),46364.0)</f>
        <v>46364</v>
      </c>
      <c r="I24" s="17">
        <f>IFERROR(__xludf.DUMMYFUNCTION("""COMPUTED_VALUE"""),46364.0)</f>
        <v>46364</v>
      </c>
      <c r="J24" s="17">
        <f>IFERROR(__xludf.DUMMYFUNCTION("""COMPUTED_VALUE"""),46591.0)</f>
        <v>46591</v>
      </c>
      <c r="K24" s="17">
        <f>IFERROR(__xludf.DUMMYFUNCTION("""COMPUTED_VALUE"""),46408.0)</f>
        <v>46408</v>
      </c>
      <c r="L24" s="17">
        <f>IFERROR(__xludf.DUMMYFUNCTION("""COMPUTED_VALUE"""),46936.0)</f>
        <v>46936</v>
      </c>
      <c r="M24" s="4" t="str">
        <f>IFERROR(__xludf.DUMMYFUNCTION("""COMPUTED_VALUE"""),"1LA02312400224")</f>
        <v>1LA02312400224</v>
      </c>
      <c r="N24" s="28" t="str">
        <f>IFERROR(__xludf.DUMMYFUNCTION("""COMPUTED_VALUE"""),"https://drive.google.com/file/d/1i0bvMdedfJX6401DDKEkVwDbH63D6bTt/view?usp=drivesdk")</f>
        <v>https://drive.google.com/file/d/1i0bvMdedfJX6401DDKEkVwDbH63D6bTt/view?usp=drivesdk</v>
      </c>
      <c r="O24" s="28" t="str">
        <f>IFERROR(__xludf.DUMMYFUNCTION("""COMPUTED_VALUE"""),"https://drive.google.com/file/d/1xbtzhS1zYZl4owYJEiUSGIo_8Y-cuNtI/view?usp=drivesdk")</f>
        <v>https://drive.google.com/file/d/1xbtzhS1zYZl4owYJEiUSGIo_8Y-cuNtI/view?usp=drivesdk</v>
      </c>
      <c r="P24" s="28" t="str">
        <f>IFERROR(__xludf.DUMMYFUNCTION("""COMPUTED_VALUE"""),"https://drive.google.com/file/d/11Sk8Ozk-Lu7CGZ80aXVBBWjwaAsPU_zY/view?usp=drivesdk")</f>
        <v>https://drive.google.com/file/d/11Sk8Ozk-Lu7CGZ80aXVBBWjwaAsPU_zY/view?usp=drivesdk</v>
      </c>
      <c r="Q24" s="28" t="str">
        <f>IFERROR(__xludf.DUMMYFUNCTION("""COMPUTED_VALUE"""),"https://drive.google.com/file/d/1kheSLCXcyygd9QkA3CF2RFREXKTwgx88/view?usp=drivesdk")</f>
        <v>https://drive.google.com/file/d/1kheSLCXcyygd9QkA3CF2RFREXKTwgx88/view?usp=drivesdk</v>
      </c>
      <c r="R24" s="28" t="str">
        <f>IFERROR(__xludf.DUMMYFUNCTION("""COMPUTED_VALUE"""),"https://drive.google.com/file/d/1Bz7d1e1iIlKGkqFnBe6oSzlPj2r2yGZk/view?usp=drivesdk")</f>
        <v>https://drive.google.com/file/d/1Bz7d1e1iIlKGkqFnBe6oSzlPj2r2yGZk/view?usp=drivesdk</v>
      </c>
      <c r="S24" s="28" t="str">
        <f>IFERROR(__xludf.DUMMYFUNCTION("""COMPUTED_VALUE"""),"https://drive.google.com/file/d/1y2AKJLlhRUJAPx1O8te0l4EpD0GIM2mg/view?usp=drivesdk")</f>
        <v>https://drive.google.com/file/d/1y2AKJLlhRUJAPx1O8te0l4EpD0GIM2mg/view?usp=drivesdk</v>
      </c>
      <c r="T24" s="28" t="str">
        <f>IFERROR(__xludf.DUMMYFUNCTION("""COMPUTED_VALUE"""),"https://drive.google.com/file/d/1f-Py22I3cWExVKMjjMf-trPa-a2J77XO/view?usp=drivesdk")</f>
        <v>https://drive.google.com/file/d/1f-Py22I3cWExVKMjjMf-trPa-a2J77XO/view?usp=drivesdk</v>
      </c>
      <c r="U24" s="4"/>
      <c r="V24" s="4"/>
      <c r="W24" s="4"/>
      <c r="X24" s="4"/>
      <c r="Y24" s="4"/>
      <c r="Z24" s="4"/>
    </row>
    <row r="25">
      <c r="A25" s="4" t="str">
        <f>IFERROR(__xludf.DUMMYFUNCTION("""COMPUTED_VALUE"""),"E9547YC")</f>
        <v>E9547YC</v>
      </c>
      <c r="B25" s="4" t="str">
        <f>IFERROR(__xludf.DUMMYFUNCTION("""COMPUTED_VALUE"""),"24 KL")</f>
        <v>24 KL</v>
      </c>
      <c r="C25" s="4" t="str">
        <f>IFERROR(__xludf.DUMMYFUNCTION("""COMPUTED_VALUE"""),"PT. PUSPITA CIPTA")</f>
        <v>PT. PUSPITA CIPTA</v>
      </c>
      <c r="D25" s="4" t="str">
        <f>IFERROR(__xludf.DUMMYFUNCTION("""COMPUTED_VALUE"""),"1CGZf29PhKqxEzy9GRrwrlZ7Tl5UQLK9r")</f>
        <v>1CGZf29PhKqxEzy9GRrwrlZ7Tl5UQLK9r</v>
      </c>
      <c r="E25" s="17">
        <f>IFERROR(__xludf.DUMMYFUNCTION("""COMPUTED_VALUE"""),47801.0)</f>
        <v>47801</v>
      </c>
      <c r="F25" s="17">
        <f>IFERROR(__xludf.DUMMYFUNCTION("""COMPUTED_VALUE"""),46340.0)</f>
        <v>46340</v>
      </c>
      <c r="G25" s="17">
        <f>IFERROR(__xludf.DUMMYFUNCTION("""COMPUTED_VALUE"""),46337.0)</f>
        <v>46337</v>
      </c>
      <c r="H25" s="17">
        <f>IFERROR(__xludf.DUMMYFUNCTION("""COMPUTED_VALUE"""),46337.0)</f>
        <v>46337</v>
      </c>
      <c r="I25" s="17">
        <f>IFERROR(__xludf.DUMMYFUNCTION("""COMPUTED_VALUE"""),46337.0)</f>
        <v>46337</v>
      </c>
      <c r="J25" s="17">
        <f>IFERROR(__xludf.DUMMYFUNCTION("""COMPUTED_VALUE"""),46724.0)</f>
        <v>46724</v>
      </c>
      <c r="K25" s="17">
        <f>IFERROR(__xludf.DUMMYFUNCTION("""COMPUTED_VALUE"""),46374.0)</f>
        <v>46374</v>
      </c>
      <c r="L25" s="17">
        <f>IFERROR(__xludf.DUMMYFUNCTION("""COMPUTED_VALUE"""),46388.0)</f>
        <v>46388</v>
      </c>
      <c r="M25" s="4" t="str">
        <f>IFERROR(__xludf.DUMMYFUNCTION("""COMPUTED_VALUE"""),"04260000000011 / 000698")</f>
        <v>04260000000011 / 000698</v>
      </c>
      <c r="N25" s="28" t="str">
        <f>IFERROR(__xludf.DUMMYFUNCTION("""COMPUTED_VALUE"""),"https://drive.google.com/open?id=1EIQNeLqZSVyN4qtCUc1qq0aug-dSP2fZ")</f>
        <v>https://drive.google.com/open?id=1EIQNeLqZSVyN4qtCUc1qq0aug-dSP2fZ</v>
      </c>
      <c r="O25" s="28" t="str">
        <f>IFERROR(__xludf.DUMMYFUNCTION("""COMPUTED_VALUE"""),"https://drive.google.com/open?id=1EIQNeLqZSVyN4qtCUc1qq0aug-dSP2fZ")</f>
        <v>https://drive.google.com/open?id=1EIQNeLqZSVyN4qtCUc1qq0aug-dSP2fZ</v>
      </c>
      <c r="P25" s="28" t="str">
        <f>IFERROR(__xludf.DUMMYFUNCTION("""COMPUTED_VALUE"""),"https://drive.google.com/open?id=1vyqT6lEFdhiy5O0q1cEnRq20W6SG1HE7")</f>
        <v>https://drive.google.com/open?id=1vyqT6lEFdhiy5O0q1cEnRq20W6SG1HE7</v>
      </c>
      <c r="Q25" s="28" t="str">
        <f>IFERROR(__xludf.DUMMYFUNCTION("""COMPUTED_VALUE"""),"https://drive.google.com/open?id=1Xvn5jzMU_Qn15kftLpH03pJm49pF27Xu")</f>
        <v>https://drive.google.com/open?id=1Xvn5jzMU_Qn15kftLpH03pJm49pF27Xu</v>
      </c>
      <c r="R25" s="28" t="str">
        <f>IFERROR(__xludf.DUMMYFUNCTION("""COMPUTED_VALUE"""),"https://drive.google.com/open?id=1lmB52EYk7lHKbktkJsxdz52csL1C0pUq")</f>
        <v>https://drive.google.com/open?id=1lmB52EYk7lHKbktkJsxdz52csL1C0pUq</v>
      </c>
      <c r="S25" s="28" t="str">
        <f>IFERROR(__xludf.DUMMYFUNCTION("""COMPUTED_VALUE"""),"https://drive.google.com/file/d/177kCfENhV7FiQ_6c8co6qMrq_N8O4bo_/view?usp=drivesdk")</f>
        <v>https://drive.google.com/file/d/177kCfENhV7FiQ_6c8co6qMrq_N8O4bo_/view?usp=drivesdk</v>
      </c>
      <c r="T25" s="28" t="str">
        <f>IFERROR(__xludf.DUMMYFUNCTION("""COMPUTED_VALUE"""),"https://drive.google.com/file/d/1xnKCFGMdixBiCF3ws2vQnne47XGzYcLy/view?usp=drivesdk")</f>
        <v>https://drive.google.com/file/d/1xnKCFGMdixBiCF3ws2vQnne47XGzYcLy/view?usp=drivesdk</v>
      </c>
      <c r="U25" s="4"/>
      <c r="V25" s="4"/>
      <c r="W25" s="4"/>
      <c r="X25" s="4"/>
      <c r="Y25" s="4"/>
      <c r="Z25" s="4"/>
    </row>
    <row r="26">
      <c r="A26" s="4" t="str">
        <f>IFERROR(__xludf.DUMMYFUNCTION("""COMPUTED_VALUE"""),"E9554YC")</f>
        <v>E9554YC</v>
      </c>
      <c r="B26" s="4" t="str">
        <f>IFERROR(__xludf.DUMMYFUNCTION("""COMPUTED_VALUE"""),"24 KL")</f>
        <v>24 KL</v>
      </c>
      <c r="C26" s="4" t="str">
        <f>IFERROR(__xludf.DUMMYFUNCTION("""COMPUTED_VALUE"""),"PT. PUSPITA CIPTA")</f>
        <v>PT. PUSPITA CIPTA</v>
      </c>
      <c r="D26" s="4" t="str">
        <f>IFERROR(__xludf.DUMMYFUNCTION("""COMPUTED_VALUE"""),"1CfCkyFoSYHnRXXQxnZOnRLMRkwcy9Mf1")</f>
        <v>1CfCkyFoSYHnRXXQxnZOnRLMRkwcy9Mf1</v>
      </c>
      <c r="E26" s="17">
        <f>IFERROR(__xludf.DUMMYFUNCTION("""COMPUTED_VALUE"""),47833.0)</f>
        <v>47833</v>
      </c>
      <c r="F26" s="17">
        <f>IFERROR(__xludf.DUMMYFUNCTION("""COMPUTED_VALUE"""),46372.0)</f>
        <v>46372</v>
      </c>
      <c r="G26" s="17">
        <f>IFERROR(__xludf.DUMMYFUNCTION("""COMPUTED_VALUE"""),46332.0)</f>
        <v>46332</v>
      </c>
      <c r="H26" s="17">
        <f>IFERROR(__xludf.DUMMYFUNCTION("""COMPUTED_VALUE"""),46332.0)</f>
        <v>46332</v>
      </c>
      <c r="I26" s="17">
        <f>IFERROR(__xludf.DUMMYFUNCTION("""COMPUTED_VALUE"""),46332.0)</f>
        <v>46332</v>
      </c>
      <c r="J26" s="17">
        <f>IFERROR(__xludf.DUMMYFUNCTION("""COMPUTED_VALUE"""),46816.0)</f>
        <v>46816</v>
      </c>
      <c r="K26" s="17">
        <f>IFERROR(__xludf.DUMMYFUNCTION("""COMPUTED_VALUE"""),46459.0)</f>
        <v>46459</v>
      </c>
      <c r="L26" s="17">
        <f>IFERROR(__xludf.DUMMYFUNCTION("""COMPUTED_VALUE"""),46449.0)</f>
        <v>46449</v>
      </c>
      <c r="M26" s="4" t="str">
        <f>IFERROR(__xludf.DUMMYFUNCTION("""COMPUTED_VALUE"""),"10102012603000036")</f>
        <v>10102012603000036</v>
      </c>
      <c r="N26" s="28" t="str">
        <f>IFERROR(__xludf.DUMMYFUNCTION("""COMPUTED_VALUE"""),"https://drive.google.com/file/d/1o-rqxi7jCowEk2b9WpL2wl3Z_RFC2lwN/view?usp=drivesdk")</f>
        <v>https://drive.google.com/file/d/1o-rqxi7jCowEk2b9WpL2wl3Z_RFC2lwN/view?usp=drivesdk</v>
      </c>
      <c r="O26" s="28" t="str">
        <f>IFERROR(__xludf.DUMMYFUNCTION("""COMPUTED_VALUE"""),"https://drive.google.com/file/d/1RfV1KCLyp3LoyACwg9t9N9CKSZ9QJPFM/view?usp=drivesdk")</f>
        <v>https://drive.google.com/file/d/1RfV1KCLyp3LoyACwg9t9N9CKSZ9QJPFM/view?usp=drivesdk</v>
      </c>
      <c r="P26" s="28" t="str">
        <f>IFERROR(__xludf.DUMMYFUNCTION("""COMPUTED_VALUE"""),"https://drive.google.com/open?id=1sV3OKUQNQROPy2Iw0GZcHHAH-3vW5X_V")</f>
        <v>https://drive.google.com/open?id=1sV3OKUQNQROPy2Iw0GZcHHAH-3vW5X_V</v>
      </c>
      <c r="Q26" s="28" t="str">
        <f>IFERROR(__xludf.DUMMYFUNCTION("""COMPUTED_VALUE"""),"https://drive.google.com/open?id=1gfiYXii_qLuKAongAjlHuOWr2OWkjWLt")</f>
        <v>https://drive.google.com/open?id=1gfiYXii_qLuKAongAjlHuOWr2OWkjWLt</v>
      </c>
      <c r="R26" s="28" t="str">
        <f>IFERROR(__xludf.DUMMYFUNCTION("""COMPUTED_VALUE"""),"https://drive.google.com/open?id=1iiOgcizUBe1Fg9ynX7e9MiA1cYcfKmGK")</f>
        <v>https://drive.google.com/open?id=1iiOgcizUBe1Fg9ynX7e9MiA1cYcfKmGK</v>
      </c>
      <c r="S26" s="28" t="str">
        <f>IFERROR(__xludf.DUMMYFUNCTION("""COMPUTED_VALUE"""),"https://drive.google.com/file/d/1NnruYrFYyx6NIQywKPT8msBp8Q-MJkYZ/view?usp=drivesdk")</f>
        <v>https://drive.google.com/file/d/1NnruYrFYyx6NIQywKPT8msBp8Q-MJkYZ/view?usp=drivesdk</v>
      </c>
      <c r="T26" s="28" t="str">
        <f>IFERROR(__xludf.DUMMYFUNCTION("""COMPUTED_VALUE"""),"https://drive.google.com/file/d/1IeFajaqa4Dz0Fyk2XrjXO0aIoeY7LiYq/view?usp=drivesdk")</f>
        <v>https://drive.google.com/file/d/1IeFajaqa4Dz0Fyk2XrjXO0aIoeY7LiYq/view?usp=drivesdk</v>
      </c>
      <c r="U26" s="4"/>
      <c r="V26" s="4"/>
      <c r="W26" s="4"/>
      <c r="X26" s="4"/>
      <c r="Y26" s="4"/>
      <c r="Z26" s="4"/>
    </row>
    <row r="27">
      <c r="A27" s="4" t="str">
        <f>IFERROR(__xludf.DUMMYFUNCTION("""COMPUTED_VALUE"""),"E9493YC")</f>
        <v>E9493YC</v>
      </c>
      <c r="B27" s="4" t="str">
        <f>IFERROR(__xludf.DUMMYFUNCTION("""COMPUTED_VALUE"""),"24 KL")</f>
        <v>24 KL</v>
      </c>
      <c r="C27" s="4" t="str">
        <f>IFERROR(__xludf.DUMMYFUNCTION("""COMPUTED_VALUE"""),"PT. PUSPITA CIPTA")</f>
        <v>PT. PUSPITA CIPTA</v>
      </c>
      <c r="D27" s="4" t="str">
        <f>IFERROR(__xludf.DUMMYFUNCTION("""COMPUTED_VALUE"""),"1Lp7smyI2WXUe_F_rwuTplqaqGo7JMYTw")</f>
        <v>1Lp7smyI2WXUe_F_rwuTplqaqGo7JMYTw</v>
      </c>
      <c r="E27" s="17">
        <f>IFERROR(__xludf.DUMMYFUNCTION("""COMPUTED_VALUE"""),47625.0)</f>
        <v>47625</v>
      </c>
      <c r="F27" s="17">
        <f>IFERROR(__xludf.DUMMYFUNCTION("""COMPUTED_VALUE"""),46529.0)</f>
        <v>46529</v>
      </c>
      <c r="G27" s="17">
        <f>IFERROR(__xludf.DUMMYFUNCTION("""COMPUTED_VALUE"""),46331.0)</f>
        <v>46331</v>
      </c>
      <c r="H27" s="17">
        <f>IFERROR(__xludf.DUMMYFUNCTION("""COMPUTED_VALUE"""),46331.0)</f>
        <v>46331</v>
      </c>
      <c r="I27" s="17">
        <f>IFERROR(__xludf.DUMMYFUNCTION("""COMPUTED_VALUE"""),46331.0)</f>
        <v>46331</v>
      </c>
      <c r="J27" s="17">
        <f>IFERROR(__xludf.DUMMYFUNCTION("""COMPUTED_VALUE"""),46571.0)</f>
        <v>46571</v>
      </c>
      <c r="K27" s="17">
        <f>IFERROR(__xludf.DUMMYFUNCTION("""COMPUTED_VALUE"""),46340.0)</f>
        <v>46340</v>
      </c>
      <c r="L27" s="17">
        <f>IFERROR(__xludf.DUMMYFUNCTION("""COMPUTED_VALUE"""),46388.0)</f>
        <v>46388</v>
      </c>
      <c r="M27" s="4" t="str">
        <f>IFERROR(__xludf.DUMMYFUNCTION("""COMPUTED_VALUE"""),"4260000000011 / 000255")</f>
        <v>4260000000011 / 000255</v>
      </c>
      <c r="N27" s="28" t="str">
        <f>IFERROR(__xludf.DUMMYFUNCTION("""COMPUTED_VALUE"""),"https://drive.google.com/file/d/1M9mhdyNztqDfZuNYIHrjpGDEH7KpHsbD/view?usp=drivesdk")</f>
        <v>https://drive.google.com/file/d/1M9mhdyNztqDfZuNYIHrjpGDEH7KpHsbD/view?usp=drivesdk</v>
      </c>
      <c r="O27" s="28" t="str">
        <f>IFERROR(__xludf.DUMMYFUNCTION("""COMPUTED_VALUE"""),"https://drive.google.com/file/d/1VLcmYX6fFG5ntmpQoG32H1wIn0qMYFH-/view?usp=drivesdk")</f>
        <v>https://drive.google.com/file/d/1VLcmYX6fFG5ntmpQoG32H1wIn0qMYFH-/view?usp=drivesdk</v>
      </c>
      <c r="P27" s="28" t="str">
        <f>IFERROR(__xludf.DUMMYFUNCTION("""COMPUTED_VALUE"""),"https://drive.google.com/file/d/1WEBqVu_7AV8M_eiSAXV-0glOujxk3L7L/view?usp=drivesdk")</f>
        <v>https://drive.google.com/file/d/1WEBqVu_7AV8M_eiSAXV-0glOujxk3L7L/view?usp=drivesdk</v>
      </c>
      <c r="Q27" s="28" t="str">
        <f>IFERROR(__xludf.DUMMYFUNCTION("""COMPUTED_VALUE"""),"https://drive.google.com/file/d/1drwABmrAWpQGDI-ueHDtCCRF2QEN7vHI/view?usp=drivesdk")</f>
        <v>https://drive.google.com/file/d/1drwABmrAWpQGDI-ueHDtCCRF2QEN7vHI/view?usp=drivesdk</v>
      </c>
      <c r="R27" s="28" t="str">
        <f>IFERROR(__xludf.DUMMYFUNCTION("""COMPUTED_VALUE"""),"https://drive.google.com/file/d/1zlXRAwQtlJ6hJVfZolA4j9yBfB3JhQqo/view?usp=drivesdk")</f>
        <v>https://drive.google.com/file/d/1zlXRAwQtlJ6hJVfZolA4j9yBfB3JhQqo/view?usp=drivesdk</v>
      </c>
      <c r="S27" s="28" t="str">
        <f>IFERROR(__xludf.DUMMYFUNCTION("""COMPUTED_VALUE"""),"https://drive.google.com/file/d/16PN3AA68ZLKcIBxSYEcHH1uWBLIf9oyh/view?usp=drivesdk")</f>
        <v>https://drive.google.com/file/d/16PN3AA68ZLKcIBxSYEcHH1uWBLIf9oyh/view?usp=drivesdk</v>
      </c>
      <c r="T27" s="4"/>
      <c r="U27" s="4"/>
      <c r="V27" s="4"/>
      <c r="W27" s="4"/>
      <c r="X27" s="4"/>
      <c r="Y27" s="4"/>
      <c r="Z27" s="4"/>
    </row>
    <row r="28">
      <c r="A28" s="4" t="str">
        <f>IFERROR(__xludf.DUMMYFUNCTION("""COMPUTED_VALUE"""),"H9013OH")</f>
        <v>H9013OH</v>
      </c>
      <c r="B28" s="4" t="str">
        <f>IFERROR(__xludf.DUMMYFUNCTION("""COMPUTED_VALUE"""),"16 KL")</f>
        <v>16 KL</v>
      </c>
      <c r="C28" s="4" t="str">
        <f>IFERROR(__xludf.DUMMYFUNCTION("""COMPUTED_VALUE"""),"PT. LUMAS BIRU MANDIRI")</f>
        <v>PT. LUMAS BIRU MANDIRI</v>
      </c>
      <c r="D28" s="4" t="str">
        <f>IFERROR(__xludf.DUMMYFUNCTION("""COMPUTED_VALUE"""),"1mhPE-NpxQ0QZHaetNnDvwKm9cXJoKS5W")</f>
        <v>1mhPE-NpxQ0QZHaetNnDvwKm9cXJoKS5W</v>
      </c>
      <c r="E28" s="17">
        <f>IFERROR(__xludf.DUMMYFUNCTION("""COMPUTED_VALUE"""),47563.0)</f>
        <v>47563</v>
      </c>
      <c r="F28" s="17">
        <f>IFERROR(__xludf.DUMMYFUNCTION("""COMPUTED_VALUE"""),46467.0)</f>
        <v>46467</v>
      </c>
      <c r="G28" s="17">
        <f>IFERROR(__xludf.DUMMYFUNCTION("""COMPUTED_VALUE"""),46449.0)</f>
        <v>46449</v>
      </c>
      <c r="H28" s="17"/>
      <c r="I28" s="17">
        <f>IFERROR(__xludf.DUMMYFUNCTION("""COMPUTED_VALUE"""),46449.0)</f>
        <v>46449</v>
      </c>
      <c r="J28" s="17">
        <f>IFERROR(__xludf.DUMMYFUNCTION("""COMPUTED_VALUE"""),46492.0)</f>
        <v>46492</v>
      </c>
      <c r="K28" s="17">
        <f>IFERROR(__xludf.DUMMYFUNCTION("""COMPUTED_VALUE"""),46302.0)</f>
        <v>46302</v>
      </c>
      <c r="L28" s="17">
        <f>IFERROR(__xludf.DUMMYFUNCTION("""COMPUTED_VALUE"""),46388.0)</f>
        <v>46388</v>
      </c>
      <c r="M28" s="4" t="str">
        <f>IFERROR(__xludf.DUMMYFUNCTION("""COMPUTED_VALUE"""),"04260000000011 / 000037")</f>
        <v>04260000000011 / 000037</v>
      </c>
      <c r="N28" s="28" t="str">
        <f>IFERROR(__xludf.DUMMYFUNCTION("""COMPUTED_VALUE"""),"https://drive.google.com/open?id=1VMrY_ke5-b30iWL8IHRlpcXVvRjgA-M-")</f>
        <v>https://drive.google.com/open?id=1VMrY_ke5-b30iWL8IHRlpcXVvRjgA-M-</v>
      </c>
      <c r="O28" s="28" t="str">
        <f>IFERROR(__xludf.DUMMYFUNCTION("""COMPUTED_VALUE"""),"https://drive.google.com/open?id=1VMrY_ke5-b30iWL8IHRlpcXVvRjgA-M-")</f>
        <v>https://drive.google.com/open?id=1VMrY_ke5-b30iWL8IHRlpcXVvRjgA-M-</v>
      </c>
      <c r="P28" s="28" t="str">
        <f>IFERROR(__xludf.DUMMYFUNCTION("""COMPUTED_VALUE"""),"https://drive.google.com/file/d/19uz6kzXiPagmE0eAud12j98SFVbn7rKr/view?usp=drivesdk")</f>
        <v>https://drive.google.com/file/d/19uz6kzXiPagmE0eAud12j98SFVbn7rKr/view?usp=drivesdk</v>
      </c>
      <c r="Q28" s="4"/>
      <c r="R28" s="28" t="str">
        <f>IFERROR(__xludf.DUMMYFUNCTION("""COMPUTED_VALUE"""),"https://drive.google.com/file/d/1Qo0kQb62KZLR2RjgfGenmpJ5v5RlDcVg/view?usp=drivesdk")</f>
        <v>https://drive.google.com/file/d/1Qo0kQb62KZLR2RjgfGenmpJ5v5RlDcVg/view?usp=drivesdk</v>
      </c>
      <c r="S28" s="28" t="str">
        <f>IFERROR(__xludf.DUMMYFUNCTION("""COMPUTED_VALUE"""),"https://drive.google.com/file/d/1147fxXM3VCh_jK6cx1gyCnz8PxDRSt9V/view?usp=drivesdk")</f>
        <v>https://drive.google.com/file/d/1147fxXM3VCh_jK6cx1gyCnz8PxDRSt9V/view?usp=drivesdk</v>
      </c>
      <c r="T28" s="28" t="str">
        <f>IFERROR(__xludf.DUMMYFUNCTION("""COMPUTED_VALUE"""),"https://drive.google.com/file/d/1v4tiRuWXnDgQ0k9VoERdp9FbdCVYVIWg/view?usp=drivesdk")</f>
        <v>https://drive.google.com/file/d/1v4tiRuWXnDgQ0k9VoERdp9FbdCVYVIWg/view?usp=drivesdk</v>
      </c>
      <c r="U28" s="4"/>
      <c r="V28" s="4"/>
      <c r="W28" s="4"/>
      <c r="X28" s="4"/>
      <c r="Y28" s="4"/>
      <c r="Z28" s="4"/>
    </row>
    <row r="29">
      <c r="A29" s="4" t="str">
        <f>IFERROR(__xludf.DUMMYFUNCTION("""COMPUTED_VALUE"""),"R8114K")</f>
        <v>R8114K</v>
      </c>
      <c r="B29" s="4" t="str">
        <f>IFERROR(__xludf.DUMMYFUNCTION("""COMPUTED_VALUE"""),"16 KL")</f>
        <v>16 KL</v>
      </c>
      <c r="C29" s="4" t="str">
        <f>IFERROR(__xludf.DUMMYFUNCTION("""COMPUTED_VALUE"""),"PT. SERAYU MITRA JAYA")</f>
        <v>PT. SERAYU MITRA JAYA</v>
      </c>
      <c r="D29" s="4" t="str">
        <f>IFERROR(__xludf.DUMMYFUNCTION("""COMPUTED_VALUE"""),"1Y6UupnpCGYtcJOkr9cBoHgCyN2fh1luX")</f>
        <v>1Y6UupnpCGYtcJOkr9cBoHgCyN2fh1luX</v>
      </c>
      <c r="E29" s="17">
        <f>IFERROR(__xludf.DUMMYFUNCTION("""COMPUTED_VALUE"""),47358.0)</f>
        <v>47358</v>
      </c>
      <c r="F29" s="17">
        <f>IFERROR(__xludf.DUMMYFUNCTION("""COMPUTED_VALUE"""),46627.0)</f>
        <v>46627</v>
      </c>
      <c r="G29" s="17">
        <f>IFERROR(__xludf.DUMMYFUNCTION("""COMPUTED_VALUE"""),46301.0)</f>
        <v>46301</v>
      </c>
      <c r="H29" s="17"/>
      <c r="I29" s="17">
        <f>IFERROR(__xludf.DUMMYFUNCTION("""COMPUTED_VALUE"""),46301.0)</f>
        <v>46301</v>
      </c>
      <c r="J29" s="17">
        <f>IFERROR(__xludf.DUMMYFUNCTION("""COMPUTED_VALUE"""),46318.0)</f>
        <v>46318</v>
      </c>
      <c r="K29" s="17">
        <f>IFERROR(__xludf.DUMMYFUNCTION("""COMPUTED_VALUE"""),46293.0)</f>
        <v>46293</v>
      </c>
      <c r="L29" s="17">
        <f>IFERROR(__xludf.DUMMYFUNCTION("""COMPUTED_VALUE"""),46388.0)</f>
        <v>46388</v>
      </c>
      <c r="M29" s="4" t="str">
        <f>IFERROR(__xludf.DUMMYFUNCTION("""COMPUTED_VALUE"""),"04260000000011 / 000276")</f>
        <v>04260000000011 / 000276</v>
      </c>
      <c r="N29" s="28" t="str">
        <f>IFERROR(__xludf.DUMMYFUNCTION("""COMPUTED_VALUE"""),"https://drive.google.com/file/d/1dkyYchVT6FRFU3CAGNJcLWyNLCaMhV5f/view?usp=drivesdk")</f>
        <v>https://drive.google.com/file/d/1dkyYchVT6FRFU3CAGNJcLWyNLCaMhV5f/view?usp=drivesdk</v>
      </c>
      <c r="O29" s="28" t="str">
        <f>IFERROR(__xludf.DUMMYFUNCTION("""COMPUTED_VALUE"""),"https://drive.google.com/file/d/1yYff7NcL-TzDkjgHZJj2suag9XjGJJDl/view?usp=drivesdk")</f>
        <v>https://drive.google.com/file/d/1yYff7NcL-TzDkjgHZJj2suag9XjGJJDl/view?usp=drivesdk</v>
      </c>
      <c r="P29" s="28" t="str">
        <f>IFERROR(__xludf.DUMMYFUNCTION("""COMPUTED_VALUE"""),"https://drive.google.com/file/d/14ZYwFnmrpXZFyxixcM1d_q0XphmO1xCQ/view?usp=drivesdk")</f>
        <v>https://drive.google.com/file/d/14ZYwFnmrpXZFyxixcM1d_q0XphmO1xCQ/view?usp=drivesdk</v>
      </c>
      <c r="Q29" s="4"/>
      <c r="R29" s="28" t="str">
        <f>IFERROR(__xludf.DUMMYFUNCTION("""COMPUTED_VALUE"""),"https://drive.google.com/file/d/1RflwiVEYzAp4QvEM9I4Q15XM0CmSgJfs/view?usp=drivesdk")</f>
        <v>https://drive.google.com/file/d/1RflwiVEYzAp4QvEM9I4Q15XM0CmSgJfs/view?usp=drivesdk</v>
      </c>
      <c r="S29" s="28" t="str">
        <f>IFERROR(__xludf.DUMMYFUNCTION("""COMPUTED_VALUE"""),"https://drive.google.com/file/d/1G6uJTV5plEkF19tSOuydUPKw9rQ13NLw/view?usp=drivesdk")</f>
        <v>https://drive.google.com/file/d/1G6uJTV5plEkF19tSOuydUPKw9rQ13NLw/view?usp=drivesdk</v>
      </c>
      <c r="T29" s="4"/>
      <c r="U29" s="4"/>
      <c r="V29" s="4"/>
      <c r="W29" s="4"/>
      <c r="X29" s="4"/>
      <c r="Y29" s="4"/>
      <c r="Z29" s="4"/>
    </row>
    <row r="30">
      <c r="A30" s="4" t="str">
        <f>IFERROR(__xludf.DUMMYFUNCTION("""COMPUTED_VALUE"""),"R9675B")</f>
        <v>R9675B</v>
      </c>
      <c r="B30" s="4" t="str">
        <f>IFERROR(__xludf.DUMMYFUNCTION("""COMPUTED_VALUE"""),"16 KL")</f>
        <v>16 KL</v>
      </c>
      <c r="C30" s="4" t="str">
        <f>IFERROR(__xludf.DUMMYFUNCTION("""COMPUTED_VALUE"""),"PT. SERAYU MITRA JAYA")</f>
        <v>PT. SERAYU MITRA JAYA</v>
      </c>
      <c r="D30" s="4" t="str">
        <f>IFERROR(__xludf.DUMMYFUNCTION("""COMPUTED_VALUE"""),"1IsE1qDO6Ay2F8tXy8CqCObp3myozOCnr")</f>
        <v>1IsE1qDO6Ay2F8tXy8CqCObp3myozOCnr</v>
      </c>
      <c r="E30" s="17">
        <f>IFERROR(__xludf.DUMMYFUNCTION("""COMPUTED_VALUE"""),46706.0)</f>
        <v>46706</v>
      </c>
      <c r="F30" s="17">
        <f>IFERROR(__xludf.DUMMYFUNCTION("""COMPUTED_VALUE"""),46341.0)</f>
        <v>46341</v>
      </c>
      <c r="G30" s="17">
        <f>IFERROR(__xludf.DUMMYFUNCTION("""COMPUTED_VALUE"""),46330.0)</f>
        <v>46330</v>
      </c>
      <c r="H30" s="17"/>
      <c r="I30" s="17">
        <f>IFERROR(__xludf.DUMMYFUNCTION("""COMPUTED_VALUE"""),46330.0)</f>
        <v>46330</v>
      </c>
      <c r="J30" s="17">
        <f>IFERROR(__xludf.DUMMYFUNCTION("""COMPUTED_VALUE"""),46339.0)</f>
        <v>46339</v>
      </c>
      <c r="K30" s="17">
        <f>IFERROR(__xludf.DUMMYFUNCTION("""COMPUTED_VALUE"""),46340.0)</f>
        <v>46340</v>
      </c>
      <c r="L30" s="17">
        <f>IFERROR(__xludf.DUMMYFUNCTION("""COMPUTED_VALUE"""),46388.0)</f>
        <v>46388</v>
      </c>
      <c r="M30" s="4" t="str">
        <f>IFERROR(__xludf.DUMMYFUNCTION("""COMPUTED_VALUE"""),"04260000000011 / 000274")</f>
        <v>04260000000011 / 000274</v>
      </c>
      <c r="N30" s="28" t="str">
        <f>IFERROR(__xludf.DUMMYFUNCTION("""COMPUTED_VALUE"""),"https://drive.google.com/open?id=1aojx3cVSh4nYaoAtsf75twoShs2b5YCK")</f>
        <v>https://drive.google.com/open?id=1aojx3cVSh4nYaoAtsf75twoShs2b5YCK</v>
      </c>
      <c r="O30" s="28" t="str">
        <f>IFERROR(__xludf.DUMMYFUNCTION("""COMPUTED_VALUE"""),"https://drive.google.com/open?id=1aojx3cVSh4nYaoAtsf75twoShs2b5YCK")</f>
        <v>https://drive.google.com/open?id=1aojx3cVSh4nYaoAtsf75twoShs2b5YCK</v>
      </c>
      <c r="P30" s="28" t="str">
        <f>IFERROR(__xludf.DUMMYFUNCTION("""COMPUTED_VALUE"""),"https://drive.google.com/open?id=1VgtGK0TI3n7prd1kNTH5e9AkkpFyKoN1")</f>
        <v>https://drive.google.com/open?id=1VgtGK0TI3n7prd1kNTH5e9AkkpFyKoN1</v>
      </c>
      <c r="Q30" s="4"/>
      <c r="R30" s="28" t="str">
        <f>IFERROR(__xludf.DUMMYFUNCTION("""COMPUTED_VALUE"""),"https://drive.google.com/open?id=1FayBq6HInc1k_goid3QovO6NB1fIvuHW")</f>
        <v>https://drive.google.com/open?id=1FayBq6HInc1k_goid3QovO6NB1fIvuHW</v>
      </c>
      <c r="S30" s="28" t="str">
        <f>IFERROR(__xludf.DUMMYFUNCTION("""COMPUTED_VALUE"""),"https://drive.google.com/file/d/1L2d67kuFhCIcEq8Jf4RHsrU0yMepJ3c3/view?usp=drivesdk")</f>
        <v>https://drive.google.com/file/d/1L2d67kuFhCIcEq8Jf4RHsrU0yMepJ3c3/view?usp=drivesdk</v>
      </c>
      <c r="T30" s="28" t="str">
        <f>IFERROR(__xludf.DUMMYFUNCTION("""COMPUTED_VALUE"""),"https://drive.google.com/file/d/1CgerIFrGVd_kxSpV6-JCYl17ZJxAAf4d/view?usp=drivesdk")</f>
        <v>https://drive.google.com/file/d/1CgerIFrGVd_kxSpV6-JCYl17ZJxAAf4d/view?usp=drivesdk</v>
      </c>
      <c r="U30" s="4"/>
      <c r="V30" s="4"/>
      <c r="W30" s="4"/>
      <c r="X30" s="4"/>
      <c r="Y30" s="4"/>
      <c r="Z30" s="4"/>
    </row>
    <row r="31">
      <c r="A31" s="4" t="str">
        <f>IFERROR(__xludf.DUMMYFUNCTION("""COMPUTED_VALUE"""),"H9391OF")</f>
        <v>H9391OF</v>
      </c>
      <c r="B31" s="4" t="str">
        <f>IFERROR(__xludf.DUMMYFUNCTION("""COMPUTED_VALUE"""),"16 KL")</f>
        <v>16 KL</v>
      </c>
      <c r="C31" s="4" t="str">
        <f>IFERROR(__xludf.DUMMYFUNCTION("""COMPUTED_VALUE"""),"PT. ADHI BUANA PERSADA")</f>
        <v>PT. ADHI BUANA PERSADA</v>
      </c>
      <c r="D31" s="4" t="str">
        <f>IFERROR(__xludf.DUMMYFUNCTION("""COMPUTED_VALUE"""),"1jzUnp49v2MebHKZ9ZKKujH1qDOHOndZC")</f>
        <v>1jzUnp49v2MebHKZ9ZKKujH1qDOHOndZC</v>
      </c>
      <c r="E31" s="17">
        <f>IFERROR(__xludf.DUMMYFUNCTION("""COMPUTED_VALUE"""),47071.0)</f>
        <v>47071</v>
      </c>
      <c r="F31" s="17">
        <f>IFERROR(__xludf.DUMMYFUNCTION("""COMPUTED_VALUE"""),46340.0)</f>
        <v>46340</v>
      </c>
      <c r="G31" s="17">
        <f>IFERROR(__xludf.DUMMYFUNCTION("""COMPUTED_VALUE"""),46333.0)</f>
        <v>46333</v>
      </c>
      <c r="H31" s="17"/>
      <c r="I31" s="17">
        <f>IFERROR(__xludf.DUMMYFUNCTION("""COMPUTED_VALUE"""),46333.0)</f>
        <v>46333</v>
      </c>
      <c r="J31" s="17">
        <f>IFERROR(__xludf.DUMMYFUNCTION("""COMPUTED_VALUE"""),46526.0)</f>
        <v>46526</v>
      </c>
      <c r="K31" s="17">
        <f>IFERROR(__xludf.DUMMYFUNCTION("""COMPUTED_VALUE"""),46340.0)</f>
        <v>46340</v>
      </c>
      <c r="L31" s="17">
        <f>IFERROR(__xludf.DUMMYFUNCTION("""COMPUTED_VALUE"""),46388.0)</f>
        <v>46388</v>
      </c>
      <c r="M31" s="4" t="str">
        <f>IFERROR(__xludf.DUMMYFUNCTION("""COMPUTED_VALUE"""),"04260000000011 / 000017")</f>
        <v>04260000000011 / 000017</v>
      </c>
      <c r="N31" s="28" t="str">
        <f>IFERROR(__xludf.DUMMYFUNCTION("""COMPUTED_VALUE"""),"https://drive.google.com/open?id=1dJ6AJD1mXKbqGaOldlkvVKuv5IHCdiKR")</f>
        <v>https://drive.google.com/open?id=1dJ6AJD1mXKbqGaOldlkvVKuv5IHCdiKR</v>
      </c>
      <c r="O31" s="28" t="str">
        <f>IFERROR(__xludf.DUMMYFUNCTION("""COMPUTED_VALUE"""),"https://drive.google.com/open?id=1dJ6AJD1mXKbqGaOldlkvVKuv5IHCdiKR")</f>
        <v>https://drive.google.com/open?id=1dJ6AJD1mXKbqGaOldlkvVKuv5IHCdiKR</v>
      </c>
      <c r="P31" s="28" t="str">
        <f>IFERROR(__xludf.DUMMYFUNCTION("""COMPUTED_VALUE"""),"https://drive.google.com/file/d/1M9JS8KrPkry3ViIBac-idxk94RuTPMpZ/view?usp=drivesdk")</f>
        <v>https://drive.google.com/file/d/1M9JS8KrPkry3ViIBac-idxk94RuTPMpZ/view?usp=drivesdk</v>
      </c>
      <c r="Q31" s="4"/>
      <c r="R31" s="28" t="str">
        <f>IFERROR(__xludf.DUMMYFUNCTION("""COMPUTED_VALUE"""),"https://drive.google.com/open?id=1rHiMFCMoHKWWQ7Yb5mRZjFOgOk4Yv98S")</f>
        <v>https://drive.google.com/open?id=1rHiMFCMoHKWWQ7Yb5mRZjFOgOk4Yv98S</v>
      </c>
      <c r="S31" s="28" t="str">
        <f>IFERROR(__xludf.DUMMYFUNCTION("""COMPUTED_VALUE"""),"https://drive.google.com/file/d/15wvEhSa_UQFJ_VqviIVjeDumuyc9A50R/view?usp=drivesdk")</f>
        <v>https://drive.google.com/file/d/15wvEhSa_UQFJ_VqviIVjeDumuyc9A50R/view?usp=drivesdk</v>
      </c>
      <c r="T31" s="4"/>
      <c r="U31" s="4"/>
      <c r="V31" s="4"/>
      <c r="W31" s="4"/>
      <c r="X31" s="4"/>
      <c r="Y31" s="4"/>
      <c r="Z31" s="4"/>
    </row>
    <row r="32">
      <c r="A32" s="4" t="str">
        <f>IFERROR(__xludf.DUMMYFUNCTION("""COMPUTED_VALUE"""),"B9246SFV")</f>
        <v>B9246SFV</v>
      </c>
      <c r="B32" s="4" t="str">
        <f>IFERROR(__xludf.DUMMYFUNCTION("""COMPUTED_VALUE"""),"16 KL")</f>
        <v>16 KL</v>
      </c>
      <c r="C32" s="4" t="str">
        <f>IFERROR(__xludf.DUMMYFUNCTION("""COMPUTED_VALUE"""),"PT. PERTAMINA PATRA NIAGA")</f>
        <v>PT. PERTAMINA PATRA NIAGA</v>
      </c>
      <c r="D32" s="4" t="str">
        <f>IFERROR(__xludf.DUMMYFUNCTION("""COMPUTED_VALUE"""),"1MwXlbCBXDAFPu4WhvJiyWOfvZGbgl3oP")</f>
        <v>1MwXlbCBXDAFPu4WhvJiyWOfvZGbgl3oP</v>
      </c>
      <c r="E32" s="17">
        <f>IFERROR(__xludf.DUMMYFUNCTION("""COMPUTED_VALUE"""),47396.0)</f>
        <v>47396</v>
      </c>
      <c r="F32" s="17">
        <f>IFERROR(__xludf.DUMMYFUNCTION("""COMPUTED_VALUE"""),46300.0)</f>
        <v>46300</v>
      </c>
      <c r="G32" s="17">
        <f>IFERROR(__xludf.DUMMYFUNCTION("""COMPUTED_VALUE"""),46277.0)</f>
        <v>46277</v>
      </c>
      <c r="H32" s="17"/>
      <c r="I32" s="17">
        <f>IFERROR(__xludf.DUMMYFUNCTION("""COMPUTED_VALUE"""),46277.0)</f>
        <v>46277</v>
      </c>
      <c r="J32" s="17">
        <f>IFERROR(__xludf.DUMMYFUNCTION("""COMPUTED_VALUE"""),46443.0)</f>
        <v>46443</v>
      </c>
      <c r="K32" s="17">
        <f>IFERROR(__xludf.DUMMYFUNCTION("""COMPUTED_VALUE"""),46340.0)</f>
        <v>46340</v>
      </c>
      <c r="L32" s="17"/>
      <c r="M32" s="4"/>
      <c r="N32" s="28" t="str">
        <f>IFERROR(__xludf.DUMMYFUNCTION("""COMPUTED_VALUE"""),"https://drive.google.com/open?id=1WaJPzGhSpAaMtgW9lsyN0O18F8q1Oh_l")</f>
        <v>https://drive.google.com/open?id=1WaJPzGhSpAaMtgW9lsyN0O18F8q1Oh_l</v>
      </c>
      <c r="O32" s="28" t="str">
        <f>IFERROR(__xludf.DUMMYFUNCTION("""COMPUTED_VALUE"""),"https://drive.google.com/open?id=1WaJPzGhSpAaMtgW9lsyN0O18F8q1Oh_l")</f>
        <v>https://drive.google.com/open?id=1WaJPzGhSpAaMtgW9lsyN0O18F8q1Oh_l</v>
      </c>
      <c r="P32" s="28" t="str">
        <f>IFERROR(__xludf.DUMMYFUNCTION("""COMPUTED_VALUE"""),"https://drive.google.com/open?id=1jSCLFzQyHwV2WnoqvkvP2ZPrrMZGl9Pl")</f>
        <v>https://drive.google.com/open?id=1jSCLFzQyHwV2WnoqvkvP2ZPrrMZGl9Pl</v>
      </c>
      <c r="Q32" s="4"/>
      <c r="R32" s="28" t="str">
        <f>IFERROR(__xludf.DUMMYFUNCTION("""COMPUTED_VALUE"""),"https://drive.google.com/open?id=1AdP-WOC4hEtmyrds7SAtlShLFdzG8cBf")</f>
        <v>https://drive.google.com/open?id=1AdP-WOC4hEtmyrds7SAtlShLFdzG8cBf</v>
      </c>
      <c r="S32" s="28" t="str">
        <f>IFERROR(__xludf.DUMMYFUNCTION("""COMPUTED_VALUE"""),"https://drive.google.com/file/d/1rx05Jo72UORpNLO7gd5NBy5OnFxSb3Nh/view?usp=drivesdk")</f>
        <v>https://drive.google.com/file/d/1rx05Jo72UORpNLO7gd5NBy5OnFxSb3Nh/view?usp=drivesdk</v>
      </c>
      <c r="T32" s="28" t="str">
        <f>IFERROR(__xludf.DUMMYFUNCTION("""COMPUTED_VALUE"""),"https://drive.google.com/file/d/1_iiRsgw66bhmPD_Qep5c3qyswUNrWKhG/view?usp=drivesdk")</f>
        <v>https://drive.google.com/file/d/1_iiRsgw66bhmPD_Qep5c3qyswUNrWKhG/view?usp=drivesdk</v>
      </c>
      <c r="U32" s="4"/>
      <c r="V32" s="4"/>
      <c r="W32" s="4"/>
      <c r="X32" s="4"/>
      <c r="Y32" s="4"/>
      <c r="Z32" s="4"/>
    </row>
    <row r="33">
      <c r="A33" s="4" t="str">
        <f>IFERROR(__xludf.DUMMYFUNCTION("""COMPUTED_VALUE"""),"E9496YC")</f>
        <v>E9496YC</v>
      </c>
      <c r="B33" s="4" t="str">
        <f>IFERROR(__xludf.DUMMYFUNCTION("""COMPUTED_VALUE"""),"24 KL")</f>
        <v>24 KL</v>
      </c>
      <c r="C33" s="4" t="str">
        <f>IFERROR(__xludf.DUMMYFUNCTION("""COMPUTED_VALUE"""),"PT. PUSPITA CIPTA")</f>
        <v>PT. PUSPITA CIPTA</v>
      </c>
      <c r="D33" s="4" t="str">
        <f>IFERROR(__xludf.DUMMYFUNCTION("""COMPUTED_VALUE"""),"1i-PTE4lfz5BBZS14A4GfOqMBQ9A6s9gY")</f>
        <v>1i-PTE4lfz5BBZS14A4GfOqMBQ9A6s9gY</v>
      </c>
      <c r="E33" s="17">
        <f>IFERROR(__xludf.DUMMYFUNCTION("""COMPUTED_VALUE"""),47625.0)</f>
        <v>47625</v>
      </c>
      <c r="F33" s="17">
        <f>IFERROR(__xludf.DUMMYFUNCTION("""COMPUTED_VALUE"""),46529.0)</f>
        <v>46529</v>
      </c>
      <c r="G33" s="17">
        <f>IFERROR(__xludf.DUMMYFUNCTION("""COMPUTED_VALUE"""),46331.0)</f>
        <v>46331</v>
      </c>
      <c r="H33" s="17">
        <f>IFERROR(__xludf.DUMMYFUNCTION("""COMPUTED_VALUE"""),46331.0)</f>
        <v>46331</v>
      </c>
      <c r="I33" s="17">
        <f>IFERROR(__xludf.DUMMYFUNCTION("""COMPUTED_VALUE"""),46331.0)</f>
        <v>46331</v>
      </c>
      <c r="J33" s="17">
        <f>IFERROR(__xludf.DUMMYFUNCTION("""COMPUTED_VALUE"""),46570.0)</f>
        <v>46570</v>
      </c>
      <c r="K33" s="17">
        <f>IFERROR(__xludf.DUMMYFUNCTION("""COMPUTED_VALUE"""),46340.0)</f>
        <v>46340</v>
      </c>
      <c r="L33" s="17">
        <f>IFERROR(__xludf.DUMMYFUNCTION("""COMPUTED_VALUE"""),46388.0)</f>
        <v>46388</v>
      </c>
      <c r="M33" s="4" t="str">
        <f>IFERROR(__xludf.DUMMYFUNCTION("""COMPUTED_VALUE"""),"4260000000011 / 000257")</f>
        <v>4260000000011 / 000257</v>
      </c>
      <c r="N33" s="28" t="str">
        <f>IFERROR(__xludf.DUMMYFUNCTION("""COMPUTED_VALUE"""),"https://drive.google.com/open?id=1UkPV6XqDkzplhSEEasOiR5GLI6Zs_l-C")</f>
        <v>https://drive.google.com/open?id=1UkPV6XqDkzplhSEEasOiR5GLI6Zs_l-C</v>
      </c>
      <c r="O33" s="28" t="str">
        <f>IFERROR(__xludf.DUMMYFUNCTION("""COMPUTED_VALUE"""),"https://drive.google.com/open?id=1UkPV6XqDkzplhSEEasOiR5GLI6Zs_l-C")</f>
        <v>https://drive.google.com/open?id=1UkPV6XqDkzplhSEEasOiR5GLI6Zs_l-C</v>
      </c>
      <c r="P33" s="28" t="str">
        <f>IFERROR(__xludf.DUMMYFUNCTION("""COMPUTED_VALUE"""),"https://drive.google.com/open?id=1f3gi9I3jIGEVE5wN1RotTfxATFEDtKFo")</f>
        <v>https://drive.google.com/open?id=1f3gi9I3jIGEVE5wN1RotTfxATFEDtKFo</v>
      </c>
      <c r="Q33" s="28" t="str">
        <f>IFERROR(__xludf.DUMMYFUNCTION("""COMPUTED_VALUE"""),"https://drive.google.com/open?id=1pWX4i9V4r5aq8iInO4ODgOkLvbaDBWdd")</f>
        <v>https://drive.google.com/open?id=1pWX4i9V4r5aq8iInO4ODgOkLvbaDBWdd</v>
      </c>
      <c r="R33" s="28" t="str">
        <f>IFERROR(__xludf.DUMMYFUNCTION("""COMPUTED_VALUE"""),"https://drive.google.com/open?id=1ibaB4eXUCRZY2Pp62ApABb2lkRb-cvq-")</f>
        <v>https://drive.google.com/open?id=1ibaB4eXUCRZY2Pp62ApABb2lkRb-cvq-</v>
      </c>
      <c r="S33" s="28" t="str">
        <f>IFERROR(__xludf.DUMMYFUNCTION("""COMPUTED_VALUE"""),"https://drive.google.com/file/d/1AAcvDR_-lE3EH8qIgFSn9136dkU2_vAn/view?usp=drivesdk")</f>
        <v>https://drive.google.com/file/d/1AAcvDR_-lE3EH8qIgFSn9136dkU2_vAn/view?usp=drivesdk</v>
      </c>
      <c r="T33" s="4"/>
      <c r="U33" s="4"/>
      <c r="V33" s="4"/>
      <c r="W33" s="28" t="str">
        <f>IFERROR(__xludf.DUMMYFUNCTION("""COMPUTED_VALUE"""),"https://drive.google.com/file/d/1BDH1x0xzi589FcZy4WOMGqsYdvkUdn8K/view?usp=drivesdk")</f>
        <v>https://drive.google.com/file/d/1BDH1x0xzi589FcZy4WOMGqsYdvkUdn8K/view?usp=drivesdk</v>
      </c>
      <c r="X33" s="28" t="str">
        <f>IFERROR(__xludf.DUMMYFUNCTION("""COMPUTED_VALUE"""),"https://drive.google.com/file/d/1qFeElnv9E9YCenbpQe2u0meh6sDXMkT2/view?usp=drivesdk")</f>
        <v>https://drive.google.com/file/d/1qFeElnv9E9YCenbpQe2u0meh6sDXMkT2/view?usp=drivesdk</v>
      </c>
      <c r="Y33" s="28" t="str">
        <f>IFERROR(__xludf.DUMMYFUNCTION("""COMPUTED_VALUE"""),"https://drive.google.com/file/d/1J8CtBr4EDWksWtqHpPTnwmBGcvZl_oTD/view?usp=drivesdk")</f>
        <v>https://drive.google.com/file/d/1J8CtBr4EDWksWtqHpPTnwmBGcvZl_oTD/view?usp=drivesdk</v>
      </c>
      <c r="Z33" s="28" t="str">
        <f>IFERROR(__xludf.DUMMYFUNCTION("""COMPUTED_VALUE"""),"https://drive.google.com/file/d/1zEw9pE0n_V0A9_Zw2Wpx3jweVYoFtulx/view?usp=drivesdk")</f>
        <v>https://drive.google.com/file/d/1zEw9pE0n_V0A9_Zw2Wpx3jweVYoFtulx/view?usp=drivesdk</v>
      </c>
    </row>
    <row r="34">
      <c r="A34" s="4" t="str">
        <f>IFERROR(__xludf.DUMMYFUNCTION("""COMPUTED_VALUE"""),"H9677OF")</f>
        <v>H9677OF</v>
      </c>
      <c r="B34" s="4" t="str">
        <f>IFERROR(__xludf.DUMMYFUNCTION("""COMPUTED_VALUE"""),"24 KL")</f>
        <v>24 KL</v>
      </c>
      <c r="C34" s="4" t="str">
        <f>IFERROR(__xludf.DUMMYFUNCTION("""COMPUTED_VALUE"""),"PT. ADHI BUANA PERSADA")</f>
        <v>PT. ADHI BUANA PERSADA</v>
      </c>
      <c r="D34" s="4" t="str">
        <f>IFERROR(__xludf.DUMMYFUNCTION("""COMPUTED_VALUE"""),"1MKxigGQwgTkStA0WH_PD5-Z6vcyddzaR")</f>
        <v>1MKxigGQwgTkStA0WH_PD5-Z6vcyddzaR</v>
      </c>
      <c r="E34" s="17">
        <f>IFERROR(__xludf.DUMMYFUNCTION("""COMPUTED_VALUE"""),47115.0)</f>
        <v>47115</v>
      </c>
      <c r="F34" s="17">
        <f>IFERROR(__xludf.DUMMYFUNCTION("""COMPUTED_VALUE"""),46384.0)</f>
        <v>46384</v>
      </c>
      <c r="G34" s="17">
        <f>IFERROR(__xludf.DUMMYFUNCTION("""COMPUTED_VALUE"""),46395.0)</f>
        <v>46395</v>
      </c>
      <c r="H34" s="17">
        <f>IFERROR(__xludf.DUMMYFUNCTION("""COMPUTED_VALUE"""),46395.0)</f>
        <v>46395</v>
      </c>
      <c r="I34" s="17">
        <f>IFERROR(__xludf.DUMMYFUNCTION("""COMPUTED_VALUE"""),46395.0)</f>
        <v>46395</v>
      </c>
      <c r="J34" s="17">
        <f>IFERROR(__xludf.DUMMYFUNCTION("""COMPUTED_VALUE"""),46771.0)</f>
        <v>46771</v>
      </c>
      <c r="K34" s="17">
        <f>IFERROR(__xludf.DUMMYFUNCTION("""COMPUTED_VALUE"""),46396.0)</f>
        <v>46396</v>
      </c>
      <c r="L34" s="17">
        <f>IFERROR(__xludf.DUMMYFUNCTION("""COMPUTED_VALUE"""),46388.0)</f>
        <v>46388</v>
      </c>
      <c r="M34" s="4" t="str">
        <f>IFERROR(__xludf.DUMMYFUNCTION("""COMPUTED_VALUE"""),"04260000000011 / 000019")</f>
        <v>04260000000011 / 000019</v>
      </c>
      <c r="N34" s="28" t="str">
        <f>IFERROR(__xludf.DUMMYFUNCTION("""COMPUTED_VALUE"""),"https://drive.google.com/file/d/14jNGAC8YQ5QwptSnVEIuc0W39RHo-58l/view?usp=drivesdk")</f>
        <v>https://drive.google.com/file/d/14jNGAC8YQ5QwptSnVEIuc0W39RHo-58l/view?usp=drivesdk</v>
      </c>
      <c r="O34" s="28" t="str">
        <f>IFERROR(__xludf.DUMMYFUNCTION("""COMPUTED_VALUE"""),"https://drive.google.com/file/d/19unzp4zKFRlSSz88BdpKTXohwdOX2r9u/view?usp=drivesdk")</f>
        <v>https://drive.google.com/file/d/19unzp4zKFRlSSz88BdpKTXohwdOX2r9u/view?usp=drivesdk</v>
      </c>
      <c r="P34" s="28" t="str">
        <f>IFERROR(__xludf.DUMMYFUNCTION("""COMPUTED_VALUE"""),"https://drive.google.com/file/d/1gyZzLD029ZgRD-hI5w753WPoXqEIPUMI/view?usp=drivesdk")</f>
        <v>https://drive.google.com/file/d/1gyZzLD029ZgRD-hI5w753WPoXqEIPUMI/view?usp=drivesdk</v>
      </c>
      <c r="Q34" s="28" t="str">
        <f>IFERROR(__xludf.DUMMYFUNCTION("""COMPUTED_VALUE"""),"https://drive.google.com/file/d/1d_B5NauOOdkPfsAaFmeHjmcdal0wqo6q/view?usp=drivesdk")</f>
        <v>https://drive.google.com/file/d/1d_B5NauOOdkPfsAaFmeHjmcdal0wqo6q/view?usp=drivesdk</v>
      </c>
      <c r="R34" s="28" t="str">
        <f>IFERROR(__xludf.DUMMYFUNCTION("""COMPUTED_VALUE"""),"https://drive.google.com/file/d/1eLhF-yNh9zOSTMVLiR6bbkIqmcCsmbUU/view?usp=drivesdk")</f>
        <v>https://drive.google.com/file/d/1eLhF-yNh9zOSTMVLiR6bbkIqmcCsmbUU/view?usp=drivesdk</v>
      </c>
      <c r="S34" s="28" t="str">
        <f>IFERROR(__xludf.DUMMYFUNCTION("""COMPUTED_VALUE"""),"https://drive.google.com/file/d/175Ux0SwTqO-lQXY9nQ04G-YUukujCzEK/view?usp=drivesdk")</f>
        <v>https://drive.google.com/file/d/175Ux0SwTqO-lQXY9nQ04G-YUukujCzEK/view?usp=drivesdk</v>
      </c>
      <c r="T34" s="28" t="str">
        <f>IFERROR(__xludf.DUMMYFUNCTION("""COMPUTED_VALUE"""),"https://drive.google.com/file/d/1hVkq0zXPBBobbvAtP9ujJt79h52lQuOZ/view?usp=drivesdk")</f>
        <v>https://drive.google.com/file/d/1hVkq0zXPBBobbvAtP9ujJt79h52lQuOZ/view?usp=drivesdk</v>
      </c>
      <c r="U34" s="4"/>
      <c r="V34" s="4"/>
      <c r="W34" s="4"/>
      <c r="X34" s="4"/>
      <c r="Y34" s="4"/>
      <c r="Z34" s="4"/>
    </row>
    <row r="35">
      <c r="A35" s="4" t="str">
        <f>IFERROR(__xludf.DUMMYFUNCTION("""COMPUTED_VALUE"""),"B9697SFV")</f>
        <v>B9697SFV</v>
      </c>
      <c r="B35" s="4" t="str">
        <f>IFERROR(__xludf.DUMMYFUNCTION("""COMPUTED_VALUE"""),"8 KL")</f>
        <v>8 KL</v>
      </c>
      <c r="C35" s="4" t="str">
        <f>IFERROR(__xludf.DUMMYFUNCTION("""COMPUTED_VALUE"""),"PT. ELNUSA PETROFIN")</f>
        <v>PT. ELNUSA PETROFIN</v>
      </c>
      <c r="D35" s="4" t="str">
        <f>IFERROR(__xludf.DUMMYFUNCTION("""COMPUTED_VALUE"""),"13eV2KASxG9zcn2n6zvA9zN2Biv5vS2iQ")</f>
        <v>13eV2KASxG9zcn2n6zvA9zN2Biv5vS2iQ</v>
      </c>
      <c r="E35" s="17">
        <f>IFERROR(__xludf.DUMMYFUNCTION("""COMPUTED_VALUE"""),46981.0)</f>
        <v>46981</v>
      </c>
      <c r="F35" s="17">
        <f>IFERROR(__xludf.DUMMYFUNCTION("""COMPUTED_VALUE"""),46615.0)</f>
        <v>46615</v>
      </c>
      <c r="G35" s="17">
        <f>IFERROR(__xludf.DUMMYFUNCTION("""COMPUTED_VALUE"""),46424.0)</f>
        <v>46424</v>
      </c>
      <c r="H35" s="17"/>
      <c r="I35" s="17">
        <f>IFERROR(__xludf.DUMMYFUNCTION("""COMPUTED_VALUE"""),46424.0)</f>
        <v>46424</v>
      </c>
      <c r="J35" s="17">
        <f>IFERROR(__xludf.DUMMYFUNCTION("""COMPUTED_VALUE"""),46684.0)</f>
        <v>46684</v>
      </c>
      <c r="K35" s="17">
        <f>IFERROR(__xludf.DUMMYFUNCTION("""COMPUTED_VALUE"""),46340.0)</f>
        <v>46340</v>
      </c>
      <c r="L35" s="17">
        <f>IFERROR(__xludf.DUMMYFUNCTION("""COMPUTED_VALUE"""),46436.0)</f>
        <v>46436</v>
      </c>
      <c r="M35" s="4" t="str">
        <f>IFERROR(__xludf.DUMMYFUNCTION("""COMPUTED_VALUE"""),"2941000022025000001")</f>
        <v>2941000022025000001</v>
      </c>
      <c r="N35" s="28" t="str">
        <f>IFERROR(__xludf.DUMMYFUNCTION("""COMPUTED_VALUE"""),"https://drive.google.com/file/d/1_fpfgQe9lhcY-i0P5pL0lpMl2SiOH4aS/view?usp=drivesdk")</f>
        <v>https://drive.google.com/file/d/1_fpfgQe9lhcY-i0P5pL0lpMl2SiOH4aS/view?usp=drivesdk</v>
      </c>
      <c r="O35" s="28" t="str">
        <f>IFERROR(__xludf.DUMMYFUNCTION("""COMPUTED_VALUE"""),"https://drive.google.com/file/d/1bNcX-Z0vB9tbNnI48vEVqV-y53DOyWDR/view?usp=drivesdk")</f>
        <v>https://drive.google.com/file/d/1bNcX-Z0vB9tbNnI48vEVqV-y53DOyWDR/view?usp=drivesdk</v>
      </c>
      <c r="P35" s="28" t="str">
        <f>IFERROR(__xludf.DUMMYFUNCTION("""COMPUTED_VALUE"""),"https://drive.google.com/file/d/17eGgjweNNJU5_4mkU3_JQOf2LC73-Oxk/view?usp=drivesdk")</f>
        <v>https://drive.google.com/file/d/17eGgjweNNJU5_4mkU3_JQOf2LC73-Oxk/view?usp=drivesdk</v>
      </c>
      <c r="Q35" s="4"/>
      <c r="R35" s="28" t="str">
        <f>IFERROR(__xludf.DUMMYFUNCTION("""COMPUTED_VALUE"""),"https://drive.google.com/file/d/1fHVSe6ox3zWeZ1d68cOcacK2dST9kqU0/view?usp=drivesdk")</f>
        <v>https://drive.google.com/file/d/1fHVSe6ox3zWeZ1d68cOcacK2dST9kqU0/view?usp=drivesdk</v>
      </c>
      <c r="S35" s="28" t="str">
        <f>IFERROR(__xludf.DUMMYFUNCTION("""COMPUTED_VALUE"""),"https://drive.google.com/file/d/1sM5dmSuPSvzv0aA8Yf8S_LB7HVNEbDlo/view?usp=drivesdk")</f>
        <v>https://drive.google.com/file/d/1sM5dmSuPSvzv0aA8Yf8S_LB7HVNEbDlo/view?usp=drivesdk</v>
      </c>
      <c r="T35" s="28" t="str">
        <f>IFERROR(__xludf.DUMMYFUNCTION("""COMPUTED_VALUE"""),"https://drive.google.com/file/d/1Is5wOIidQpRYCU9DuOiJY-fnOSbqCsWl/view?usp=drivesdk")</f>
        <v>https://drive.google.com/file/d/1Is5wOIidQpRYCU9DuOiJY-fnOSbqCsWl/view?usp=drivesdk</v>
      </c>
      <c r="U35" s="28" t="str">
        <f>IFERROR(__xludf.DUMMYFUNCTION("""COMPUTED_VALUE"""),"https://drive.google.com/file/d/1qSHnWReylWbXVD0HrA8-VDBix3vMN5bU/view?usp=drivesdk")</f>
        <v>https://drive.google.com/file/d/1qSHnWReylWbXVD0HrA8-VDBix3vMN5bU/view?usp=drivesdk</v>
      </c>
      <c r="V35" s="4"/>
      <c r="W35" s="4"/>
      <c r="X35" s="4"/>
      <c r="Y35" s="4"/>
      <c r="Z35" s="4"/>
    </row>
    <row r="36">
      <c r="A36" s="4" t="str">
        <f>IFERROR(__xludf.DUMMYFUNCTION("""COMPUTED_VALUE"""),"N8869UF")</f>
        <v>N8869UF</v>
      </c>
      <c r="B36" s="4" t="str">
        <f>IFERROR(__xludf.DUMMYFUNCTION("""COMPUTED_VALUE"""),"24 KL")</f>
        <v>24 KL</v>
      </c>
      <c r="C36" s="4" t="str">
        <f>IFERROR(__xludf.DUMMYFUNCTION("""COMPUTED_VALUE"""),"PT. DHARMA CITRA ENERGY")</f>
        <v>PT. DHARMA CITRA ENERGY</v>
      </c>
      <c r="D36" s="4" t="str">
        <f>IFERROR(__xludf.DUMMYFUNCTION("""COMPUTED_VALUE"""),"1f90e9_11EBy4xo8D35jjphu-Hhzdc6wH")</f>
        <v>1f90e9_11EBy4xo8D35jjphu-Hhzdc6wH</v>
      </c>
      <c r="E36" s="17">
        <f>IFERROR(__xludf.DUMMYFUNCTION("""COMPUTED_VALUE"""),47184.0)</f>
        <v>47184</v>
      </c>
      <c r="F36" s="17">
        <f>IFERROR(__xludf.DUMMYFUNCTION("""COMPUTED_VALUE"""),46453.0)</f>
        <v>46453</v>
      </c>
      <c r="G36" s="17">
        <f>IFERROR(__xludf.DUMMYFUNCTION("""COMPUTED_VALUE"""),46456.0)</f>
        <v>46456</v>
      </c>
      <c r="H36" s="17">
        <f>IFERROR(__xludf.DUMMYFUNCTION("""COMPUTED_VALUE"""),46456.0)</f>
        <v>46456</v>
      </c>
      <c r="I36" s="17">
        <f>IFERROR(__xludf.DUMMYFUNCTION("""COMPUTED_VALUE"""),46456.0)</f>
        <v>46456</v>
      </c>
      <c r="J36" s="17">
        <f>IFERROR(__xludf.DUMMYFUNCTION("""COMPUTED_VALUE"""),46451.0)</f>
        <v>46451</v>
      </c>
      <c r="K36" s="17">
        <f>IFERROR(__xludf.DUMMYFUNCTION("""COMPUTED_VALUE"""),46340.0)</f>
        <v>46340</v>
      </c>
      <c r="L36" s="17">
        <f>IFERROR(__xludf.DUMMYFUNCTION("""COMPUTED_VALUE"""),46388.0)</f>
        <v>46388</v>
      </c>
      <c r="M36" s="4" t="str">
        <f>IFERROR(__xludf.DUMMYFUNCTION("""COMPUTED_VALUE"""),"04260000000011 / 000087")</f>
        <v>04260000000011 / 000087</v>
      </c>
      <c r="N36" s="28" t="str">
        <f>IFERROR(__xludf.DUMMYFUNCTION("""COMPUTED_VALUE"""),"https://drive.google.com/open?id=1C9WDbAmSgW_tL01RjSwdOhNw-rR1lkIM")</f>
        <v>https://drive.google.com/open?id=1C9WDbAmSgW_tL01RjSwdOhNw-rR1lkIM</v>
      </c>
      <c r="O36" s="28" t="str">
        <f>IFERROR(__xludf.DUMMYFUNCTION("""COMPUTED_VALUE"""),"https://drive.google.com/open?id=1C9WDbAmSgW_tL01RjSwdOhNw-rR1lkIM")</f>
        <v>https://drive.google.com/open?id=1C9WDbAmSgW_tL01RjSwdOhNw-rR1lkIM</v>
      </c>
      <c r="P36" s="28" t="str">
        <f>IFERROR(__xludf.DUMMYFUNCTION("""COMPUTED_VALUE"""),"https://drive.google.com/file/d/1B3Mer2kKArHtTHYypsBdmYxMsS0whKgs/view?usp=drivesdk")</f>
        <v>https://drive.google.com/file/d/1B3Mer2kKArHtTHYypsBdmYxMsS0whKgs/view?usp=drivesdk</v>
      </c>
      <c r="Q36" s="28" t="str">
        <f>IFERROR(__xludf.DUMMYFUNCTION("""COMPUTED_VALUE"""),"https://drive.google.com/file/d/1JMJO8R7ImrJ1lpQXTIxUSrjWsGOCy_r6/view?usp=drivesdk")</f>
        <v>https://drive.google.com/file/d/1JMJO8R7ImrJ1lpQXTIxUSrjWsGOCy_r6/view?usp=drivesdk</v>
      </c>
      <c r="R36" s="28" t="str">
        <f>IFERROR(__xludf.DUMMYFUNCTION("""COMPUTED_VALUE"""),"https://drive.google.com/file/d/1IFPKl95VePMLEVLrgAijSpAC2IaG9GP6/view?usp=drivesdk")</f>
        <v>https://drive.google.com/file/d/1IFPKl95VePMLEVLrgAijSpAC2IaG9GP6/view?usp=drivesdk</v>
      </c>
      <c r="S36" s="28" t="str">
        <f>IFERROR(__xludf.DUMMYFUNCTION("""COMPUTED_VALUE"""),"https://drive.google.com/file/d/1_FlLyELD2q9yGxbm1hodNutK5PD7mYhO/view?usp=drivesdk")</f>
        <v>https://drive.google.com/file/d/1_FlLyELD2q9yGxbm1hodNutK5PD7mYhO/view?usp=drivesdk</v>
      </c>
      <c r="T36" s="28" t="str">
        <f>IFERROR(__xludf.DUMMYFUNCTION("""COMPUTED_VALUE"""),"https://drive.google.com/file/d/1YguaDbDUTSFtF5q_Au_YmBhVP-5zeU2z/view?usp=drivesdk")</f>
        <v>https://drive.google.com/file/d/1YguaDbDUTSFtF5q_Au_YmBhVP-5zeU2z/view?usp=drivesdk</v>
      </c>
      <c r="U36" s="4"/>
      <c r="V36" s="4"/>
      <c r="W36" s="4"/>
      <c r="X36" s="4"/>
      <c r="Y36" s="4"/>
      <c r="Z36" s="4"/>
    </row>
    <row r="37">
      <c r="A37" s="4" t="str">
        <f>IFERROR(__xludf.DUMMYFUNCTION("""COMPUTED_VALUE"""),"N9865UJ")</f>
        <v>N9865UJ</v>
      </c>
      <c r="B37" s="4" t="str">
        <f>IFERROR(__xludf.DUMMYFUNCTION("""COMPUTED_VALUE"""),"16 KL")</f>
        <v>16 KL</v>
      </c>
      <c r="C37" s="4" t="str">
        <f>IFERROR(__xludf.DUMMYFUNCTION("""COMPUTED_VALUE"""),"PT. DHARMA CITRA ENERGY")</f>
        <v>PT. DHARMA CITRA ENERGY</v>
      </c>
      <c r="D37" s="4" t="str">
        <f>IFERROR(__xludf.DUMMYFUNCTION("""COMPUTED_VALUE"""),"15DLqTXOCTyQZQNS3wmjq31XULtVKes-a")</f>
        <v>15DLqTXOCTyQZQNS3wmjq31XULtVKes-a</v>
      </c>
      <c r="E37" s="17">
        <f>IFERROR(__xludf.DUMMYFUNCTION("""COMPUTED_VALUE"""),47213.0)</f>
        <v>47213</v>
      </c>
      <c r="F37" s="17">
        <f>IFERROR(__xludf.DUMMYFUNCTION("""COMPUTED_VALUE"""),46482.0)</f>
        <v>46482</v>
      </c>
      <c r="G37" s="17">
        <f>IFERROR(__xludf.DUMMYFUNCTION("""COMPUTED_VALUE"""),46314.0)</f>
        <v>46314</v>
      </c>
      <c r="H37" s="17"/>
      <c r="I37" s="17">
        <f>IFERROR(__xludf.DUMMYFUNCTION("""COMPUTED_VALUE"""),46314.0)</f>
        <v>46314</v>
      </c>
      <c r="J37" s="17">
        <f>IFERROR(__xludf.DUMMYFUNCTION("""COMPUTED_VALUE"""),46894.0)</f>
        <v>46894</v>
      </c>
      <c r="K37" s="17">
        <f>IFERROR(__xludf.DUMMYFUNCTION("""COMPUTED_VALUE"""),46304.0)</f>
        <v>46304</v>
      </c>
      <c r="L37" s="17">
        <f>IFERROR(__xludf.DUMMYFUNCTION("""COMPUTED_VALUE"""),46388.0)</f>
        <v>46388</v>
      </c>
      <c r="M37" s="4" t="str">
        <f>IFERROR(__xludf.DUMMYFUNCTION("""COMPUTED_VALUE"""),"04260000000011 / 000084")</f>
        <v>04260000000011 / 000084</v>
      </c>
      <c r="N37" s="28" t="str">
        <f>IFERROR(__xludf.DUMMYFUNCTION("""COMPUTED_VALUE"""),"https://drive.google.com/file/d/1zyWWDK-Vhb4b2A84RdLSzR2WU96OSScT/view?usp=drivesdk")</f>
        <v>https://drive.google.com/file/d/1zyWWDK-Vhb4b2A84RdLSzR2WU96OSScT/view?usp=drivesdk</v>
      </c>
      <c r="O37" s="28" t="str">
        <f>IFERROR(__xludf.DUMMYFUNCTION("""COMPUTED_VALUE"""),"https://drive.google.com/file/d/1pDNCUWEVDffxa1Nug3rZkQQMXWME5TvQ/view?usp=drivesdk")</f>
        <v>https://drive.google.com/file/d/1pDNCUWEVDffxa1Nug3rZkQQMXWME5TvQ/view?usp=drivesdk</v>
      </c>
      <c r="P37" s="28" t="str">
        <f>IFERROR(__xludf.DUMMYFUNCTION("""COMPUTED_VALUE"""),"https://drive.google.com/file/d/1MQ6tGZb4Cu_hl49GJzq9hv5Ne18xHvB7/view?usp=drivesdk")</f>
        <v>https://drive.google.com/file/d/1MQ6tGZb4Cu_hl49GJzq9hv5Ne18xHvB7/view?usp=drivesdk</v>
      </c>
      <c r="Q37" s="4"/>
      <c r="R37" s="28" t="str">
        <f>IFERROR(__xludf.DUMMYFUNCTION("""COMPUTED_VALUE"""),"https://drive.google.com/open?id=1t6Yv8MkC9fqq9a2eY_Zga5PEWA4Q-dd1")</f>
        <v>https://drive.google.com/open?id=1t6Yv8MkC9fqq9a2eY_Zga5PEWA4Q-dd1</v>
      </c>
      <c r="S37" s="28" t="str">
        <f>IFERROR(__xludf.DUMMYFUNCTION("""COMPUTED_VALUE"""),"https://drive.google.com/file/d/1Ka7MtVBZdHr_jGAEFEbWKWLy_gIDXb4R/view?usp=drivesdk")</f>
        <v>https://drive.google.com/file/d/1Ka7MtVBZdHr_jGAEFEbWKWLy_gIDXb4R/view?usp=drivesdk</v>
      </c>
      <c r="T37" s="28" t="str">
        <f>IFERROR(__xludf.DUMMYFUNCTION("""COMPUTED_VALUE"""),"https://drive.google.com/file/d/1-4l_4tncaOB3iLZ-6Bs-83ofPPnBSStx/view?usp=drivesdk")</f>
        <v>https://drive.google.com/file/d/1-4l_4tncaOB3iLZ-6Bs-83ofPPnBSStx/view?usp=drivesdk</v>
      </c>
      <c r="U37" s="4"/>
      <c r="V37" s="4"/>
      <c r="W37" s="4"/>
      <c r="X37" s="4"/>
      <c r="Y37" s="4"/>
      <c r="Z37" s="4"/>
    </row>
    <row r="38">
      <c r="A38" s="4" t="str">
        <f>IFERROR(__xludf.DUMMYFUNCTION("""COMPUTED_VALUE"""),"B9376TFV")</f>
        <v>B9376TFV</v>
      </c>
      <c r="B38" s="4" t="str">
        <f>IFERROR(__xludf.DUMMYFUNCTION("""COMPUTED_VALUE"""),"16 KL")</f>
        <v>16 KL</v>
      </c>
      <c r="C38" s="4" t="str">
        <f>IFERROR(__xludf.DUMMYFUNCTION("""COMPUTED_VALUE"""),"PT. ADAM TRANS")</f>
        <v>PT. ADAM TRANS</v>
      </c>
      <c r="D38" s="4" t="str">
        <f>IFERROR(__xludf.DUMMYFUNCTION("""COMPUTED_VALUE"""),"1akDBRyQDGGChxckyt_Qwj_gTT0Lssc-4")</f>
        <v>1akDBRyQDGGChxckyt_Qwj_gTT0Lssc-4</v>
      </c>
      <c r="E38" s="17">
        <f>IFERROR(__xludf.DUMMYFUNCTION("""COMPUTED_VALUE"""),47025.0)</f>
        <v>47025</v>
      </c>
      <c r="F38" s="17">
        <f>IFERROR(__xludf.DUMMYFUNCTION("""COMPUTED_VALUE"""),46659.0)</f>
        <v>46659</v>
      </c>
      <c r="G38" s="17">
        <f>IFERROR(__xludf.DUMMYFUNCTION("""COMPUTED_VALUE"""),46447.0)</f>
        <v>46447</v>
      </c>
      <c r="H38" s="17"/>
      <c r="I38" s="17">
        <f>IFERROR(__xludf.DUMMYFUNCTION("""COMPUTED_VALUE"""),46447.0)</f>
        <v>46447</v>
      </c>
      <c r="J38" s="17">
        <f>IFERROR(__xludf.DUMMYFUNCTION("""COMPUTED_VALUE"""),46684.0)</f>
        <v>46684</v>
      </c>
      <c r="K38" s="17">
        <f>IFERROR(__xludf.DUMMYFUNCTION("""COMPUTED_VALUE"""),46459.0)</f>
        <v>46459</v>
      </c>
      <c r="L38" s="17">
        <f>IFERROR(__xludf.DUMMYFUNCTION("""COMPUTED_VALUE"""),46388.0)</f>
        <v>46388</v>
      </c>
      <c r="M38" s="4" t="str">
        <f>IFERROR(__xludf.DUMMYFUNCTION("""COMPUTED_VALUE"""),"04260000000011 / 000002")</f>
        <v>04260000000011 / 000002</v>
      </c>
      <c r="N38" s="28" t="str">
        <f>IFERROR(__xludf.DUMMYFUNCTION("""COMPUTED_VALUE"""),"https://drive.google.com/open?id=1mdA49lRkvV2Q4HWWLkm1v6FkgX8rj5l-")</f>
        <v>https://drive.google.com/open?id=1mdA49lRkvV2Q4HWWLkm1v6FkgX8rj5l-</v>
      </c>
      <c r="O38" s="28" t="str">
        <f>IFERROR(__xludf.DUMMYFUNCTION("""COMPUTED_VALUE"""),"https://drive.google.com/file/d/1G6FjAvb_BghMqRMfrTyWWckpq351pXWE/view?usp=drivesdk")</f>
        <v>https://drive.google.com/file/d/1G6FjAvb_BghMqRMfrTyWWckpq351pXWE/view?usp=drivesdk</v>
      </c>
      <c r="P38" s="28" t="str">
        <f>IFERROR(__xludf.DUMMYFUNCTION("""COMPUTED_VALUE"""),"https://drive.google.com/file/d/1Esr1bHpv3RJ__UdjCfcvJ7OUwxbERB-z/view?usp=drivesdk")</f>
        <v>https://drive.google.com/file/d/1Esr1bHpv3RJ__UdjCfcvJ7OUwxbERB-z/view?usp=drivesdk</v>
      </c>
      <c r="Q38" s="4"/>
      <c r="R38" s="28" t="str">
        <f>IFERROR(__xludf.DUMMYFUNCTION("""COMPUTED_VALUE"""),"https://drive.google.com/file/d/1W8aldtCs0S-Tg0BulJUWMJU6JIm0-MGC/view?usp=drivesdk")</f>
        <v>https://drive.google.com/file/d/1W8aldtCs0S-Tg0BulJUWMJU6JIm0-MGC/view?usp=drivesdk</v>
      </c>
      <c r="S38" s="28" t="str">
        <f>IFERROR(__xludf.DUMMYFUNCTION("""COMPUTED_VALUE"""),"https://drive.google.com/file/d/1dFlx8JF_CCUESY5Pc9o2UFqEx9xUnYxM/view?usp=drivesdk")</f>
        <v>https://drive.google.com/file/d/1dFlx8JF_CCUESY5Pc9o2UFqEx9xUnYxM/view?usp=drivesdk</v>
      </c>
      <c r="T38" s="28" t="str">
        <f>IFERROR(__xludf.DUMMYFUNCTION("""COMPUTED_VALUE"""),"https://drive.google.com/file/d/1yxbpL-feeMowh_RUKzQdoJFME01WWYr9/view?usp=drivesdk")</f>
        <v>https://drive.google.com/file/d/1yxbpL-feeMowh_RUKzQdoJFME01WWYr9/view?usp=drivesdk</v>
      </c>
      <c r="U38" s="28" t="str">
        <f>IFERROR(__xludf.DUMMYFUNCTION("""COMPUTED_VALUE"""),"https://drive.google.com/file/d/1q6tizD2yTX-gjpfHQ-CH2DtyN4LwUCl5/view?usp=drivesdk")</f>
        <v>https://drive.google.com/file/d/1q6tizD2yTX-gjpfHQ-CH2DtyN4LwUCl5/view?usp=drivesdk</v>
      </c>
      <c r="V38" s="4"/>
      <c r="W38" s="4"/>
      <c r="X38" s="4"/>
      <c r="Y38" s="4"/>
      <c r="Z38" s="4"/>
    </row>
    <row r="39">
      <c r="A39" s="4" t="str">
        <f>IFERROR(__xludf.DUMMYFUNCTION("""COMPUTED_VALUE"""),"H9155OF")</f>
        <v>H9155OF</v>
      </c>
      <c r="B39" s="4" t="str">
        <f>IFERROR(__xludf.DUMMYFUNCTION("""COMPUTED_VALUE"""),"16 KL")</f>
        <v>16 KL</v>
      </c>
      <c r="C39" s="4" t="str">
        <f>IFERROR(__xludf.DUMMYFUNCTION("""COMPUTED_VALUE"""),"PT. LUMAS PRIMA")</f>
        <v>PT. LUMAS PRIMA</v>
      </c>
      <c r="D39" s="4" t="str">
        <f>IFERROR(__xludf.DUMMYFUNCTION("""COMPUTED_VALUE"""),"1GG9OkM0LGxQ8S1oswKogh09v8VveGCzY")</f>
        <v>1GG9OkM0LGxQ8S1oswKogh09v8VveGCzY</v>
      </c>
      <c r="E39" s="17">
        <f>IFERROR(__xludf.DUMMYFUNCTION("""COMPUTED_VALUE"""),46999.0)</f>
        <v>46999</v>
      </c>
      <c r="F39" s="17">
        <f>IFERROR(__xludf.DUMMYFUNCTION("""COMPUTED_VALUE"""),46633.0)</f>
        <v>46633</v>
      </c>
      <c r="G39" s="17">
        <f>IFERROR(__xludf.DUMMYFUNCTION("""COMPUTED_VALUE"""),46445.0)</f>
        <v>46445</v>
      </c>
      <c r="H39" s="17"/>
      <c r="I39" s="17">
        <f>IFERROR(__xludf.DUMMYFUNCTION("""COMPUTED_VALUE"""),46445.0)</f>
        <v>46445</v>
      </c>
      <c r="J39" s="17">
        <f>IFERROR(__xludf.DUMMYFUNCTION("""COMPUTED_VALUE"""),46648.0)</f>
        <v>46648</v>
      </c>
      <c r="K39" s="17">
        <f>IFERROR(__xludf.DUMMYFUNCTION("""COMPUTED_VALUE"""),46340.0)</f>
        <v>46340</v>
      </c>
      <c r="L39" s="17">
        <f>IFERROR(__xludf.DUMMYFUNCTION("""COMPUTED_VALUE"""),46388.0)</f>
        <v>46388</v>
      </c>
      <c r="M39" s="4" t="str">
        <f>IFERROR(__xludf.DUMMYFUNCTION("""COMPUTED_VALUE"""),"04260000000011 / 000127")</f>
        <v>04260000000011 / 000127</v>
      </c>
      <c r="N39" s="28" t="str">
        <f>IFERROR(__xludf.DUMMYFUNCTION("""COMPUTED_VALUE"""),"https://drive.google.com/file/d/1_2vb___7DJWB5pKgo8faiLiUK3vPJmdK/view?usp=drivesdk")</f>
        <v>https://drive.google.com/file/d/1_2vb___7DJWB5pKgo8faiLiUK3vPJmdK/view?usp=drivesdk</v>
      </c>
      <c r="O39" s="28" t="str">
        <f>IFERROR(__xludf.DUMMYFUNCTION("""COMPUTED_VALUE"""),"https://drive.google.com/file/d/1tabjHuhTojc6_IDZtGtdbKVX6vUVjY73/view?usp=drivesdk")</f>
        <v>https://drive.google.com/file/d/1tabjHuhTojc6_IDZtGtdbKVX6vUVjY73/view?usp=drivesdk</v>
      </c>
      <c r="P39" s="28" t="str">
        <f>IFERROR(__xludf.DUMMYFUNCTION("""COMPUTED_VALUE"""),"https://drive.google.com/file/d/1foX-Q301DltQBNxnjzUrHu4kDyMnqC62/view?usp=drivesdk")</f>
        <v>https://drive.google.com/file/d/1foX-Q301DltQBNxnjzUrHu4kDyMnqC62/view?usp=drivesdk</v>
      </c>
      <c r="Q39" s="4"/>
      <c r="R39" s="28" t="str">
        <f>IFERROR(__xludf.DUMMYFUNCTION("""COMPUTED_VALUE"""),"https://drive.google.com/file/d/1jFPtR-3jIQpVPh9XY-FU7r2hH55zawKx/view?usp=drivesdk")</f>
        <v>https://drive.google.com/file/d/1jFPtR-3jIQpVPh9XY-FU7r2hH55zawKx/view?usp=drivesdk</v>
      </c>
      <c r="S39" s="28" t="str">
        <f>IFERROR(__xludf.DUMMYFUNCTION("""COMPUTED_VALUE"""),"https://drive.google.com/file/d/1TspxE6bmBC-aGxl8DUIkHbMLc3PVJNUJ/view?usp=drivesdk")</f>
        <v>https://drive.google.com/file/d/1TspxE6bmBC-aGxl8DUIkHbMLc3PVJNUJ/view?usp=drivesdk</v>
      </c>
      <c r="T39" s="28" t="str">
        <f>IFERROR(__xludf.DUMMYFUNCTION("""COMPUTED_VALUE"""),"https://drive.google.com/file/d/1u-uyanzLl10G3G1fjcS0MTgWxEDWwyrc/view?usp=drivesdk")</f>
        <v>https://drive.google.com/file/d/1u-uyanzLl10G3G1fjcS0MTgWxEDWwyrc/view?usp=drivesdk</v>
      </c>
      <c r="U39" s="4"/>
      <c r="V39" s="4"/>
      <c r="W39" s="4"/>
      <c r="X39" s="4"/>
      <c r="Y39" s="4"/>
      <c r="Z39" s="4"/>
    </row>
    <row r="40">
      <c r="A40" s="4" t="str">
        <f>IFERROR(__xludf.DUMMYFUNCTION("""COMPUTED_VALUE"""),"G9534OA")</f>
        <v>G9534OA</v>
      </c>
      <c r="B40" s="4" t="str">
        <f>IFERROR(__xludf.DUMMYFUNCTION("""COMPUTED_VALUE"""),"24 KL")</f>
        <v>24 KL</v>
      </c>
      <c r="C40" s="4" t="str">
        <f>IFERROR(__xludf.DUMMYFUNCTION("""COMPUTED_VALUE"""),"PT. MURNI ADHI DUKUH JAYA")</f>
        <v>PT. MURNI ADHI DUKUH JAYA</v>
      </c>
      <c r="D40" s="4" t="str">
        <f>IFERROR(__xludf.DUMMYFUNCTION("""COMPUTED_VALUE"""),"1MUw-I5C5_eAMF2FRNDIBtV4fASLlYvah")</f>
        <v>1MUw-I5C5_eAMF2FRNDIBtV4fASLlYvah</v>
      </c>
      <c r="E40" s="17">
        <f>IFERROR(__xludf.DUMMYFUNCTION("""COMPUTED_VALUE"""),47937.0)</f>
        <v>47937</v>
      </c>
      <c r="F40" s="17">
        <f>IFERROR(__xludf.DUMMYFUNCTION("""COMPUTED_VALUE"""),46476.0)</f>
        <v>46476</v>
      </c>
      <c r="G40" s="17">
        <f>IFERROR(__xludf.DUMMYFUNCTION("""COMPUTED_VALUE"""),46301.0)</f>
        <v>46301</v>
      </c>
      <c r="H40" s="17">
        <f>IFERROR(__xludf.DUMMYFUNCTION("""COMPUTED_VALUE"""),46301.0)</f>
        <v>46301</v>
      </c>
      <c r="I40" s="17">
        <f>IFERROR(__xludf.DUMMYFUNCTION("""COMPUTED_VALUE"""),46483.0)</f>
        <v>46483</v>
      </c>
      <c r="J40" s="17">
        <f>IFERROR(__xludf.DUMMYFUNCTION("""COMPUTED_VALUE"""),46856.0)</f>
        <v>46856</v>
      </c>
      <c r="K40" s="17">
        <f>IFERROR(__xludf.DUMMYFUNCTION("""COMPUTED_VALUE"""),46320.0)</f>
        <v>46320</v>
      </c>
      <c r="L40" s="17">
        <f>IFERROR(__xludf.DUMMYFUNCTION("""COMPUTED_VALUE"""),46484.0)</f>
        <v>46484</v>
      </c>
      <c r="M40" s="4" t="str">
        <f>IFERROR(__xludf.DUMMYFUNCTION("""COMPUTED_VALUE"""),"3260000003230")</f>
        <v>3260000003230</v>
      </c>
      <c r="N40" s="28" t="str">
        <f>IFERROR(__xludf.DUMMYFUNCTION("""COMPUTED_VALUE"""),"https://drive.google.com/open?id=1vhjKIigS_CVKt5638x-OSxdrHPCLpepc")</f>
        <v>https://drive.google.com/open?id=1vhjKIigS_CVKt5638x-OSxdrHPCLpepc</v>
      </c>
      <c r="O40" s="28" t="str">
        <f>IFERROR(__xludf.DUMMYFUNCTION("""COMPUTED_VALUE"""),"https://drive.google.com/open?id=1vhjKIigS_CVKt5638x-OSxdrHPCLpepc")</f>
        <v>https://drive.google.com/open?id=1vhjKIigS_CVKt5638x-OSxdrHPCLpepc</v>
      </c>
      <c r="P40" s="28" t="str">
        <f>IFERROR(__xludf.DUMMYFUNCTION("""COMPUTED_VALUE"""),"https://drive.google.com/open?id=1sKxwJNf-ukFCY6B-R8tWd-AedbY3je_T")</f>
        <v>https://drive.google.com/open?id=1sKxwJNf-ukFCY6B-R8tWd-AedbY3je_T</v>
      </c>
      <c r="Q40" s="28" t="str">
        <f>IFERROR(__xludf.DUMMYFUNCTION("""COMPUTED_VALUE"""),"https://drive.google.com/open?id=1er4qM2ON_EQ9e3NElXR9CtXh5cSjD4dh")</f>
        <v>https://drive.google.com/open?id=1er4qM2ON_EQ9e3NElXR9CtXh5cSjD4dh</v>
      </c>
      <c r="R40" s="28" t="str">
        <f>IFERROR(__xludf.DUMMYFUNCTION("""COMPUTED_VALUE"""),"https://drive.google.com/open?id=130wpfK2XgDPoU8AhxR2bYg4kNlp-Q-8W")</f>
        <v>https://drive.google.com/open?id=130wpfK2XgDPoU8AhxR2bYg4kNlp-Q-8W</v>
      </c>
      <c r="S40" s="28" t="str">
        <f>IFERROR(__xludf.DUMMYFUNCTION("""COMPUTED_VALUE"""),"https://drive.google.com/file/d/1bkB4pPLNnRpHGBNsVi2SElVit35Jeq6e/view?usp=drive_link")</f>
        <v>https://drive.google.com/file/d/1bkB4pPLNnRpHGBNsVi2SElVit35Jeq6e/view?usp=drive_link</v>
      </c>
      <c r="T40" s="28" t="str">
        <f>IFERROR(__xludf.DUMMYFUNCTION("""COMPUTED_VALUE"""),"https://drive.google.com/file/d/1OeOJ6roSRF6a6NFu9gc1P6ZgbfwmUcSP/view?usp=drivesdk")</f>
        <v>https://drive.google.com/file/d/1OeOJ6roSRF6a6NFu9gc1P6ZgbfwmUcSP/view?usp=drivesdk</v>
      </c>
      <c r="U40" s="4"/>
      <c r="V40" s="4"/>
      <c r="W40" s="4"/>
      <c r="X40" s="4"/>
      <c r="Y40" s="4"/>
      <c r="Z40" s="4"/>
    </row>
    <row r="41">
      <c r="A41" s="4" t="str">
        <f>IFERROR(__xludf.DUMMYFUNCTION("""COMPUTED_VALUE"""),"R9839BR")</f>
        <v>R9839BR</v>
      </c>
      <c r="B41" s="4" t="str">
        <f>IFERROR(__xludf.DUMMYFUNCTION("""COMPUTED_VALUE"""),"16 KL")</f>
        <v>16 KL</v>
      </c>
      <c r="C41" s="4" t="str">
        <f>IFERROR(__xludf.DUMMYFUNCTION("""COMPUTED_VALUE"""),"PT. SATU HATI")</f>
        <v>PT. SATU HATI</v>
      </c>
      <c r="D41" s="4" t="str">
        <f>IFERROR(__xludf.DUMMYFUNCTION("""COMPUTED_VALUE"""),"1XgbHNgEgjZjcuKY4eYC-qK_SymUqy75r")</f>
        <v>1XgbHNgEgjZjcuKY4eYC-qK_SymUqy75r</v>
      </c>
      <c r="E41" s="17">
        <f>IFERROR(__xludf.DUMMYFUNCTION("""COMPUTED_VALUE"""),46693.0)</f>
        <v>46693</v>
      </c>
      <c r="F41" s="17">
        <f>IFERROR(__xludf.DUMMYFUNCTION("""COMPUTED_VALUE"""),46693.0)</f>
        <v>46693</v>
      </c>
      <c r="G41" s="17">
        <f>IFERROR(__xludf.DUMMYFUNCTION("""COMPUTED_VALUE"""),46453.0)</f>
        <v>46453</v>
      </c>
      <c r="H41" s="17"/>
      <c r="I41" s="17">
        <f>IFERROR(__xludf.DUMMYFUNCTION("""COMPUTED_VALUE"""),46453.0)</f>
        <v>46453</v>
      </c>
      <c r="J41" s="17">
        <f>IFERROR(__xludf.DUMMYFUNCTION("""COMPUTED_VALUE"""),46962.0)</f>
        <v>46962</v>
      </c>
      <c r="K41" s="17">
        <f>IFERROR(__xludf.DUMMYFUNCTION("""COMPUTED_VALUE"""),46439.0)</f>
        <v>46439</v>
      </c>
      <c r="L41" s="17">
        <f>IFERROR(__xludf.DUMMYFUNCTION("""COMPUTED_VALUE"""),46388.0)</f>
        <v>46388</v>
      </c>
      <c r="M41" s="4" t="str">
        <f>IFERROR(__xludf.DUMMYFUNCTION("""COMPUTED_VALUE"""),"04260000000011 / 000269")</f>
        <v>04260000000011 / 000269</v>
      </c>
      <c r="N41" s="28" t="str">
        <f>IFERROR(__xludf.DUMMYFUNCTION("""COMPUTED_VALUE"""),"https://drive.google.com/file/d/1hpcWGzFju2OwotT5gkvhRrnp1jZ3oxKk/view?usp=drivesdk")</f>
        <v>https://drive.google.com/file/d/1hpcWGzFju2OwotT5gkvhRrnp1jZ3oxKk/view?usp=drivesdk</v>
      </c>
      <c r="O41" s="28" t="str">
        <f>IFERROR(__xludf.DUMMYFUNCTION("""COMPUTED_VALUE"""),"https://drive.google.com/file/d/1FifIgeEb8JVzb25Z1Pg9MGHq7As1fxxT/view?usp=drivesdk")</f>
        <v>https://drive.google.com/file/d/1FifIgeEb8JVzb25Z1Pg9MGHq7As1fxxT/view?usp=drivesdk</v>
      </c>
      <c r="P41" s="28" t="str">
        <f>IFERROR(__xludf.DUMMYFUNCTION("""COMPUTED_VALUE"""),"https://drive.google.com/file/d/1adnFPLPzxxytUnAPjnuFoYJWezdRcoJi/view?usp=drivesdk")</f>
        <v>https://drive.google.com/file/d/1adnFPLPzxxytUnAPjnuFoYJWezdRcoJi/view?usp=drivesdk</v>
      </c>
      <c r="Q41" s="4"/>
      <c r="R41" s="28" t="str">
        <f>IFERROR(__xludf.DUMMYFUNCTION("""COMPUTED_VALUE"""),"https://drive.google.com/file/d/1mmb-CQhoqTOUN08PjOcx-3nKt4TRcu1G/view?usp=drivesdk")</f>
        <v>https://drive.google.com/file/d/1mmb-CQhoqTOUN08PjOcx-3nKt4TRcu1G/view?usp=drivesdk</v>
      </c>
      <c r="S41" s="28" t="str">
        <f>IFERROR(__xludf.DUMMYFUNCTION("""COMPUTED_VALUE"""),"https://drive.google.com/file/d/1EE_l3ZFMAtRce61PeWRVlaBZIM-5SGjN/view?usp=drivesdk")</f>
        <v>https://drive.google.com/file/d/1EE_l3ZFMAtRce61PeWRVlaBZIM-5SGjN/view?usp=drivesdk</v>
      </c>
      <c r="T41" s="28" t="str">
        <f>IFERROR(__xludf.DUMMYFUNCTION("""COMPUTED_VALUE"""),"https://drive.google.com/file/d/1-LiFoCFHe9YD0OiCrFkUM-Gzrdw-JbRV/view?usp=drivesdk")</f>
        <v>https://drive.google.com/file/d/1-LiFoCFHe9YD0OiCrFkUM-Gzrdw-JbRV/view?usp=drivesdk</v>
      </c>
      <c r="U41" s="4"/>
      <c r="V41" s="4"/>
      <c r="W41" s="28" t="str">
        <f>IFERROR(__xludf.DUMMYFUNCTION("""COMPUTED_VALUE"""),"https://drive.google.com/file/d/1sI-QnA62SboV1ZZdCxPuEGhUgJFWyOv-/view?usp=drivesdk")</f>
        <v>https://drive.google.com/file/d/1sI-QnA62SboV1ZZdCxPuEGhUgJFWyOv-/view?usp=drivesdk</v>
      </c>
      <c r="X41" s="28" t="str">
        <f>IFERROR(__xludf.DUMMYFUNCTION("""COMPUTED_VALUE"""),"https://drive.google.com/file/d/19GNtcmnaKuZROJm40yHFXjTirveYK9hD/view?usp=drivesdk")</f>
        <v>https://drive.google.com/file/d/19GNtcmnaKuZROJm40yHFXjTirveYK9hD/view?usp=drivesdk</v>
      </c>
      <c r="Y41" s="28" t="str">
        <f>IFERROR(__xludf.DUMMYFUNCTION("""COMPUTED_VALUE"""),"https://drive.google.com/file/d/1Pd8J6nfd7pNgOROk5kdmEafCf0Fbv6_i/view?usp=drivesdk")</f>
        <v>https://drive.google.com/file/d/1Pd8J6nfd7pNgOROk5kdmEafCf0Fbv6_i/view?usp=drivesdk</v>
      </c>
      <c r="Z41" s="28" t="str">
        <f>IFERROR(__xludf.DUMMYFUNCTION("""COMPUTED_VALUE"""),"https://drive.google.com/file/d/1Fz8-rqAEGjDFEfS3uVR-BrrhssRbRjgE/view?usp=drivesdk")</f>
        <v>https://drive.google.com/file/d/1Fz8-rqAEGjDFEfS3uVR-BrrhssRbRjgE/view?usp=drivesdk</v>
      </c>
    </row>
    <row r="42">
      <c r="A42" s="4" t="str">
        <f>IFERROR(__xludf.DUMMYFUNCTION("""COMPUTED_VALUE"""),"B9570SEI")</f>
        <v>B9570SEI</v>
      </c>
      <c r="B42" s="4" t="str">
        <f>IFERROR(__xludf.DUMMYFUNCTION("""COMPUTED_VALUE"""),"24 KL")</f>
        <v>24 KL</v>
      </c>
      <c r="C42" s="4" t="str">
        <f>IFERROR(__xludf.DUMMYFUNCTION("""COMPUTED_VALUE"""),"PT. ELNUSA PETROFIN")</f>
        <v>PT. ELNUSA PETROFIN</v>
      </c>
      <c r="D42" s="4" t="str">
        <f>IFERROR(__xludf.DUMMYFUNCTION("""COMPUTED_VALUE"""),"10OYBj0RU2hgEAuCegtx-d06HIspJ6L-D")</f>
        <v>10OYBj0RU2hgEAuCegtx-d06HIspJ6L-D</v>
      </c>
      <c r="E42" s="17">
        <f>IFERROR(__xludf.DUMMYFUNCTION("""COMPUTED_VALUE"""),46913.0)</f>
        <v>46913</v>
      </c>
      <c r="F42" s="17">
        <f>IFERROR(__xludf.DUMMYFUNCTION("""COMPUTED_VALUE"""),46547.0)</f>
        <v>46547</v>
      </c>
      <c r="G42" s="17">
        <f>IFERROR(__xludf.DUMMYFUNCTION("""COMPUTED_VALUE"""),46423.0)</f>
        <v>46423</v>
      </c>
      <c r="H42" s="17">
        <f>IFERROR(__xludf.DUMMYFUNCTION("""COMPUTED_VALUE"""),46424.0)</f>
        <v>46424</v>
      </c>
      <c r="I42" s="17">
        <f>IFERROR(__xludf.DUMMYFUNCTION("""COMPUTED_VALUE"""),46423.0)</f>
        <v>46423</v>
      </c>
      <c r="J42" s="17">
        <f>IFERROR(__xludf.DUMMYFUNCTION("""COMPUTED_VALUE"""),46669.0)</f>
        <v>46669</v>
      </c>
      <c r="K42" s="17">
        <f>IFERROR(__xludf.DUMMYFUNCTION("""COMPUTED_VALUE"""),46439.0)</f>
        <v>46439</v>
      </c>
      <c r="L42" s="17">
        <f>IFERROR(__xludf.DUMMYFUNCTION("""COMPUTED_VALUE"""),46436.0)</f>
        <v>46436</v>
      </c>
      <c r="M42" s="4" t="str">
        <f>IFERROR(__xludf.DUMMYFUNCTION("""COMPUTED_VALUE"""),"2941000022025000001")</f>
        <v>2941000022025000001</v>
      </c>
      <c r="N42" s="28" t="str">
        <f>IFERROR(__xludf.DUMMYFUNCTION("""COMPUTED_VALUE"""),"https://drive.google.com/open?id=1bgw-KfuCG4D7bhA-Y1dhDIOCfcLenqf_")</f>
        <v>https://drive.google.com/open?id=1bgw-KfuCG4D7bhA-Y1dhDIOCfcLenqf_</v>
      </c>
      <c r="O42" s="28" t="str">
        <f>IFERROR(__xludf.DUMMYFUNCTION("""COMPUTED_VALUE"""),"https://drive.google.com/file/d/1gqgQI6iC3ZlAQfya-lnu5ggDeBaGbZsw/view?usp=drivesdk")</f>
        <v>https://drive.google.com/file/d/1gqgQI6iC3ZlAQfya-lnu5ggDeBaGbZsw/view?usp=drivesdk</v>
      </c>
      <c r="P42" s="28" t="str">
        <f>IFERROR(__xludf.DUMMYFUNCTION("""COMPUTED_VALUE"""),"https://drive.google.com/file/d/1_PK5kkrHs2WQfUz1ZHH04_1fDL9D1a5O/view?usp=drivesdk")</f>
        <v>https://drive.google.com/file/d/1_PK5kkrHs2WQfUz1ZHH04_1fDL9D1a5O/view?usp=drivesdk</v>
      </c>
      <c r="Q42" s="28" t="str">
        <f>IFERROR(__xludf.DUMMYFUNCTION("""COMPUTED_VALUE"""),"https://drive.google.com/file/d/1i1ZrFkaG2Ck5RiNufo_fXTeFt7asHwI9/view?usp=drivesdk")</f>
        <v>https://drive.google.com/file/d/1i1ZrFkaG2Ck5RiNufo_fXTeFt7asHwI9/view?usp=drivesdk</v>
      </c>
      <c r="R42" s="28" t="str">
        <f>IFERROR(__xludf.DUMMYFUNCTION("""COMPUTED_VALUE"""),"https://drive.google.com/file/d/1l67E12Nen4BExJ0eSqRAJL3SqYowGVlP/view?usp=drivesdk")</f>
        <v>https://drive.google.com/file/d/1l67E12Nen4BExJ0eSqRAJL3SqYowGVlP/view?usp=drivesdk</v>
      </c>
      <c r="S42" s="28" t="str">
        <f>IFERROR(__xludf.DUMMYFUNCTION("""COMPUTED_VALUE"""),"https://drive.google.com/file/d/1mPXjduw_fz-6XkbfKKfpH3_Ns1Ykuouh/view?usp=drivesdk")</f>
        <v>https://drive.google.com/file/d/1mPXjduw_fz-6XkbfKKfpH3_Ns1Ykuouh/view?usp=drivesdk</v>
      </c>
      <c r="T42" s="28" t="str">
        <f>IFERROR(__xludf.DUMMYFUNCTION("""COMPUTED_VALUE"""),"https://drive.google.com/file/d/1P8IqNZOAWbxAuPNsvivjWWVYtoEhDLam/view?usp=drivesdk")</f>
        <v>https://drive.google.com/file/d/1P8IqNZOAWbxAuPNsvivjWWVYtoEhDLam/view?usp=drivesdk</v>
      </c>
      <c r="U42" s="28" t="str">
        <f>IFERROR(__xludf.DUMMYFUNCTION("""COMPUTED_VALUE"""),"https://drive.google.com/file/d/1JMgzxFHsfRV4u_jGiD-abM7p8RGZQCsG/view?usp=drivesdk")</f>
        <v>https://drive.google.com/file/d/1JMgzxFHsfRV4u_jGiD-abM7p8RGZQCsG/view?usp=drivesdk</v>
      </c>
      <c r="V42" s="4"/>
      <c r="W42" s="28" t="str">
        <f>IFERROR(__xludf.DUMMYFUNCTION("""COMPUTED_VALUE"""),"https://drive.google.com/file/d/1mpMzCRtN4XL2CnzSu9nHI-HZH_VZ1ITk/view?usp=drivesdk")</f>
        <v>https://drive.google.com/file/d/1mpMzCRtN4XL2CnzSu9nHI-HZH_VZ1ITk/view?usp=drivesdk</v>
      </c>
      <c r="X42" s="28" t="str">
        <f>IFERROR(__xludf.DUMMYFUNCTION("""COMPUTED_VALUE"""),"https://drive.google.com/file/d/1CfiEvWKso-sgDr7fTAiwNmEbvf4OP1pa/view?usp=drivesdk")</f>
        <v>https://drive.google.com/file/d/1CfiEvWKso-sgDr7fTAiwNmEbvf4OP1pa/view?usp=drivesdk</v>
      </c>
      <c r="Y42" s="28" t="str">
        <f>IFERROR(__xludf.DUMMYFUNCTION("""COMPUTED_VALUE"""),"https://drive.google.com/file/d/1LAqR5jCDxu6v66Litztt0Kv-0q_vPpk8/view?usp=drivesdk")</f>
        <v>https://drive.google.com/file/d/1LAqR5jCDxu6v66Litztt0Kv-0q_vPpk8/view?usp=drivesdk</v>
      </c>
      <c r="Z42" s="28" t="str">
        <f>IFERROR(__xludf.DUMMYFUNCTION("""COMPUTED_VALUE"""),"https://drive.google.com/file/d/1azeDiMRP69NgMdDojLqRfhwNs0jT2FFx/view?usp=drivesdk")</f>
        <v>https://drive.google.com/file/d/1azeDiMRP69NgMdDojLqRfhwNs0jT2FFx/view?usp=drivesdk</v>
      </c>
    </row>
    <row r="43">
      <c r="A43" s="4" t="str">
        <f>IFERROR(__xludf.DUMMYFUNCTION("""COMPUTED_VALUE"""),"N8641UH")</f>
        <v>N8641UH</v>
      </c>
      <c r="B43" s="4" t="str">
        <f>IFERROR(__xludf.DUMMYFUNCTION("""COMPUTED_VALUE"""),"8 KL")</f>
        <v>8 KL</v>
      </c>
      <c r="C43" s="4" t="str">
        <f>IFERROR(__xludf.DUMMYFUNCTION("""COMPUTED_VALUE"""),"PT. DHARMA CITRA ENERGY")</f>
        <v>PT. DHARMA CITRA ENERGY</v>
      </c>
      <c r="D43" s="4" t="str">
        <f>IFERROR(__xludf.DUMMYFUNCTION("""COMPUTED_VALUE"""),"19VjvFOnYYs2R8aSr3n3rEmAfe-jqK35s")</f>
        <v>19VjvFOnYYs2R8aSr3n3rEmAfe-jqK35s</v>
      </c>
      <c r="E43" s="17">
        <f>IFERROR(__xludf.DUMMYFUNCTION("""COMPUTED_VALUE"""),47253.0)</f>
        <v>47253</v>
      </c>
      <c r="F43" s="17">
        <f>IFERROR(__xludf.DUMMYFUNCTION("""COMPUTED_VALUE"""),46522.0)</f>
        <v>46522</v>
      </c>
      <c r="G43" s="17">
        <f>IFERROR(__xludf.DUMMYFUNCTION("""COMPUTED_VALUE"""),46367.0)</f>
        <v>46367</v>
      </c>
      <c r="H43" s="17"/>
      <c r="I43" s="17">
        <f>IFERROR(__xludf.DUMMYFUNCTION("""COMPUTED_VALUE"""),46367.0)</f>
        <v>46367</v>
      </c>
      <c r="J43" s="17">
        <f>IFERROR(__xludf.DUMMYFUNCTION("""COMPUTED_VALUE"""),46923.0)</f>
        <v>46923</v>
      </c>
      <c r="K43" s="17">
        <f>IFERROR(__xludf.DUMMYFUNCTION("""COMPUTED_VALUE"""),46340.0)</f>
        <v>46340</v>
      </c>
      <c r="L43" s="17">
        <f>IFERROR(__xludf.DUMMYFUNCTION("""COMPUTED_VALUE"""),46388.0)</f>
        <v>46388</v>
      </c>
      <c r="M43" s="4" t="str">
        <f>IFERROR(__xludf.DUMMYFUNCTION("""COMPUTED_VALUE"""),"04260000000011 / 000086")</f>
        <v>04260000000011 / 000086</v>
      </c>
      <c r="N43" s="28" t="str">
        <f>IFERROR(__xludf.DUMMYFUNCTION("""COMPUTED_VALUE"""),"https://drive.google.com/open?id=1V39MD6U3HocifpNteTFedFiyPA73-Hw9")</f>
        <v>https://drive.google.com/open?id=1V39MD6U3HocifpNteTFedFiyPA73-Hw9</v>
      </c>
      <c r="O43" s="28" t="str">
        <f>IFERROR(__xludf.DUMMYFUNCTION("""COMPUTED_VALUE"""),"https://drive.google.com/open?id=1V39MD6U3HocifpNteTFedFiyPA73-Hw9")</f>
        <v>https://drive.google.com/open?id=1V39MD6U3HocifpNteTFedFiyPA73-Hw9</v>
      </c>
      <c r="P43" s="28" t="str">
        <f>IFERROR(__xludf.DUMMYFUNCTION("""COMPUTED_VALUE"""),"https://drive.google.com/file/d/1bgsu8r6MX3j9ifzo1e4XD7cB1KJBj-VC/view?usp=drivesdk")</f>
        <v>https://drive.google.com/file/d/1bgsu8r6MX3j9ifzo1e4XD7cB1KJBj-VC/view?usp=drivesdk</v>
      </c>
      <c r="Q43" s="4"/>
      <c r="R43" s="28" t="str">
        <f>IFERROR(__xludf.DUMMYFUNCTION("""COMPUTED_VALUE"""),"https://drive.google.com/file/d/1JofcpqIISAZ1PV5bNrn27qQRfFzGc0cJ/view?usp=drivesdk")</f>
        <v>https://drive.google.com/file/d/1JofcpqIISAZ1PV5bNrn27qQRfFzGc0cJ/view?usp=drivesdk</v>
      </c>
      <c r="S43" s="28" t="str">
        <f>IFERROR(__xludf.DUMMYFUNCTION("""COMPUTED_VALUE"""),"https://drive.google.com/file/d/1OG_Iy01N_-mVWbKrSVLrE39p6VckXOXj/view?usp=drivesdk")</f>
        <v>https://drive.google.com/file/d/1OG_Iy01N_-mVWbKrSVLrE39p6VckXOXj/view?usp=drivesdk</v>
      </c>
      <c r="T43" s="4"/>
      <c r="U43" s="4"/>
      <c r="V43" s="4"/>
      <c r="W43" s="4"/>
      <c r="X43" s="4"/>
      <c r="Y43" s="4"/>
      <c r="Z43" s="4"/>
    </row>
    <row r="44">
      <c r="A44" s="4" t="str">
        <f>IFERROR(__xludf.DUMMYFUNCTION("""COMPUTED_VALUE"""),"E9264YC")</f>
        <v>E9264YC</v>
      </c>
      <c r="B44" s="4" t="str">
        <f>IFERROR(__xludf.DUMMYFUNCTION("""COMPUTED_VALUE"""),"24 KL")</f>
        <v>24 KL</v>
      </c>
      <c r="C44" s="4" t="str">
        <f>IFERROR(__xludf.DUMMYFUNCTION("""COMPUTED_VALUE"""),"PT. PUSPITA CIPTA")</f>
        <v>PT. PUSPITA CIPTA</v>
      </c>
      <c r="D44" s="4" t="str">
        <f>IFERROR(__xludf.DUMMYFUNCTION("""COMPUTED_VALUE"""),"1_Rl7e9QVxbEYyNvRl8zElnJyF-8s4QpQ")</f>
        <v>1_Rl7e9QVxbEYyNvRl8zElnJyF-8s4QpQ</v>
      </c>
      <c r="E44" s="17">
        <f>IFERROR(__xludf.DUMMYFUNCTION("""COMPUTED_VALUE"""),46875.0)</f>
        <v>46875</v>
      </c>
      <c r="F44" s="17">
        <f>IFERROR(__xludf.DUMMYFUNCTION("""COMPUTED_VALUE"""),46509.0)</f>
        <v>46509</v>
      </c>
      <c r="G44" s="17">
        <f>IFERROR(__xludf.DUMMYFUNCTION("""COMPUTED_VALUE"""),46361.0)</f>
        <v>46361</v>
      </c>
      <c r="H44" s="17">
        <f>IFERROR(__xludf.DUMMYFUNCTION("""COMPUTED_VALUE"""),46361.0)</f>
        <v>46361</v>
      </c>
      <c r="I44" s="17">
        <f>IFERROR(__xludf.DUMMYFUNCTION("""COMPUTED_VALUE"""),46361.0)</f>
        <v>46361</v>
      </c>
      <c r="J44" s="17">
        <f>IFERROR(__xludf.DUMMYFUNCTION("""COMPUTED_VALUE"""),46586.0)</f>
        <v>46586</v>
      </c>
      <c r="K44" s="17">
        <f>IFERROR(__xludf.DUMMYFUNCTION("""COMPUTED_VALUE"""),46340.0)</f>
        <v>46340</v>
      </c>
      <c r="L44" s="17">
        <f>IFERROR(__xludf.DUMMYFUNCTION("""COMPUTED_VALUE"""),46388.0)</f>
        <v>46388</v>
      </c>
      <c r="M44" s="4" t="str">
        <f>IFERROR(__xludf.DUMMYFUNCTION("""COMPUTED_VALUE"""),"04260000000011 / 000250")</f>
        <v>04260000000011 / 000250</v>
      </c>
      <c r="N44" s="28" t="str">
        <f>IFERROR(__xludf.DUMMYFUNCTION("""COMPUTED_VALUE"""),"https://drive.google.com/open?id=1xdQEYlGT-BeQObAzp54le4LxYk4xp5no")</f>
        <v>https://drive.google.com/open?id=1xdQEYlGT-BeQObAzp54le4LxYk4xp5no</v>
      </c>
      <c r="O44" s="28" t="str">
        <f>IFERROR(__xludf.DUMMYFUNCTION("""COMPUTED_VALUE"""),"https://drive.google.com/open?id=1xdQEYlGT-BeQObAzp54le4LxYk4xp5no")</f>
        <v>https://drive.google.com/open?id=1xdQEYlGT-BeQObAzp54le4LxYk4xp5no</v>
      </c>
      <c r="P44" s="28" t="str">
        <f>IFERROR(__xludf.DUMMYFUNCTION("""COMPUTED_VALUE"""),"https://drive.google.com/file/d/1TzehmaWcMkIITYAS8L6o1y_XWPtsR8kT/view?usp=drivesdk")</f>
        <v>https://drive.google.com/file/d/1TzehmaWcMkIITYAS8L6o1y_XWPtsR8kT/view?usp=drivesdk</v>
      </c>
      <c r="Q44" s="28" t="str">
        <f>IFERROR(__xludf.DUMMYFUNCTION("""COMPUTED_VALUE"""),"https://drive.google.com/file/d/1yACxKf72pRKpjrkWjtSmOa_yQ7d312Zx/view?usp=drivesdk")</f>
        <v>https://drive.google.com/file/d/1yACxKf72pRKpjrkWjtSmOa_yQ7d312Zx/view?usp=drivesdk</v>
      </c>
      <c r="R44" s="28" t="str">
        <f>IFERROR(__xludf.DUMMYFUNCTION("""COMPUTED_VALUE"""),"https://drive.google.com/file/d/1D41c3tnebCG0UWlzHI6uEFyf3jHBhKQ7/view?usp=drivesdk")</f>
        <v>https://drive.google.com/file/d/1D41c3tnebCG0UWlzHI6uEFyf3jHBhKQ7/view?usp=drivesdk</v>
      </c>
      <c r="S44" s="28" t="str">
        <f>IFERROR(__xludf.DUMMYFUNCTION("""COMPUTED_VALUE"""),"https://drive.google.com/file/d/1dHkwOXqn5NPIvKAquHatUzHPu53aJfUl/view?usp=drivesdk")</f>
        <v>https://drive.google.com/file/d/1dHkwOXqn5NPIvKAquHatUzHPu53aJfUl/view?usp=drivesdk</v>
      </c>
      <c r="T44" s="28" t="str">
        <f>IFERROR(__xludf.DUMMYFUNCTION("""COMPUTED_VALUE"""),"https://drive.google.com/file/d/1i29LrGJOaO6DPyObP4eyxX1mOW4iMemI/view?usp=drivesdk")</f>
        <v>https://drive.google.com/file/d/1i29LrGJOaO6DPyObP4eyxX1mOW4iMemI/view?usp=drivesdk</v>
      </c>
      <c r="U44" s="4"/>
      <c r="V44" s="4"/>
      <c r="W44" s="4"/>
      <c r="X44" s="4"/>
      <c r="Y44" s="4"/>
      <c r="Z44" s="4"/>
    </row>
    <row r="45">
      <c r="A45" s="4" t="str">
        <f>IFERROR(__xludf.DUMMYFUNCTION("""COMPUTED_VALUE"""),"B9504TEI")</f>
        <v>B9504TEI</v>
      </c>
      <c r="B45" s="4" t="str">
        <f>IFERROR(__xludf.DUMMYFUNCTION("""COMPUTED_VALUE"""),"24 KL")</f>
        <v>24 KL</v>
      </c>
      <c r="C45" s="4" t="str">
        <f>IFERROR(__xludf.DUMMYFUNCTION("""COMPUTED_VALUE"""),"PT. ADAM TRANS")</f>
        <v>PT. ADAM TRANS</v>
      </c>
      <c r="D45" s="4" t="str">
        <f>IFERROR(__xludf.DUMMYFUNCTION("""COMPUTED_VALUE"""),"1xX_OwwocN9k0jNvN55pSy3JUoVqbxZ9Z")</f>
        <v>1xX_OwwocN9k0jNvN55pSy3JUoVqbxZ9Z</v>
      </c>
      <c r="E45" s="17">
        <f>IFERROR(__xludf.DUMMYFUNCTION("""COMPUTED_VALUE"""),46383.0)</f>
        <v>46383</v>
      </c>
      <c r="F45" s="17">
        <f>IFERROR(__xludf.DUMMYFUNCTION("""COMPUTED_VALUE"""),46383.0)</f>
        <v>46383</v>
      </c>
      <c r="G45" s="17">
        <f>IFERROR(__xludf.DUMMYFUNCTION("""COMPUTED_VALUE"""),46446.0)</f>
        <v>46446</v>
      </c>
      <c r="H45" s="17">
        <f>IFERROR(__xludf.DUMMYFUNCTION("""COMPUTED_VALUE"""),46446.0)</f>
        <v>46446</v>
      </c>
      <c r="I45" s="17">
        <f>IFERROR(__xludf.DUMMYFUNCTION("""COMPUTED_VALUE"""),46449.0)</f>
        <v>46449</v>
      </c>
      <c r="J45" s="17">
        <f>IFERROR(__xludf.DUMMYFUNCTION("""COMPUTED_VALUE"""),46961.0)</f>
        <v>46961</v>
      </c>
      <c r="K45" s="17">
        <f>IFERROR(__xludf.DUMMYFUNCTION("""COMPUTED_VALUE"""),46340.0)</f>
        <v>46340</v>
      </c>
      <c r="L45" s="17">
        <f>IFERROR(__xludf.DUMMYFUNCTION("""COMPUTED_VALUE"""),46388.0)</f>
        <v>46388</v>
      </c>
      <c r="M45" s="4" t="str">
        <f>IFERROR(__xludf.DUMMYFUNCTION("""COMPUTED_VALUE"""),"04260000000011 / 000005")</f>
        <v>04260000000011 / 000005</v>
      </c>
      <c r="N45" s="28" t="str">
        <f>IFERROR(__xludf.DUMMYFUNCTION("""COMPUTED_VALUE"""),"https://drive.google.com/open?id=1mEd3-9kXmco-S5h9ru60RoMkEbijATyz")</f>
        <v>https://drive.google.com/open?id=1mEd3-9kXmco-S5h9ru60RoMkEbijATyz</v>
      </c>
      <c r="O45" s="28" t="str">
        <f>IFERROR(__xludf.DUMMYFUNCTION("""COMPUTED_VALUE"""),"https://drive.google.com/open?id=1mEd3-9kXmco-S5h9ru60RoMkEbijATyz")</f>
        <v>https://drive.google.com/open?id=1mEd3-9kXmco-S5h9ru60RoMkEbijATyz</v>
      </c>
      <c r="P45" s="28" t="str">
        <f>IFERROR(__xludf.DUMMYFUNCTION("""COMPUTED_VALUE"""),"https://drive.google.com/file/d/16w6eHi1d9Yd5_QoLt97NNRf8KQgGevzC/view?usp=drivesdk")</f>
        <v>https://drive.google.com/file/d/16w6eHi1d9Yd5_QoLt97NNRf8KQgGevzC/view?usp=drivesdk</v>
      </c>
      <c r="Q45" s="28" t="str">
        <f>IFERROR(__xludf.DUMMYFUNCTION("""COMPUTED_VALUE"""),"https://drive.google.com/file/d/1XrDS6JJVAsO4Cf9LEsU58Be3N6JT1JKr/view?usp=drivesdk")</f>
        <v>https://drive.google.com/file/d/1XrDS6JJVAsO4Cf9LEsU58Be3N6JT1JKr/view?usp=drivesdk</v>
      </c>
      <c r="R45" s="28" t="str">
        <f>IFERROR(__xludf.DUMMYFUNCTION("""COMPUTED_VALUE"""),"https://drive.google.com/file/d/1RIYmENmESBON1kQPsDOM0w3cfOwIlUkR/view?usp=drivesdk")</f>
        <v>https://drive.google.com/file/d/1RIYmENmESBON1kQPsDOM0w3cfOwIlUkR/view?usp=drivesdk</v>
      </c>
      <c r="S45" s="28" t="str">
        <f>IFERROR(__xludf.DUMMYFUNCTION("""COMPUTED_VALUE"""),"https://drive.google.com/file/d/1Uax0kzD9SEmKxEcSONSEyIOB65EJi-kz/view?usp=drivesdk")</f>
        <v>https://drive.google.com/file/d/1Uax0kzD9SEmKxEcSONSEyIOB65EJi-kz/view?usp=drivesdk</v>
      </c>
      <c r="T45" s="28" t="str">
        <f>IFERROR(__xludf.DUMMYFUNCTION("""COMPUTED_VALUE"""),"https://drive.google.com/file/d/1Q8R1ErP6wJ7_STslHdojZoN0N7We09Il/view?usp=drivesdk")</f>
        <v>https://drive.google.com/file/d/1Q8R1ErP6wJ7_STslHdojZoN0N7We09Il/view?usp=drivesdk</v>
      </c>
      <c r="U45" s="4"/>
      <c r="V45" s="4"/>
      <c r="W45" s="4"/>
      <c r="X45" s="4"/>
      <c r="Y45" s="4"/>
      <c r="Z45" s="4"/>
    </row>
    <row r="46">
      <c r="A46" s="4" t="str">
        <f>IFERROR(__xludf.DUMMYFUNCTION("""COMPUTED_VALUE"""),"B9520TEI")</f>
        <v>B9520TEI</v>
      </c>
      <c r="B46" s="4" t="str">
        <f>IFERROR(__xludf.DUMMYFUNCTION("""COMPUTED_VALUE"""),"24 KL")</f>
        <v>24 KL</v>
      </c>
      <c r="C46" s="4" t="str">
        <f>IFERROR(__xludf.DUMMYFUNCTION("""COMPUTED_VALUE"""),"PT. ADAM TRANS")</f>
        <v>PT. ADAM TRANS</v>
      </c>
      <c r="D46" s="4" t="str">
        <f>IFERROR(__xludf.DUMMYFUNCTION("""COMPUTED_VALUE"""),"1hQcQAKI83UhzCvl8OkVBu3Jmu_Oe-abz")</f>
        <v>1hQcQAKI83UhzCvl8OkVBu3Jmu_Oe-abz</v>
      </c>
      <c r="E46" s="17">
        <f>IFERROR(__xludf.DUMMYFUNCTION("""COMPUTED_VALUE"""),46417.0)</f>
        <v>46417</v>
      </c>
      <c r="F46" s="17">
        <f>IFERROR(__xludf.DUMMYFUNCTION("""COMPUTED_VALUE"""),46417.0)</f>
        <v>46417</v>
      </c>
      <c r="G46" s="17">
        <f>IFERROR(__xludf.DUMMYFUNCTION("""COMPUTED_VALUE"""),46446.0)</f>
        <v>46446</v>
      </c>
      <c r="H46" s="17">
        <f>IFERROR(__xludf.DUMMYFUNCTION("""COMPUTED_VALUE"""),46446.0)</f>
        <v>46446</v>
      </c>
      <c r="I46" s="17">
        <f>IFERROR(__xludf.DUMMYFUNCTION("""COMPUTED_VALUE"""),46446.0)</f>
        <v>46446</v>
      </c>
      <c r="J46" s="17">
        <f>IFERROR(__xludf.DUMMYFUNCTION("""COMPUTED_VALUE"""),46409.0)</f>
        <v>46409</v>
      </c>
      <c r="K46" s="17">
        <f>IFERROR(__xludf.DUMMYFUNCTION("""COMPUTED_VALUE"""),46455.0)</f>
        <v>46455</v>
      </c>
      <c r="L46" s="17">
        <f>IFERROR(__xludf.DUMMYFUNCTION("""COMPUTED_VALUE"""),46388.0)</f>
        <v>46388</v>
      </c>
      <c r="M46" s="4" t="str">
        <f>IFERROR(__xludf.DUMMYFUNCTION("""COMPUTED_VALUE"""),"04260000000011 / 000003")</f>
        <v>04260000000011 / 000003</v>
      </c>
      <c r="N46" s="28" t="str">
        <f>IFERROR(__xludf.DUMMYFUNCTION("""COMPUTED_VALUE"""),"https://drive.google.com/file/d/1qj7ZRo_Bn-QudfVdHSRdSKUiQtnC6Uie/view?usp=drivesdk")</f>
        <v>https://drive.google.com/file/d/1qj7ZRo_Bn-QudfVdHSRdSKUiQtnC6Uie/view?usp=drivesdk</v>
      </c>
      <c r="O46" s="28" t="str">
        <f>IFERROR(__xludf.DUMMYFUNCTION("""COMPUTED_VALUE"""),"https://drive.google.com/file/d/1OuzwLiXM0lOraTCPLzvRsTLz2QWDeYfD/view?usp=drivesdk")</f>
        <v>https://drive.google.com/file/d/1OuzwLiXM0lOraTCPLzvRsTLz2QWDeYfD/view?usp=drivesdk</v>
      </c>
      <c r="P46" s="28" t="str">
        <f>IFERROR(__xludf.DUMMYFUNCTION("""COMPUTED_VALUE"""),"https://drive.google.com/file/d/1fkdCgb-fjl41aCqQ2BhViWB--CdfWMPt/view?usp=drivesdk")</f>
        <v>https://drive.google.com/file/d/1fkdCgb-fjl41aCqQ2BhViWB--CdfWMPt/view?usp=drivesdk</v>
      </c>
      <c r="Q46" s="28" t="str">
        <f>IFERROR(__xludf.DUMMYFUNCTION("""COMPUTED_VALUE"""),"https://drive.google.com/file/d/1Zh22g3-NcExWEN8ZIGauXM3nM7HeurZb/view?usp=drivesdk")</f>
        <v>https://drive.google.com/file/d/1Zh22g3-NcExWEN8ZIGauXM3nM7HeurZb/view?usp=drivesdk</v>
      </c>
      <c r="R46" s="28" t="str">
        <f>IFERROR(__xludf.DUMMYFUNCTION("""COMPUTED_VALUE"""),"https://drive.google.com/file/d/1S4inA6m5t_4IIB7Xjidd-i_8BEHp7PCA/view?usp=drivesdk")</f>
        <v>https://drive.google.com/file/d/1S4inA6m5t_4IIB7Xjidd-i_8BEHp7PCA/view?usp=drivesdk</v>
      </c>
      <c r="S46" s="28" t="str">
        <f>IFERROR(__xludf.DUMMYFUNCTION("""COMPUTED_VALUE"""),"https://drive.google.com/file/d/1EDbF36sL_AMHBsw4VByfQXFhT1W0iOuU/view?usp=drivesdk")</f>
        <v>https://drive.google.com/file/d/1EDbF36sL_AMHBsw4VByfQXFhT1W0iOuU/view?usp=drivesdk</v>
      </c>
      <c r="T46" s="28" t="str">
        <f>IFERROR(__xludf.DUMMYFUNCTION("""COMPUTED_VALUE"""),"https://drive.google.com/file/d/1e8BfPcyeLRvJDMWqUHitMQN_usN1CyPc/view?usp=drivesdk")</f>
        <v>https://drive.google.com/file/d/1e8BfPcyeLRvJDMWqUHitMQN_usN1CyPc/view?usp=drivesdk</v>
      </c>
      <c r="U46" s="4"/>
      <c r="V46" s="4"/>
      <c r="W46" s="4"/>
      <c r="X46" s="4"/>
      <c r="Y46" s="4"/>
      <c r="Z46" s="4"/>
    </row>
    <row r="47">
      <c r="A47" s="4" t="str">
        <f>IFERROR(__xludf.DUMMYFUNCTION("""COMPUTED_VALUE"""),"B9061SFV")</f>
        <v>B9061SFV</v>
      </c>
      <c r="B47" s="4" t="str">
        <f>IFERROR(__xludf.DUMMYFUNCTION("""COMPUTED_VALUE"""),"16 KL")</f>
        <v>16 KL</v>
      </c>
      <c r="C47" s="4" t="str">
        <f>IFERROR(__xludf.DUMMYFUNCTION("""COMPUTED_VALUE"""),"PT. ELNUSA PETROFIN")</f>
        <v>PT. ELNUSA PETROFIN</v>
      </c>
      <c r="D47" s="4" t="str">
        <f>IFERROR(__xludf.DUMMYFUNCTION("""COMPUTED_VALUE"""),"1bgCBQG2rkyO4ljRPhRhz86MmYguMizBY")</f>
        <v>1bgCBQG2rkyO4ljRPhRhz86MmYguMizBY</v>
      </c>
      <c r="E47" s="17">
        <f>IFERROR(__xludf.DUMMYFUNCTION("""COMPUTED_VALUE"""),46877.0)</f>
        <v>46877</v>
      </c>
      <c r="F47" s="17">
        <f>IFERROR(__xludf.DUMMYFUNCTION("""COMPUTED_VALUE"""),46511.0)</f>
        <v>46511</v>
      </c>
      <c r="G47" s="17">
        <f>IFERROR(__xludf.DUMMYFUNCTION("""COMPUTED_VALUE"""),46424.0)</f>
        <v>46424</v>
      </c>
      <c r="H47" s="17"/>
      <c r="I47" s="17">
        <f>IFERROR(__xludf.DUMMYFUNCTION("""COMPUTED_VALUE"""),46424.0)</f>
        <v>46424</v>
      </c>
      <c r="J47" s="17">
        <f>IFERROR(__xludf.DUMMYFUNCTION("""COMPUTED_VALUE"""),46505.0)</f>
        <v>46505</v>
      </c>
      <c r="K47" s="17">
        <f>IFERROR(__xludf.DUMMYFUNCTION("""COMPUTED_VALUE"""),46340.0)</f>
        <v>46340</v>
      </c>
      <c r="L47" s="17">
        <f>IFERROR(__xludf.DUMMYFUNCTION("""COMPUTED_VALUE"""),46436.0)</f>
        <v>46436</v>
      </c>
      <c r="M47" s="4" t="str">
        <f>IFERROR(__xludf.DUMMYFUNCTION("""COMPUTED_VALUE"""),"2941000022025000001")</f>
        <v>2941000022025000001</v>
      </c>
      <c r="N47" s="28" t="str">
        <f>IFERROR(__xludf.DUMMYFUNCTION("""COMPUTED_VALUE"""),"https://drive.google.com/file/d/109vGtiBT_TLZsdFzun8mM8WesmB4l_I8/view?usp=drivesdk")</f>
        <v>https://drive.google.com/file/d/109vGtiBT_TLZsdFzun8mM8WesmB4l_I8/view?usp=drivesdk</v>
      </c>
      <c r="O47" s="28" t="str">
        <f>IFERROR(__xludf.DUMMYFUNCTION("""COMPUTED_VALUE"""),"https://drive.google.com/file/d/1kdS8mkWUgNa9QTEtc5tnAu7mBLLraBFH/view?usp=drivesdk")</f>
        <v>https://drive.google.com/file/d/1kdS8mkWUgNa9QTEtc5tnAu7mBLLraBFH/view?usp=drivesdk</v>
      </c>
      <c r="P47" s="28" t="str">
        <f>IFERROR(__xludf.DUMMYFUNCTION("""COMPUTED_VALUE"""),"https://drive.google.com/file/d/1V1nembpQz6Fc3NggmNVuM-ZNUOn_fFN5/view?usp=drivesdk")</f>
        <v>https://drive.google.com/file/d/1V1nembpQz6Fc3NggmNVuM-ZNUOn_fFN5/view?usp=drivesdk</v>
      </c>
      <c r="Q47" s="4"/>
      <c r="R47" s="28" t="str">
        <f>IFERROR(__xludf.DUMMYFUNCTION("""COMPUTED_VALUE"""),"https://drive.google.com/file/d/1pJLjA89lM3ehWZXGr4J1VuIM69XmE0TP/view?usp=drivesdk")</f>
        <v>https://drive.google.com/file/d/1pJLjA89lM3ehWZXGr4J1VuIM69XmE0TP/view?usp=drivesdk</v>
      </c>
      <c r="S47" s="28" t="str">
        <f>IFERROR(__xludf.DUMMYFUNCTION("""COMPUTED_VALUE"""),"https://drive.google.com/file/d/1JIqvyhIPr2zNp7qEnwEbJZFmOafAs6uM/view?usp=drivesdk")</f>
        <v>https://drive.google.com/file/d/1JIqvyhIPr2zNp7qEnwEbJZFmOafAs6uM/view?usp=drivesdk</v>
      </c>
      <c r="T47" s="28" t="str">
        <f>IFERROR(__xludf.DUMMYFUNCTION("""COMPUTED_VALUE"""),"https://drive.google.com/file/d/1BPAPZB8ZbzFFuewL1ZDW0Ac_d64JyNpX/view?usp=drivesdk")</f>
        <v>https://drive.google.com/file/d/1BPAPZB8ZbzFFuewL1ZDW0Ac_d64JyNpX/view?usp=drivesdk</v>
      </c>
      <c r="U47" s="28" t="str">
        <f>IFERROR(__xludf.DUMMYFUNCTION("""COMPUTED_VALUE"""),"https://drive.google.com/file/d/1vqi_nJexwi6jU58LWzyt0Ic4iVsztKbu/view?usp=drivesdk")</f>
        <v>https://drive.google.com/file/d/1vqi_nJexwi6jU58LWzyt0Ic4iVsztKbu/view?usp=drivesdk</v>
      </c>
      <c r="V47" s="4"/>
      <c r="W47" s="4"/>
      <c r="X47" s="4"/>
      <c r="Y47" s="4"/>
      <c r="Z47" s="4"/>
    </row>
    <row r="48">
      <c r="A48" s="4" t="str">
        <f>IFERROR(__xludf.DUMMYFUNCTION("""COMPUTED_VALUE"""),"N8054UEA")</f>
        <v>N8054UEA</v>
      </c>
      <c r="B48" s="4" t="str">
        <f>IFERROR(__xludf.DUMMYFUNCTION("""COMPUTED_VALUE"""),"16 KL")</f>
        <v>16 KL</v>
      </c>
      <c r="C48" s="4" t="str">
        <f>IFERROR(__xludf.DUMMYFUNCTION("""COMPUTED_VALUE"""),"PT. DHARMA CITRA ENERGY")</f>
        <v>PT. DHARMA CITRA ENERGY</v>
      </c>
      <c r="D48" s="4" t="str">
        <f>IFERROR(__xludf.DUMMYFUNCTION("""COMPUTED_VALUE"""),"1KenBK8yLwcN83VUNhYWnF7woMKAcrWSv")</f>
        <v>1KenBK8yLwcN83VUNhYWnF7woMKAcrWSv</v>
      </c>
      <c r="E48" s="17">
        <f>IFERROR(__xludf.DUMMYFUNCTION("""COMPUTED_VALUE"""),47720.0)</f>
        <v>47720</v>
      </c>
      <c r="F48" s="17">
        <f>IFERROR(__xludf.DUMMYFUNCTION("""COMPUTED_VALUE"""),46624.0)</f>
        <v>46624</v>
      </c>
      <c r="G48" s="17">
        <f>IFERROR(__xludf.DUMMYFUNCTION("""COMPUTED_VALUE"""),46456.0)</f>
        <v>46456</v>
      </c>
      <c r="H48" s="17"/>
      <c r="I48" s="17">
        <f>IFERROR(__xludf.DUMMYFUNCTION("""COMPUTED_VALUE"""),46456.0)</f>
        <v>46456</v>
      </c>
      <c r="J48" s="17">
        <f>IFERROR(__xludf.DUMMYFUNCTION("""COMPUTED_VALUE"""),46668.0)</f>
        <v>46668</v>
      </c>
      <c r="K48" s="17">
        <f>IFERROR(__xludf.DUMMYFUNCTION("""COMPUTED_VALUE"""),46293.0)</f>
        <v>46293</v>
      </c>
      <c r="L48" s="17">
        <f>IFERROR(__xludf.DUMMYFUNCTION("""COMPUTED_VALUE"""),46388.0)</f>
        <v>46388</v>
      </c>
      <c r="M48" s="4" t="str">
        <f>IFERROR(__xludf.DUMMYFUNCTION("""COMPUTED_VALUE"""),"4260000000011 / 000089")</f>
        <v>4260000000011 / 000089</v>
      </c>
      <c r="N48" s="28" t="str">
        <f>IFERROR(__xludf.DUMMYFUNCTION("""COMPUTED_VALUE"""),"https://drive.google.com/open?id=1MJZsrgXi23Xnum4vqB2GfUpW_jxolieV")</f>
        <v>https://drive.google.com/open?id=1MJZsrgXi23Xnum4vqB2GfUpW_jxolieV</v>
      </c>
      <c r="O48" s="28" t="str">
        <f>IFERROR(__xludf.DUMMYFUNCTION("""COMPUTED_VALUE"""),"https://drive.google.com/file/d/1oO9qFSTuAUB8wq1YlyXLqncVGDe6VJlg/view?usp=drivesdk")</f>
        <v>https://drive.google.com/file/d/1oO9qFSTuAUB8wq1YlyXLqncVGDe6VJlg/view?usp=drivesdk</v>
      </c>
      <c r="P48" s="28" t="str">
        <f>IFERROR(__xludf.DUMMYFUNCTION("""COMPUTED_VALUE"""),"https://drive.google.com/file/d/1Kewc-pxrPxNhRWA1zdTzb2ckGhbDZ991/view?usp=drivesdk")</f>
        <v>https://drive.google.com/file/d/1Kewc-pxrPxNhRWA1zdTzb2ckGhbDZ991/view?usp=drivesdk</v>
      </c>
      <c r="Q48" s="4"/>
      <c r="R48" s="28" t="str">
        <f>IFERROR(__xludf.DUMMYFUNCTION("""COMPUTED_VALUE"""),"https://drive.google.com/file/d/1AYJDPC8p9s-rKLlDky1bPQVEecrgKSCb/view?usp=drivesdk")</f>
        <v>https://drive.google.com/file/d/1AYJDPC8p9s-rKLlDky1bPQVEecrgKSCb/view?usp=drivesdk</v>
      </c>
      <c r="S48" s="28" t="str">
        <f>IFERROR(__xludf.DUMMYFUNCTION("""COMPUTED_VALUE"""),"https://drive.google.com/file/d/1nmKqJYNTTVsl_cU4vsDBfhna2E_vD14G/view?usp=drivesdk")</f>
        <v>https://drive.google.com/file/d/1nmKqJYNTTVsl_cU4vsDBfhna2E_vD14G/view?usp=drivesdk</v>
      </c>
      <c r="T48" s="28" t="str">
        <f>IFERROR(__xludf.DUMMYFUNCTION("""COMPUTED_VALUE"""),"https://drive.google.com/file/d/14ooYYP2LDBOgt5Myg57eiOOnTzeLOmNE/view?usp=drivesdk")</f>
        <v>https://drive.google.com/file/d/14ooYYP2LDBOgt5Myg57eiOOnTzeLOmNE/view?usp=drivesdk</v>
      </c>
      <c r="U48" s="4"/>
      <c r="V48" s="4"/>
      <c r="W48" s="4"/>
      <c r="X48" s="4"/>
      <c r="Y48" s="4"/>
      <c r="Z48" s="4"/>
    </row>
    <row r="49">
      <c r="A49" s="4" t="str">
        <f>IFERROR(__xludf.DUMMYFUNCTION("""COMPUTED_VALUE"""),"N9086UI")</f>
        <v>N9086UI</v>
      </c>
      <c r="B49" s="4" t="str">
        <f>IFERROR(__xludf.DUMMYFUNCTION("""COMPUTED_VALUE"""),"16 KL")</f>
        <v>16 KL</v>
      </c>
      <c r="C49" s="4" t="str">
        <f>IFERROR(__xludf.DUMMYFUNCTION("""COMPUTED_VALUE"""),"PT. SINAR WAHANA SURYA")</f>
        <v>PT. SINAR WAHANA SURYA</v>
      </c>
      <c r="D49" s="4" t="str">
        <f>IFERROR(__xludf.DUMMYFUNCTION("""COMPUTED_VALUE"""),"1OhYIa0qqYPQC-42k-prN__AfJnpyexuH")</f>
        <v>1OhYIa0qqYPQC-42k-prN__AfJnpyexuH</v>
      </c>
      <c r="E49" s="17">
        <f>IFERROR(__xludf.DUMMYFUNCTION("""COMPUTED_VALUE"""),47102.0)</f>
        <v>47102</v>
      </c>
      <c r="F49" s="17">
        <f>IFERROR(__xludf.DUMMYFUNCTION("""COMPUTED_VALUE"""),46371.0)</f>
        <v>46371</v>
      </c>
      <c r="G49" s="17">
        <f>IFERROR(__xludf.DUMMYFUNCTION("""COMPUTED_VALUE"""),46367.0)</f>
        <v>46367</v>
      </c>
      <c r="H49" s="17"/>
      <c r="I49" s="17">
        <f>IFERROR(__xludf.DUMMYFUNCTION("""COMPUTED_VALUE"""),46367.0)</f>
        <v>46367</v>
      </c>
      <c r="J49" s="17">
        <f>IFERROR(__xludf.DUMMYFUNCTION("""COMPUTED_VALUE"""),46765.0)</f>
        <v>46765</v>
      </c>
      <c r="K49" s="17">
        <f>IFERROR(__xludf.DUMMYFUNCTION("""COMPUTED_VALUE"""),46360.0)</f>
        <v>46360</v>
      </c>
      <c r="L49" s="17">
        <f>IFERROR(__xludf.DUMMYFUNCTION("""COMPUTED_VALUE"""),46388.0)</f>
        <v>46388</v>
      </c>
      <c r="M49" s="4" t="str">
        <f>IFERROR(__xludf.DUMMYFUNCTION("""COMPUTED_VALUE"""),"04260000000011 / 000199")</f>
        <v>04260000000011 / 000199</v>
      </c>
      <c r="N49" s="28" t="str">
        <f>IFERROR(__xludf.DUMMYFUNCTION("""COMPUTED_VALUE"""),"https://drive.google.com/open?id=1Qy13SGIYwfmmq6qoxgO3L3sLopCKGolJ")</f>
        <v>https://drive.google.com/open?id=1Qy13SGIYwfmmq6qoxgO3L3sLopCKGolJ</v>
      </c>
      <c r="O49" s="28" t="str">
        <f>IFERROR(__xludf.DUMMYFUNCTION("""COMPUTED_VALUE"""),"https://drive.google.com/open?id=1Qy13SGIYwfmmq6qoxgO3L3sLopCKGolJ")</f>
        <v>https://drive.google.com/open?id=1Qy13SGIYwfmmq6qoxgO3L3sLopCKGolJ</v>
      </c>
      <c r="P49" s="28" t="str">
        <f>IFERROR(__xludf.DUMMYFUNCTION("""COMPUTED_VALUE"""),"https://drive.google.com/file/d/1xk8Y4LYe9KdDusN87qJgqHYmGeHWXwsP/view?usp=drivesdk")</f>
        <v>https://drive.google.com/file/d/1xk8Y4LYe9KdDusN87qJgqHYmGeHWXwsP/view?usp=drivesdk</v>
      </c>
      <c r="Q49" s="4"/>
      <c r="R49" s="28" t="str">
        <f>IFERROR(__xludf.DUMMYFUNCTION("""COMPUTED_VALUE"""),"https://drive.google.com/file/d/1-uA_WwX41ogsciLkw6JIOAkqk5klf_hn/view?usp=drivesdk")</f>
        <v>https://drive.google.com/file/d/1-uA_WwX41ogsciLkw6JIOAkqk5klf_hn/view?usp=drivesdk</v>
      </c>
      <c r="S49" s="28" t="str">
        <f>IFERROR(__xludf.DUMMYFUNCTION("""COMPUTED_VALUE"""),"https://drive.google.com/file/d/193MA9a5LpXP4VFkCujzApNMTdKMt4_T1/view?usp=drivesdk")</f>
        <v>https://drive.google.com/file/d/193MA9a5LpXP4VFkCujzApNMTdKMt4_T1/view?usp=drivesdk</v>
      </c>
      <c r="T49" s="28" t="str">
        <f>IFERROR(__xludf.DUMMYFUNCTION("""COMPUTED_VALUE"""),"https://drive.google.com/file/d/1HJNbj8CWZ0PHgrpuo-vzOIBj66LBG6R4/view?usp=drivesdk")</f>
        <v>https://drive.google.com/file/d/1HJNbj8CWZ0PHgrpuo-vzOIBj66LBG6R4/view?usp=drivesdk</v>
      </c>
      <c r="U49" s="4"/>
      <c r="V49" s="4"/>
      <c r="W49" s="4"/>
      <c r="X49" s="4"/>
      <c r="Y49" s="4"/>
      <c r="Z49" s="4"/>
    </row>
    <row r="50">
      <c r="A50" s="4" t="str">
        <f>IFERROR(__xludf.DUMMYFUNCTION("""COMPUTED_VALUE"""),"E9552YC")</f>
        <v>E9552YC</v>
      </c>
      <c r="B50" s="4" t="str">
        <f>IFERROR(__xludf.DUMMYFUNCTION("""COMPUTED_VALUE"""),"24 KL")</f>
        <v>24 KL</v>
      </c>
      <c r="C50" s="4" t="str">
        <f>IFERROR(__xludf.DUMMYFUNCTION("""COMPUTED_VALUE"""),"PT. PUSPITA CIPTA")</f>
        <v>PT. PUSPITA CIPTA</v>
      </c>
      <c r="D50" s="4" t="str">
        <f>IFERROR(__xludf.DUMMYFUNCTION("""COMPUTED_VALUE"""),"1yw-kOyD4bLjue52crGUE7cls8aESr1Fc")</f>
        <v>1yw-kOyD4bLjue52crGUE7cls8aESr1Fc</v>
      </c>
      <c r="E50" s="17">
        <f>IFERROR(__xludf.DUMMYFUNCTION("""COMPUTED_VALUE"""),47833.0)</f>
        <v>47833</v>
      </c>
      <c r="F50" s="17">
        <f>IFERROR(__xludf.DUMMYFUNCTION("""COMPUTED_VALUE"""),46372.0)</f>
        <v>46372</v>
      </c>
      <c r="G50" s="17">
        <f>IFERROR(__xludf.DUMMYFUNCTION("""COMPUTED_VALUE"""),46332.0)</f>
        <v>46332</v>
      </c>
      <c r="H50" s="17">
        <f>IFERROR(__xludf.DUMMYFUNCTION("""COMPUTED_VALUE"""),46332.0)</f>
        <v>46332</v>
      </c>
      <c r="I50" s="17">
        <f>IFERROR(__xludf.DUMMYFUNCTION("""COMPUTED_VALUE"""),46332.0)</f>
        <v>46332</v>
      </c>
      <c r="J50" s="17">
        <f>IFERROR(__xludf.DUMMYFUNCTION("""COMPUTED_VALUE"""),46814.0)</f>
        <v>46814</v>
      </c>
      <c r="K50" s="17">
        <f>IFERROR(__xludf.DUMMYFUNCTION("""COMPUTED_VALUE"""),46459.0)</f>
        <v>46459</v>
      </c>
      <c r="L50" s="17">
        <f>IFERROR(__xludf.DUMMYFUNCTION("""COMPUTED_VALUE"""),46443.0)</f>
        <v>46443</v>
      </c>
      <c r="M50" s="4" t="str">
        <f>IFERROR(__xludf.DUMMYFUNCTION("""COMPUTED_VALUE""")," 00023/CN/02/SHR-ATPI/II/2026")</f>
        <v> 00023/CN/02/SHR-ATPI/II/2026</v>
      </c>
      <c r="N50" s="28" t="str">
        <f>IFERROR(__xludf.DUMMYFUNCTION("""COMPUTED_VALUE"""),"https://drive.google.com/open?id=1Ov_mG_CEYT1cX1Zmit3nK0vMPYfZZCNn")</f>
        <v>https://drive.google.com/open?id=1Ov_mG_CEYT1cX1Zmit3nK0vMPYfZZCNn</v>
      </c>
      <c r="O50" s="28" t="str">
        <f>IFERROR(__xludf.DUMMYFUNCTION("""COMPUTED_VALUE"""),"https://drive.google.com/open?id=1Ov_mG_CEYT1cX1Zmit3nK0vMPYfZZCNn")</f>
        <v>https://drive.google.com/open?id=1Ov_mG_CEYT1cX1Zmit3nK0vMPYfZZCNn</v>
      </c>
      <c r="P50" s="28" t="str">
        <f>IFERROR(__xludf.DUMMYFUNCTION("""COMPUTED_VALUE"""),"https://drive.google.com/open?id=1MjP6rIrZhzU3NQUsgY_MQRngJOHR0Unl")</f>
        <v>https://drive.google.com/open?id=1MjP6rIrZhzU3NQUsgY_MQRngJOHR0Unl</v>
      </c>
      <c r="Q50" s="28" t="str">
        <f>IFERROR(__xludf.DUMMYFUNCTION("""COMPUTED_VALUE"""),"https://drive.google.com/open?id=1KsSvkzfTpMlbIU_FsyD2SOFndJKTLlCG")</f>
        <v>https://drive.google.com/open?id=1KsSvkzfTpMlbIU_FsyD2SOFndJKTLlCG</v>
      </c>
      <c r="R50" s="28" t="str">
        <f>IFERROR(__xludf.DUMMYFUNCTION("""COMPUTED_VALUE"""),"https://drive.google.com/open?id=1MhHmRNZGOKD5BMsB5NLqc_t_4NI_3rR3")</f>
        <v>https://drive.google.com/open?id=1MhHmRNZGOKD5BMsB5NLqc_t_4NI_3rR3</v>
      </c>
      <c r="S50" s="28" t="str">
        <f>IFERROR(__xludf.DUMMYFUNCTION("""COMPUTED_VALUE"""),"https://drive.google.com/file/d/16qaqR2Ji27hZ583j3PeclnSZdcDRWgIu/view?usp=drivesdk")</f>
        <v>https://drive.google.com/file/d/16qaqR2Ji27hZ583j3PeclnSZdcDRWgIu/view?usp=drivesdk</v>
      </c>
      <c r="T50" s="28" t="str">
        <f>IFERROR(__xludf.DUMMYFUNCTION("""COMPUTED_VALUE"""),"https://drive.google.com/file/d/1Lvz2oMxheIkboHrNzv5EUqhAMMbgNunP/view?usp=drivesdk")</f>
        <v>https://drive.google.com/file/d/1Lvz2oMxheIkboHrNzv5EUqhAMMbgNunP/view?usp=drivesdk</v>
      </c>
      <c r="U50" s="4"/>
      <c r="V50" s="4"/>
      <c r="W50" s="4"/>
      <c r="X50" s="4"/>
      <c r="Y50" s="4"/>
      <c r="Z50" s="4"/>
    </row>
    <row r="51">
      <c r="A51" s="4" t="str">
        <f>IFERROR(__xludf.DUMMYFUNCTION("""COMPUTED_VALUE"""),"B9505TEI")</f>
        <v>B9505TEI</v>
      </c>
      <c r="B51" s="4" t="str">
        <f>IFERROR(__xludf.DUMMYFUNCTION("""COMPUTED_VALUE"""),"24 KL")</f>
        <v>24 KL</v>
      </c>
      <c r="C51" s="4" t="str">
        <f>IFERROR(__xludf.DUMMYFUNCTION("""COMPUTED_VALUE"""),"PT. ADAM TRANS")</f>
        <v>PT. ADAM TRANS</v>
      </c>
      <c r="D51" s="4" t="str">
        <f>IFERROR(__xludf.DUMMYFUNCTION("""COMPUTED_VALUE"""),"1j3UZGUFTbsTnvGRZlLUfI8zo4J1KYiV2")</f>
        <v>1j3UZGUFTbsTnvGRZlLUfI8zo4J1KYiV2</v>
      </c>
      <c r="E51" s="17">
        <f>IFERROR(__xludf.DUMMYFUNCTION("""COMPUTED_VALUE"""),46383.0)</f>
        <v>46383</v>
      </c>
      <c r="F51" s="17">
        <f>IFERROR(__xludf.DUMMYFUNCTION("""COMPUTED_VALUE"""),46383.0)</f>
        <v>46383</v>
      </c>
      <c r="G51" s="17">
        <f>IFERROR(__xludf.DUMMYFUNCTION("""COMPUTED_VALUE"""),46446.0)</f>
        <v>46446</v>
      </c>
      <c r="H51" s="17">
        <f>IFERROR(__xludf.DUMMYFUNCTION("""COMPUTED_VALUE"""),46446.0)</f>
        <v>46446</v>
      </c>
      <c r="I51" s="17">
        <f>IFERROR(__xludf.DUMMYFUNCTION("""COMPUTED_VALUE"""),46446.0)</f>
        <v>46446</v>
      </c>
      <c r="J51" s="17">
        <f>IFERROR(__xludf.DUMMYFUNCTION("""COMPUTED_VALUE"""),46977.0)</f>
        <v>46977</v>
      </c>
      <c r="K51" s="17">
        <f>IFERROR(__xludf.DUMMYFUNCTION("""COMPUTED_VALUE"""),46340.0)</f>
        <v>46340</v>
      </c>
      <c r="L51" s="17">
        <f>IFERROR(__xludf.DUMMYFUNCTION("""COMPUTED_VALUE"""),46388.0)</f>
        <v>46388</v>
      </c>
      <c r="M51" s="4" t="str">
        <f>IFERROR(__xludf.DUMMYFUNCTION("""COMPUTED_VALUE"""),"04260000000011 / 000004")</f>
        <v>04260000000011 / 000004</v>
      </c>
      <c r="N51" s="28" t="str">
        <f>IFERROR(__xludf.DUMMYFUNCTION("""COMPUTED_VALUE"""),"https://drive.google.com/open?id=1MwP962Vb-OeflzkikRMBcpRrA14vsSgn")</f>
        <v>https://drive.google.com/open?id=1MwP962Vb-OeflzkikRMBcpRrA14vsSgn</v>
      </c>
      <c r="O51" s="28" t="str">
        <f>IFERROR(__xludf.DUMMYFUNCTION("""COMPUTED_VALUE"""),"https://drive.google.com/open?id=1MwP962Vb-OeflzkikRMBcpRrA14vsSgn")</f>
        <v>https://drive.google.com/open?id=1MwP962Vb-OeflzkikRMBcpRrA14vsSgn</v>
      </c>
      <c r="P51" s="28" t="str">
        <f>IFERROR(__xludf.DUMMYFUNCTION("""COMPUTED_VALUE"""),"https://drive.google.com/file/d/1qJOgFfz8izVfh7UR6Z5uVN2_DbkBFunB/view?usp=drivesdk")</f>
        <v>https://drive.google.com/file/d/1qJOgFfz8izVfh7UR6Z5uVN2_DbkBFunB/view?usp=drivesdk</v>
      </c>
      <c r="Q51" s="28" t="str">
        <f>IFERROR(__xludf.DUMMYFUNCTION("""COMPUTED_VALUE"""),"https://drive.google.com/file/d/1MeByxIaRcLYdqeR8St3s21UC_ri9Epw1/view?usp=drivesdk")</f>
        <v>https://drive.google.com/file/d/1MeByxIaRcLYdqeR8St3s21UC_ri9Epw1/view?usp=drivesdk</v>
      </c>
      <c r="R51" s="28" t="str">
        <f>IFERROR(__xludf.DUMMYFUNCTION("""COMPUTED_VALUE"""),"https://drive.google.com/file/d/1ZwHUarPtzZSFwFze5GstQwlPxhHI_TeT/view?usp=drivesdk")</f>
        <v>https://drive.google.com/file/d/1ZwHUarPtzZSFwFze5GstQwlPxhHI_TeT/view?usp=drivesdk</v>
      </c>
      <c r="S51" s="28" t="str">
        <f>IFERROR(__xludf.DUMMYFUNCTION("""COMPUTED_VALUE"""),"https://drive.google.com/file/d/1C_cml8uL6sGGJSDk1txNP8ZoRsfLQrir/view?usp=drivesdk")</f>
        <v>https://drive.google.com/file/d/1C_cml8uL6sGGJSDk1txNP8ZoRsfLQrir/view?usp=drivesdk</v>
      </c>
      <c r="T51" s="28" t="str">
        <f>IFERROR(__xludf.DUMMYFUNCTION("""COMPUTED_VALUE"""),"https://drive.google.com/file/d/1f3kZ7HQgU2LwDtPejEX2FgBqFP7HwAYR/view?usp=drivesdk")</f>
        <v>https://drive.google.com/file/d/1f3kZ7HQgU2LwDtPejEX2FgBqFP7HwAYR/view?usp=drivesdk</v>
      </c>
      <c r="U51" s="4"/>
      <c r="V51" s="4"/>
      <c r="W51" s="4"/>
      <c r="X51" s="4"/>
      <c r="Y51" s="4"/>
      <c r="Z51" s="4"/>
    </row>
    <row r="52">
      <c r="A52" s="4" t="str">
        <f>IFERROR(__xludf.DUMMYFUNCTION("""COMPUTED_VALUE"""),"H9390OF")</f>
        <v>H9390OF</v>
      </c>
      <c r="B52" s="4" t="str">
        <f>IFERROR(__xludf.DUMMYFUNCTION("""COMPUTED_VALUE"""),"16 KL")</f>
        <v>16 KL</v>
      </c>
      <c r="C52" s="4" t="str">
        <f>IFERROR(__xludf.DUMMYFUNCTION("""COMPUTED_VALUE"""),"PT. ADHI BUANA PERSADA")</f>
        <v>PT. ADHI BUANA PERSADA</v>
      </c>
      <c r="D52" s="4" t="str">
        <f>IFERROR(__xludf.DUMMYFUNCTION("""COMPUTED_VALUE"""),"11-lTZZtX9MfX8zZgLrzOMDe9fRHvzXdt")</f>
        <v>11-lTZZtX9MfX8zZgLrzOMDe9fRHvzXdt</v>
      </c>
      <c r="E52" s="17">
        <f>IFERROR(__xludf.DUMMYFUNCTION("""COMPUTED_VALUE"""),47071.0)</f>
        <v>47071</v>
      </c>
      <c r="F52" s="17">
        <f>IFERROR(__xludf.DUMMYFUNCTION("""COMPUTED_VALUE"""),46340.0)</f>
        <v>46340</v>
      </c>
      <c r="G52" s="17">
        <f>IFERROR(__xludf.DUMMYFUNCTION("""COMPUTED_VALUE"""),46333.0)</f>
        <v>46333</v>
      </c>
      <c r="H52" s="17"/>
      <c r="I52" s="17">
        <f>IFERROR(__xludf.DUMMYFUNCTION("""COMPUTED_VALUE"""),46333.0)</f>
        <v>46333</v>
      </c>
      <c r="J52" s="17">
        <f>IFERROR(__xludf.DUMMYFUNCTION("""COMPUTED_VALUE"""),46711.0)</f>
        <v>46711</v>
      </c>
      <c r="K52" s="17">
        <f>IFERROR(__xludf.DUMMYFUNCTION("""COMPUTED_VALUE"""),46340.0)</f>
        <v>46340</v>
      </c>
      <c r="L52" s="17">
        <f>IFERROR(__xludf.DUMMYFUNCTION("""COMPUTED_VALUE"""),46388.0)</f>
        <v>46388</v>
      </c>
      <c r="M52" s="4" t="str">
        <f>IFERROR(__xludf.DUMMYFUNCTION("""COMPUTED_VALUE"""),"04260000000011 / 000018")</f>
        <v>04260000000011 / 000018</v>
      </c>
      <c r="N52" s="28" t="str">
        <f>IFERROR(__xludf.DUMMYFUNCTION("""COMPUTED_VALUE"""),"https://drive.google.com/file/d/1HcgNW2V7xiNNMjIPHNbVXwIlaGHUL6nN/view?usp=drivesdk")</f>
        <v>https://drive.google.com/file/d/1HcgNW2V7xiNNMjIPHNbVXwIlaGHUL6nN/view?usp=drivesdk</v>
      </c>
      <c r="O52" s="28" t="str">
        <f>IFERROR(__xludf.DUMMYFUNCTION("""COMPUTED_VALUE"""),"https://drive.google.com/file/d/1TD145hec2Bm6RT5pezpz-daj92GGDDlZ/view?usp=drivesdk")</f>
        <v>https://drive.google.com/file/d/1TD145hec2Bm6RT5pezpz-daj92GGDDlZ/view?usp=drivesdk</v>
      </c>
      <c r="P52" s="28" t="str">
        <f>IFERROR(__xludf.DUMMYFUNCTION("""COMPUTED_VALUE"""),"https://drive.google.com/file/d/1A4gnW6dTPYwlnvSff91CYj-CaplXEw_q/view?usp=drivesdk")</f>
        <v>https://drive.google.com/file/d/1A4gnW6dTPYwlnvSff91CYj-CaplXEw_q/view?usp=drivesdk</v>
      </c>
      <c r="Q52" s="4"/>
      <c r="R52" s="28" t="str">
        <f>IFERROR(__xludf.DUMMYFUNCTION("""COMPUTED_VALUE"""),"https://drive.google.com/file/d/1HWtuD-plIzHF3uXsMrNhs6sE44vB5UrA/view?usp=drivesdk")</f>
        <v>https://drive.google.com/file/d/1HWtuD-plIzHF3uXsMrNhs6sE44vB5UrA/view?usp=drivesdk</v>
      </c>
      <c r="S52" s="28" t="str">
        <f>IFERROR(__xludf.DUMMYFUNCTION("""COMPUTED_VALUE"""),"https://drive.google.com/file/d/1nvNxITkoG2Ap1HyRZkNwNtvHEyz-SGoC/view?usp=drivesdk")</f>
        <v>https://drive.google.com/file/d/1nvNxITkoG2Ap1HyRZkNwNtvHEyz-SGoC/view?usp=drivesdk</v>
      </c>
      <c r="T52" s="28" t="str">
        <f>IFERROR(__xludf.DUMMYFUNCTION("""COMPUTED_VALUE"""),"https://drive.google.com/file/d/1BdMdaMVa2gj9z2dc-Mv7BqY50vDDGsJF/view?usp=drivesdk")</f>
        <v>https://drive.google.com/file/d/1BdMdaMVa2gj9z2dc-Mv7BqY50vDDGsJF/view?usp=drivesdk</v>
      </c>
      <c r="U52" s="4"/>
      <c r="V52" s="4"/>
      <c r="W52" s="4"/>
      <c r="X52" s="4"/>
      <c r="Y52" s="4"/>
      <c r="Z52" s="4"/>
    </row>
    <row r="53">
      <c r="A53" s="4" t="str">
        <f>IFERROR(__xludf.DUMMYFUNCTION("""COMPUTED_VALUE"""),"AA8410OP")</f>
        <v>AA8410OP</v>
      </c>
      <c r="B53" s="4" t="str">
        <f>IFERROR(__xludf.DUMMYFUNCTION("""COMPUTED_VALUE"""),"24 KL")</f>
        <v>24 KL</v>
      </c>
      <c r="C53" s="4" t="str">
        <f>IFERROR(__xludf.DUMMYFUNCTION("""COMPUTED_VALUE"""),"PT. TANAH PUTIH")</f>
        <v>PT. TANAH PUTIH</v>
      </c>
      <c r="D53" s="4" t="str">
        <f>IFERROR(__xludf.DUMMYFUNCTION("""COMPUTED_VALUE"""),"1Y60IdoV8X69wDQ_COhzks-3nwAyXV5tj")</f>
        <v>1Y60IdoV8X69wDQ_COhzks-3nwAyXV5tj</v>
      </c>
      <c r="E53" s="17">
        <f>IFERROR(__xludf.DUMMYFUNCTION("""COMPUTED_VALUE"""),46782.0)</f>
        <v>46782</v>
      </c>
      <c r="F53" s="17">
        <f>IFERROR(__xludf.DUMMYFUNCTION("""COMPUTED_VALUE"""),46417.0)</f>
        <v>46417</v>
      </c>
      <c r="G53" s="17">
        <f>IFERROR(__xludf.DUMMYFUNCTION("""COMPUTED_VALUE"""),46438.0)</f>
        <v>46438</v>
      </c>
      <c r="H53" s="17">
        <f>IFERROR(__xludf.DUMMYFUNCTION("""COMPUTED_VALUE"""),46438.0)</f>
        <v>46438</v>
      </c>
      <c r="I53" s="17">
        <f>IFERROR(__xludf.DUMMYFUNCTION("""COMPUTED_VALUE"""),46420.0)</f>
        <v>46420</v>
      </c>
      <c r="J53" s="17">
        <f>IFERROR(__xludf.DUMMYFUNCTION("""COMPUTED_VALUE"""),46438.0)</f>
        <v>46438</v>
      </c>
      <c r="K53" s="17">
        <f>IFERROR(__xludf.DUMMYFUNCTION("""COMPUTED_VALUE"""),46340.0)</f>
        <v>46340</v>
      </c>
      <c r="L53" s="17">
        <f>IFERROR(__xludf.DUMMYFUNCTION("""COMPUTED_VALUE"""),46388.0)</f>
        <v>46388</v>
      </c>
      <c r="M53" s="4" t="str">
        <f>IFERROR(__xludf.DUMMYFUNCTION("""COMPUTED_VALUE"""),"04260000000011 / 000301")</f>
        <v>04260000000011 / 000301</v>
      </c>
      <c r="N53" s="28" t="str">
        <f>IFERROR(__xludf.DUMMYFUNCTION("""COMPUTED_VALUE"""),"https://drive.google.com/open?id=1tYfv8vyD1fwBHyvTUegSR6Oq0fzwxtjB")</f>
        <v>https://drive.google.com/open?id=1tYfv8vyD1fwBHyvTUegSR6Oq0fzwxtjB</v>
      </c>
      <c r="O53" s="28" t="str">
        <f>IFERROR(__xludf.DUMMYFUNCTION("""COMPUTED_VALUE"""),"https://drive.google.com/open?id=1tYfv8vyD1fwBHyvTUegSR6Oq0fzwxtjB")</f>
        <v>https://drive.google.com/open?id=1tYfv8vyD1fwBHyvTUegSR6Oq0fzwxtjB</v>
      </c>
      <c r="P53" s="28" t="str">
        <f>IFERROR(__xludf.DUMMYFUNCTION("""COMPUTED_VALUE"""),"https://drive.google.com/file/d/1nzpTfR42t6B63vMTaC5fQmFD-WlLfU2F/view?usp=drivesdk")</f>
        <v>https://drive.google.com/file/d/1nzpTfR42t6B63vMTaC5fQmFD-WlLfU2F/view?usp=drivesdk</v>
      </c>
      <c r="Q53" s="28" t="str">
        <f>IFERROR(__xludf.DUMMYFUNCTION("""COMPUTED_VALUE"""),"https://drive.google.com/file/d/1tQqxsI1hxuyKALZKVmdCV2zkaSSjcBhO/view?usp=drivesdk")</f>
        <v>https://drive.google.com/file/d/1tQqxsI1hxuyKALZKVmdCV2zkaSSjcBhO/view?usp=drivesdk</v>
      </c>
      <c r="R53" s="28" t="str">
        <f>IFERROR(__xludf.DUMMYFUNCTION("""COMPUTED_VALUE"""),"https://drive.google.com/file/d/1KogR2Eucj-AheHx9qlR4vWfFz_bYdZ9A/view?usp=drivesdk")</f>
        <v>https://drive.google.com/file/d/1KogR2Eucj-AheHx9qlR4vWfFz_bYdZ9A/view?usp=drivesdk</v>
      </c>
      <c r="S53" s="28" t="str">
        <f>IFERROR(__xludf.DUMMYFUNCTION("""COMPUTED_VALUE"""),"https://drive.google.com/file/d/1b7IAQRYPETa53VrREGJ4CaDDfYQCmrmP/view?usp=drivesdk")</f>
        <v>https://drive.google.com/file/d/1b7IAQRYPETa53VrREGJ4CaDDfYQCmrmP/view?usp=drivesdk</v>
      </c>
      <c r="T53" s="28" t="str">
        <f>IFERROR(__xludf.DUMMYFUNCTION("""COMPUTED_VALUE"""),"https://drive.google.com/file/d/12a8mAfllnYDwv7gciQFXZESxG6UGNau-/view?usp=drivesdk")</f>
        <v>https://drive.google.com/file/d/12a8mAfllnYDwv7gciQFXZESxG6UGNau-/view?usp=drivesdk</v>
      </c>
      <c r="U53" s="4"/>
      <c r="V53" s="4"/>
      <c r="W53" s="4"/>
      <c r="X53" s="4"/>
      <c r="Y53" s="4"/>
      <c r="Z53" s="4"/>
    </row>
    <row r="54">
      <c r="A54" s="4" t="str">
        <f>IFERROR(__xludf.DUMMYFUNCTION("""COMPUTED_VALUE"""),"E9335YC")</f>
        <v>E9335YC</v>
      </c>
      <c r="B54" s="4" t="str">
        <f>IFERROR(__xludf.DUMMYFUNCTION("""COMPUTED_VALUE"""),"24 KL")</f>
        <v>24 KL</v>
      </c>
      <c r="C54" s="4" t="str">
        <f>IFERROR(__xludf.DUMMYFUNCTION("""COMPUTED_VALUE"""),"PT. PUSPITA CIPTA")</f>
        <v>PT. PUSPITA CIPTA</v>
      </c>
      <c r="D54" s="4" t="str">
        <f>IFERROR(__xludf.DUMMYFUNCTION("""COMPUTED_VALUE"""),"14M6KJ8wP4KD9jXcGVIVRO_f5U0hrOx0o")</f>
        <v>14M6KJ8wP4KD9jXcGVIVRO_f5U0hrOx0o</v>
      </c>
      <c r="E54" s="17">
        <f>IFERROR(__xludf.DUMMYFUNCTION("""COMPUTED_VALUE"""),47114.0)</f>
        <v>47114</v>
      </c>
      <c r="F54" s="17">
        <f>IFERROR(__xludf.DUMMYFUNCTION("""COMPUTED_VALUE"""),46383.0)</f>
        <v>46383</v>
      </c>
      <c r="G54" s="17">
        <f>IFERROR(__xludf.DUMMYFUNCTION("""COMPUTED_VALUE"""),46331.0)</f>
        <v>46331</v>
      </c>
      <c r="H54" s="17">
        <f>IFERROR(__xludf.DUMMYFUNCTION("""COMPUTED_VALUE"""),46331.0)</f>
        <v>46331</v>
      </c>
      <c r="I54" s="17">
        <f>IFERROR(__xludf.DUMMYFUNCTION("""COMPUTED_VALUE"""),46331.0)</f>
        <v>46331</v>
      </c>
      <c r="J54" s="17">
        <f>IFERROR(__xludf.DUMMYFUNCTION("""COMPUTED_VALUE"""),46912.0)</f>
        <v>46912</v>
      </c>
      <c r="K54" s="17">
        <f>IFERROR(__xludf.DUMMYFUNCTION("""COMPUTED_VALUE"""),46360.0)</f>
        <v>46360</v>
      </c>
      <c r="L54" s="17">
        <f>IFERROR(__xludf.DUMMYFUNCTION("""COMPUTED_VALUE"""),46388.0)</f>
        <v>46388</v>
      </c>
      <c r="M54" s="4" t="str">
        <f>IFERROR(__xludf.DUMMYFUNCTION("""COMPUTED_VALUE"""),"04260000000011 / 000259")</f>
        <v>04260000000011 / 000259</v>
      </c>
      <c r="N54" s="28" t="str">
        <f>IFERROR(__xludf.DUMMYFUNCTION("""COMPUTED_VALUE"""),"https://drive.google.com/open?id=1LaWf0JcoGaFSpcwRzmixouBNC9paIZjy")</f>
        <v>https://drive.google.com/open?id=1LaWf0JcoGaFSpcwRzmixouBNC9paIZjy</v>
      </c>
      <c r="O54" s="28" t="str">
        <f>IFERROR(__xludf.DUMMYFUNCTION("""COMPUTED_VALUE"""),"https://drive.google.com/open?id=1LaWf0JcoGaFSpcwRzmixouBNC9paIZjy")</f>
        <v>https://drive.google.com/open?id=1LaWf0JcoGaFSpcwRzmixouBNC9paIZjy</v>
      </c>
      <c r="P54" s="28" t="str">
        <f>IFERROR(__xludf.DUMMYFUNCTION("""COMPUTED_VALUE"""),"https://drive.google.com/open?id=1m5vzT_TXyG0JdXB8KxqYVCa107tj93_O")</f>
        <v>https://drive.google.com/open?id=1m5vzT_TXyG0JdXB8KxqYVCa107tj93_O</v>
      </c>
      <c r="Q54" s="28" t="str">
        <f>IFERROR(__xludf.DUMMYFUNCTION("""COMPUTED_VALUE"""),"https://drive.google.com/open?id=181eYb4pJli3uLNOIZJxtfJCtTk-Btk1b")</f>
        <v>https://drive.google.com/open?id=181eYb4pJli3uLNOIZJxtfJCtTk-Btk1b</v>
      </c>
      <c r="R54" s="28" t="str">
        <f>IFERROR(__xludf.DUMMYFUNCTION("""COMPUTED_VALUE"""),"https://drive.google.com/open?id=1b8s87iU1Iji7kFNVp2NBa8F-YacLKxGj")</f>
        <v>https://drive.google.com/open?id=1b8s87iU1Iji7kFNVp2NBa8F-YacLKxGj</v>
      </c>
      <c r="S54" s="28" t="str">
        <f>IFERROR(__xludf.DUMMYFUNCTION("""COMPUTED_VALUE"""),"https://drive.google.com/file/d/1gZErrDeM9rU9XVaHAcucnS4Dsg1iHT26/view?usp=drivesdk")</f>
        <v>https://drive.google.com/file/d/1gZErrDeM9rU9XVaHAcucnS4Dsg1iHT26/view?usp=drivesdk</v>
      </c>
      <c r="T54" s="28" t="str">
        <f>IFERROR(__xludf.DUMMYFUNCTION("""COMPUTED_VALUE"""),"https://drive.google.com/file/d/1ZWFUqnBUIpcD_o9WrvuhmpoLnZoLVqaN/view?usp=drivesdk")</f>
        <v>https://drive.google.com/file/d/1ZWFUqnBUIpcD_o9WrvuhmpoLnZoLVqaN/view?usp=drivesdk</v>
      </c>
      <c r="U54" s="4"/>
      <c r="V54" s="4"/>
      <c r="W54" s="4"/>
      <c r="X54" s="4"/>
      <c r="Y54" s="4"/>
      <c r="Z54" s="4"/>
    </row>
    <row r="55">
      <c r="A55" s="4" t="str">
        <f>IFERROR(__xludf.DUMMYFUNCTION("""COMPUTED_VALUE"""),"B9106SEI")</f>
        <v>B9106SEI</v>
      </c>
      <c r="B55" s="4" t="str">
        <f>IFERROR(__xludf.DUMMYFUNCTION("""COMPUTED_VALUE"""),"24 KL")</f>
        <v>24 KL</v>
      </c>
      <c r="C55" s="4" t="str">
        <f>IFERROR(__xludf.DUMMYFUNCTION("""COMPUTED_VALUE"""),"PT. PERTAMINA PATRA NIAGA")</f>
        <v>PT. PERTAMINA PATRA NIAGA</v>
      </c>
      <c r="D55" s="4" t="str">
        <f>IFERROR(__xludf.DUMMYFUNCTION("""COMPUTED_VALUE"""),"1UumQBM01bnQ7x5zUywvmNzBbCK7f69Vt")</f>
        <v>1UumQBM01bnQ7x5zUywvmNzBbCK7f69Vt</v>
      </c>
      <c r="E55" s="17">
        <f>IFERROR(__xludf.DUMMYFUNCTION("""COMPUTED_VALUE"""),47405.0)</f>
        <v>47405</v>
      </c>
      <c r="F55" s="17">
        <f>IFERROR(__xludf.DUMMYFUNCTION("""COMPUTED_VALUE"""),46309.0)</f>
        <v>46309</v>
      </c>
      <c r="G55" s="17">
        <f>IFERROR(__xludf.DUMMYFUNCTION("""COMPUTED_VALUE"""),46240.0)</f>
        <v>46240</v>
      </c>
      <c r="H55" s="17">
        <f>IFERROR(__xludf.DUMMYFUNCTION("""COMPUTED_VALUE"""),46276.0)</f>
        <v>46276</v>
      </c>
      <c r="I55" s="17">
        <f>IFERROR(__xludf.DUMMYFUNCTION("""COMPUTED_VALUE"""),46279.0)</f>
        <v>46279</v>
      </c>
      <c r="J55" s="17">
        <f>IFERROR(__xludf.DUMMYFUNCTION("""COMPUTED_VALUE"""),46599.0)</f>
        <v>46599</v>
      </c>
      <c r="K55" s="17">
        <f>IFERROR(__xludf.DUMMYFUNCTION("""COMPUTED_VALUE"""),46302.0)</f>
        <v>46302</v>
      </c>
      <c r="L55" s="17">
        <f>IFERROR(__xludf.DUMMYFUNCTION("""COMPUTED_VALUE"""),46388.0)</f>
        <v>46388</v>
      </c>
      <c r="M55" s="4" t="str">
        <f>IFERROR(__xludf.DUMMYFUNCTION("""COMPUTED_VALUE"""),"1941000022025000001-000030")</f>
        <v>1941000022025000001-000030</v>
      </c>
      <c r="N55" s="28" t="str">
        <f>IFERROR(__xludf.DUMMYFUNCTION("""COMPUTED_VALUE"""),"https://drive.google.com/file/d/11hutvoDyPuHS-AI3FBUYskM9cxLS9vA7/view?usp=drivesdk")</f>
        <v>https://drive.google.com/file/d/11hutvoDyPuHS-AI3FBUYskM9cxLS9vA7/view?usp=drivesdk</v>
      </c>
      <c r="O55" s="28" t="str">
        <f>IFERROR(__xludf.DUMMYFUNCTION("""COMPUTED_VALUE"""),"https://drive.google.com/file/d/113EvPZ1vOj8pt4P3RxP1bmg4JRnI6cHV/view?usp=drivesdk")</f>
        <v>https://drive.google.com/file/d/113EvPZ1vOj8pt4P3RxP1bmg4JRnI6cHV/view?usp=drivesdk</v>
      </c>
      <c r="P55" s="28" t="str">
        <f>IFERROR(__xludf.DUMMYFUNCTION("""COMPUTED_VALUE"""),"https://drive.google.com/file/d/1_ef-41KuldurNtMIIZhslM7r_NEywskj/view?usp=drivesdk")</f>
        <v>https://drive.google.com/file/d/1_ef-41KuldurNtMIIZhslM7r_NEywskj/view?usp=drivesdk</v>
      </c>
      <c r="Q55" s="28" t="str">
        <f>IFERROR(__xludf.DUMMYFUNCTION("""COMPUTED_VALUE"""),"https://drive.google.com/file/d/1fmw65l4jx0zUkULU2gU8vWfD5AE6cnQL/view?usp=drivesdk")</f>
        <v>https://drive.google.com/file/d/1fmw65l4jx0zUkULU2gU8vWfD5AE6cnQL/view?usp=drivesdk</v>
      </c>
      <c r="R55" s="28" t="str">
        <f>IFERROR(__xludf.DUMMYFUNCTION("""COMPUTED_VALUE"""),"https://drive.google.com/file/d/10_DDJUgCTgeafnXxA1fKxhI_1k-a7CoL/view?usp=drivesdk")</f>
        <v>https://drive.google.com/file/d/10_DDJUgCTgeafnXxA1fKxhI_1k-a7CoL/view?usp=drivesdk</v>
      </c>
      <c r="S55" s="28" t="str">
        <f>IFERROR(__xludf.DUMMYFUNCTION("""COMPUTED_VALUE"""),"https://drive.google.com/file/d/13K9jMqRW6F3_9Q6ym6me2IE0wGxExFqM/view?usp=drivesdk")</f>
        <v>https://drive.google.com/file/d/13K9jMqRW6F3_9Q6ym6me2IE0wGxExFqM/view?usp=drivesdk</v>
      </c>
      <c r="T55" s="28" t="str">
        <f>IFERROR(__xludf.DUMMYFUNCTION("""COMPUTED_VALUE"""),"https://drive.google.com/file/d/1ocaXwrlhzDwELw2ncR_oik3FDwdGPwcE/view?usp=drivesdk")</f>
        <v>https://drive.google.com/file/d/1ocaXwrlhzDwELw2ncR_oik3FDwdGPwcE/view?usp=drivesdk</v>
      </c>
      <c r="U55" s="4"/>
      <c r="V55" s="4"/>
      <c r="W55" s="4"/>
      <c r="X55" s="4"/>
      <c r="Y55" s="4"/>
      <c r="Z55" s="4"/>
    </row>
    <row r="56">
      <c r="A56" s="4" t="str">
        <f>IFERROR(__xludf.DUMMYFUNCTION("""COMPUTED_VALUE"""),"B9290TFV")</f>
        <v>B9290TFV</v>
      </c>
      <c r="B56" s="4" t="str">
        <f>IFERROR(__xludf.DUMMYFUNCTION("""COMPUTED_VALUE"""),"24 KL")</f>
        <v>24 KL</v>
      </c>
      <c r="C56" s="4" t="str">
        <f>IFERROR(__xludf.DUMMYFUNCTION("""COMPUTED_VALUE"""),"PT. ADAM TRANS")</f>
        <v>PT. ADAM TRANS</v>
      </c>
      <c r="D56" s="4" t="str">
        <f>IFERROR(__xludf.DUMMYFUNCTION("""COMPUTED_VALUE"""),"1SbZDYcuR_s2CDPI-fUzTHGzir_XGURN3")</f>
        <v>1SbZDYcuR_s2CDPI-fUzTHGzir_XGURN3</v>
      </c>
      <c r="E56" s="17">
        <f>IFERROR(__xludf.DUMMYFUNCTION("""COMPUTED_VALUE"""),46713.0)</f>
        <v>46713</v>
      </c>
      <c r="F56" s="17">
        <f>IFERROR(__xludf.DUMMYFUNCTION("""COMPUTED_VALUE"""),46348.0)</f>
        <v>46348</v>
      </c>
      <c r="G56" s="17">
        <f>IFERROR(__xludf.DUMMYFUNCTION("""COMPUTED_VALUE"""),46303.0)</f>
        <v>46303</v>
      </c>
      <c r="H56" s="17">
        <f>IFERROR(__xludf.DUMMYFUNCTION("""COMPUTED_VALUE"""),46303.0)</f>
        <v>46303</v>
      </c>
      <c r="I56" s="17">
        <f>IFERROR(__xludf.DUMMYFUNCTION("""COMPUTED_VALUE"""),46303.0)</f>
        <v>46303</v>
      </c>
      <c r="J56" s="17">
        <f>IFERROR(__xludf.DUMMYFUNCTION("""COMPUTED_VALUE"""),46548.0)</f>
        <v>46548</v>
      </c>
      <c r="K56" s="17">
        <f>IFERROR(__xludf.DUMMYFUNCTION("""COMPUTED_VALUE"""),46311.0)</f>
        <v>46311</v>
      </c>
      <c r="L56" s="17">
        <f>IFERROR(__xludf.DUMMYFUNCTION("""COMPUTED_VALUE"""),46388.0)</f>
        <v>46388</v>
      </c>
      <c r="M56" s="4" t="str">
        <f>IFERROR(__xludf.DUMMYFUNCTION("""COMPUTED_VALUE"""),"04260000000011 / 000008")</f>
        <v>04260000000011 / 000008</v>
      </c>
      <c r="N56" s="28" t="str">
        <f>IFERROR(__xludf.DUMMYFUNCTION("""COMPUTED_VALUE"""),"https://drive.google.com/file/d/1F-IcbKhsXzY2JdpjiIri1MsyArmMlva8/view?usp=drivesdk")</f>
        <v>https://drive.google.com/file/d/1F-IcbKhsXzY2JdpjiIri1MsyArmMlva8/view?usp=drivesdk</v>
      </c>
      <c r="O56" s="28" t="str">
        <f>IFERROR(__xludf.DUMMYFUNCTION("""COMPUTED_VALUE"""),"https://drive.google.com/file/d/1sJKpF-dh7YyCp7jPBzRW69_jLBWlDNHw/view?usp=drivesdk")</f>
        <v>https://drive.google.com/file/d/1sJKpF-dh7YyCp7jPBzRW69_jLBWlDNHw/view?usp=drivesdk</v>
      </c>
      <c r="P56" s="28" t="str">
        <f>IFERROR(__xludf.DUMMYFUNCTION("""COMPUTED_VALUE"""),"https://drive.google.com/file/d/10lBgLzlj-wfq2a8O92kXROOUDIWBU7fE/view?usp=drivesdk")</f>
        <v>https://drive.google.com/file/d/10lBgLzlj-wfq2a8O92kXROOUDIWBU7fE/view?usp=drivesdk</v>
      </c>
      <c r="Q56" s="28" t="str">
        <f>IFERROR(__xludf.DUMMYFUNCTION("""COMPUTED_VALUE"""),"https://drive.google.com/file/d/1kkJkMClY1AhoHQoIImOdTf8tYuiqy4Do/view?usp=drivesdk")</f>
        <v>https://drive.google.com/file/d/1kkJkMClY1AhoHQoIImOdTf8tYuiqy4Do/view?usp=drivesdk</v>
      </c>
      <c r="R56" s="28" t="str">
        <f>IFERROR(__xludf.DUMMYFUNCTION("""COMPUTED_VALUE"""),"https://drive.google.com/file/d/1QW8Ffi2hULchjzXBdGHR2QyBQWG6JJaI/view?usp=drivesdk")</f>
        <v>https://drive.google.com/file/d/1QW8Ffi2hULchjzXBdGHR2QyBQWG6JJaI/view?usp=drivesdk</v>
      </c>
      <c r="S56" s="28" t="str">
        <f>IFERROR(__xludf.DUMMYFUNCTION("""COMPUTED_VALUE"""),"https://drive.google.com/file/d/1u5R_I7DRWCGvYR6avKdYv8KAtSfMYkly/view?usp=drivesdk")</f>
        <v>https://drive.google.com/file/d/1u5R_I7DRWCGvYR6avKdYv8KAtSfMYkly/view?usp=drivesdk</v>
      </c>
      <c r="T56" s="28" t="str">
        <f>IFERROR(__xludf.DUMMYFUNCTION("""COMPUTED_VALUE"""),"https://drive.google.com/file/d/1oJJP2kwulZ5tgMb6vb-bLWy1c_vkqpCb/view?usp=drivesdk")</f>
        <v>https://drive.google.com/file/d/1oJJP2kwulZ5tgMb6vb-bLWy1c_vkqpCb/view?usp=drivesdk</v>
      </c>
      <c r="U56" s="4"/>
      <c r="V56" s="4"/>
      <c r="W56" s="4"/>
      <c r="X56" s="4"/>
      <c r="Y56" s="4"/>
      <c r="Z56" s="4"/>
    </row>
    <row r="57">
      <c r="A57" s="4" t="str">
        <f>IFERROR(__xludf.DUMMYFUNCTION("""COMPUTED_VALUE"""),"E9334YC")</f>
        <v>E9334YC</v>
      </c>
      <c r="B57" s="4" t="str">
        <f>IFERROR(__xludf.DUMMYFUNCTION("""COMPUTED_VALUE"""),"24 KL")</f>
        <v>24 KL</v>
      </c>
      <c r="C57" s="4" t="str">
        <f>IFERROR(__xludf.DUMMYFUNCTION("""COMPUTED_VALUE"""),"PT. PUSPITA CIPTA")</f>
        <v>PT. PUSPITA CIPTA</v>
      </c>
      <c r="D57" s="4" t="str">
        <f>IFERROR(__xludf.DUMMYFUNCTION("""COMPUTED_VALUE"""),"1DOaQWzyVl6vPMFfCTa9e3u6nztjLHFSf")</f>
        <v>1DOaQWzyVl6vPMFfCTa9e3u6nztjLHFSf</v>
      </c>
      <c r="E57" s="17">
        <f>IFERROR(__xludf.DUMMYFUNCTION("""COMPUTED_VALUE"""),47114.0)</f>
        <v>47114</v>
      </c>
      <c r="F57" s="17">
        <f>IFERROR(__xludf.DUMMYFUNCTION("""COMPUTED_VALUE"""),46383.0)</f>
        <v>46383</v>
      </c>
      <c r="G57" s="17">
        <f>IFERROR(__xludf.DUMMYFUNCTION("""COMPUTED_VALUE"""),46331.0)</f>
        <v>46331</v>
      </c>
      <c r="H57" s="17">
        <f>IFERROR(__xludf.DUMMYFUNCTION("""COMPUTED_VALUE"""),46331.0)</f>
        <v>46331</v>
      </c>
      <c r="I57" s="17">
        <f>IFERROR(__xludf.DUMMYFUNCTION("""COMPUTED_VALUE"""),46331.0)</f>
        <v>46331</v>
      </c>
      <c r="J57" s="17">
        <f>IFERROR(__xludf.DUMMYFUNCTION("""COMPUTED_VALUE"""),46884.0)</f>
        <v>46884</v>
      </c>
      <c r="K57" s="17">
        <f>IFERROR(__xludf.DUMMYFUNCTION("""COMPUTED_VALUE"""),46360.0)</f>
        <v>46360</v>
      </c>
      <c r="L57" s="17">
        <f>IFERROR(__xludf.DUMMYFUNCTION("""COMPUTED_VALUE"""),46388.0)</f>
        <v>46388</v>
      </c>
      <c r="M57" s="4" t="str">
        <f>IFERROR(__xludf.DUMMYFUNCTION("""COMPUTED_VALUE"""),"04260000000011 / 000258")</f>
        <v>04260000000011 / 000258</v>
      </c>
      <c r="N57" s="28" t="str">
        <f>IFERROR(__xludf.DUMMYFUNCTION("""COMPUTED_VALUE"""),"https://drive.google.com/file/d/1o5VLi2gI4AR37B-4cBXs-GnlfzYAPKuN/view?usp=drivesdk")</f>
        <v>https://drive.google.com/file/d/1o5VLi2gI4AR37B-4cBXs-GnlfzYAPKuN/view?usp=drivesdk</v>
      </c>
      <c r="O57" s="28" t="str">
        <f>IFERROR(__xludf.DUMMYFUNCTION("""COMPUTED_VALUE"""),"https://drive.google.com/file/d/1C84KH4dpAw65b9XVvJrmzYQ9C4XwMcmk/view?usp=drivesdk")</f>
        <v>https://drive.google.com/file/d/1C84KH4dpAw65b9XVvJrmzYQ9C4XwMcmk/view?usp=drivesdk</v>
      </c>
      <c r="P57" s="28" t="str">
        <f>IFERROR(__xludf.DUMMYFUNCTION("""COMPUTED_VALUE"""),"https://drive.google.com/file/d/1qDWJLUh-sKWf7EINTKVZM6PpVZuah2XP/view?usp=drivesdk")</f>
        <v>https://drive.google.com/file/d/1qDWJLUh-sKWf7EINTKVZM6PpVZuah2XP/view?usp=drivesdk</v>
      </c>
      <c r="Q57" s="28" t="str">
        <f>IFERROR(__xludf.DUMMYFUNCTION("""COMPUTED_VALUE"""),"https://drive.google.com/file/d/1_r2FhQ38Benp4Rdee9U1Sbc96g0z7xP6/view?usp=drivesdk")</f>
        <v>https://drive.google.com/file/d/1_r2FhQ38Benp4Rdee9U1Sbc96g0z7xP6/view?usp=drivesdk</v>
      </c>
      <c r="R57" s="28" t="str">
        <f>IFERROR(__xludf.DUMMYFUNCTION("""COMPUTED_VALUE"""),"https://drive.google.com/file/d/1xAmrd9PPsFOY6bDPemGzGffScRdaXAWz/view?usp=drivesdk")</f>
        <v>https://drive.google.com/file/d/1xAmrd9PPsFOY6bDPemGzGffScRdaXAWz/view?usp=drivesdk</v>
      </c>
      <c r="S57" s="28" t="str">
        <f>IFERROR(__xludf.DUMMYFUNCTION("""COMPUTED_VALUE"""),"https://drive.google.com/file/d/1_E62oqHVTsEbxAVuAx95Kp28x6mKMeTB/view?usp=drivesdk")</f>
        <v>https://drive.google.com/file/d/1_E62oqHVTsEbxAVuAx95Kp28x6mKMeTB/view?usp=drivesdk</v>
      </c>
      <c r="T57" s="28" t="str">
        <f>IFERROR(__xludf.DUMMYFUNCTION("""COMPUTED_VALUE"""),"https://drive.google.com/file/d/1gXKgtTDgASSVWLj1JYq9OLW2H-dEQcto/view?usp=drivesdk")</f>
        <v>https://drive.google.com/file/d/1gXKgtTDgASSVWLj1JYq9OLW2H-dEQcto/view?usp=drivesdk</v>
      </c>
      <c r="U57" s="4"/>
      <c r="V57" s="4"/>
      <c r="W57" s="4"/>
      <c r="X57" s="4"/>
      <c r="Y57" s="4"/>
      <c r="Z57" s="4"/>
    </row>
    <row r="58">
      <c r="A58" s="4" t="str">
        <f>IFERROR(__xludf.DUMMYFUNCTION("""COMPUTED_VALUE"""),"E9542YC")</f>
        <v>E9542YC</v>
      </c>
      <c r="B58" s="4" t="str">
        <f>IFERROR(__xludf.DUMMYFUNCTION("""COMPUTED_VALUE"""),"24 KL")</f>
        <v>24 KL</v>
      </c>
      <c r="C58" s="4" t="str">
        <f>IFERROR(__xludf.DUMMYFUNCTION("""COMPUTED_VALUE"""),"PT. PUSPITA CIPTA")</f>
        <v>PT. PUSPITA CIPTA</v>
      </c>
      <c r="D58" s="4" t="str">
        <f>IFERROR(__xludf.DUMMYFUNCTION("""COMPUTED_VALUE"""),"16twC5OCHrsrUjLUcetk-Bpobn0iTYgv_")</f>
        <v>16twC5OCHrsrUjLUcetk-Bpobn0iTYgv_</v>
      </c>
      <c r="E58" s="17">
        <f>IFERROR(__xludf.DUMMYFUNCTION("""COMPUTED_VALUE"""),47801.0)</f>
        <v>47801</v>
      </c>
      <c r="F58" s="17">
        <f>IFERROR(__xludf.DUMMYFUNCTION("""COMPUTED_VALUE"""),46340.0)</f>
        <v>46340</v>
      </c>
      <c r="G58" s="17">
        <f>IFERROR(__xludf.DUMMYFUNCTION("""COMPUTED_VALUE"""),46337.0)</f>
        <v>46337</v>
      </c>
      <c r="H58" s="17">
        <f>IFERROR(__xludf.DUMMYFUNCTION("""COMPUTED_VALUE"""),46337.0)</f>
        <v>46337</v>
      </c>
      <c r="I58" s="17">
        <f>IFERROR(__xludf.DUMMYFUNCTION("""COMPUTED_VALUE"""),46337.0)</f>
        <v>46337</v>
      </c>
      <c r="J58" s="17">
        <f>IFERROR(__xludf.DUMMYFUNCTION("""COMPUTED_VALUE"""),46723.0)</f>
        <v>46723</v>
      </c>
      <c r="K58" s="17">
        <f>IFERROR(__xludf.DUMMYFUNCTION("""COMPUTED_VALUE"""),46374.0)</f>
        <v>46374</v>
      </c>
      <c r="L58" s="17">
        <f>IFERROR(__xludf.DUMMYFUNCTION("""COMPUTED_VALUE"""),46388.0)</f>
        <v>46388</v>
      </c>
      <c r="M58" s="4" t="str">
        <f>IFERROR(__xludf.DUMMYFUNCTION("""COMPUTED_VALUE"""),"04260000000011 / 000697")</f>
        <v>04260000000011 / 000697</v>
      </c>
      <c r="N58" s="28" t="str">
        <f>IFERROR(__xludf.DUMMYFUNCTION("""COMPUTED_VALUE"""),"https://drive.google.com/open?id=1khXQ0ekZv9b59BXmQ0UxXY66uv08ad8L")</f>
        <v>https://drive.google.com/open?id=1khXQ0ekZv9b59BXmQ0UxXY66uv08ad8L</v>
      </c>
      <c r="O58" s="28" t="str">
        <f>IFERROR(__xludf.DUMMYFUNCTION("""COMPUTED_VALUE"""),"https://drive.google.com/open?id=1khXQ0ekZv9b59BXmQ0UxXY66uv08ad8L")</f>
        <v>https://drive.google.com/open?id=1khXQ0ekZv9b59BXmQ0UxXY66uv08ad8L</v>
      </c>
      <c r="P58" s="28" t="str">
        <f>IFERROR(__xludf.DUMMYFUNCTION("""COMPUTED_VALUE"""),"https://drive.google.com/open?id=1L6i_O8NUhRlaqRs5LKDeuTvDVXQPWtoo")</f>
        <v>https://drive.google.com/open?id=1L6i_O8NUhRlaqRs5LKDeuTvDVXQPWtoo</v>
      </c>
      <c r="Q58" s="28" t="str">
        <f>IFERROR(__xludf.DUMMYFUNCTION("""COMPUTED_VALUE"""),"https://drive.google.com/open?id=1Jry_7n88IpA1jMTGoUnAavqvxDri_Hdp")</f>
        <v>https://drive.google.com/open?id=1Jry_7n88IpA1jMTGoUnAavqvxDri_Hdp</v>
      </c>
      <c r="R58" s="28" t="str">
        <f>IFERROR(__xludf.DUMMYFUNCTION("""COMPUTED_VALUE"""),"https://drive.google.com/open?id=1nuumKnrrPygDfWYIqj907_3TRECXFdTe")</f>
        <v>https://drive.google.com/open?id=1nuumKnrrPygDfWYIqj907_3TRECXFdTe</v>
      </c>
      <c r="S58" s="28" t="str">
        <f>IFERROR(__xludf.DUMMYFUNCTION("""COMPUTED_VALUE"""),"https://drive.google.com/file/d/1WhlTe_cJ9RRXL7E4W0lx_2wpS2otyEuN/view?usp=drivesdk")</f>
        <v>https://drive.google.com/file/d/1WhlTe_cJ9RRXL7E4W0lx_2wpS2otyEuN/view?usp=drivesdk</v>
      </c>
      <c r="T58" s="28" t="str">
        <f>IFERROR(__xludf.DUMMYFUNCTION("""COMPUTED_VALUE"""),"https://drive.google.com/file/d/1UEuJnKlWv9AASUdpo8aodK9z0r_yTzlk/view?usp=drivesdk")</f>
        <v>https://drive.google.com/file/d/1UEuJnKlWv9AASUdpo8aodK9z0r_yTzlk/view?usp=drivesdk</v>
      </c>
      <c r="U58" s="4"/>
      <c r="V58" s="4"/>
      <c r="W58" s="4"/>
      <c r="X58" s="4"/>
      <c r="Y58" s="4"/>
      <c r="Z58" s="4"/>
    </row>
    <row r="59">
      <c r="A59" s="4" t="str">
        <f>IFERROR(__xludf.DUMMYFUNCTION("""COMPUTED_VALUE"""),"B9223SFV")</f>
        <v>B9223SFV</v>
      </c>
      <c r="B59" s="4" t="str">
        <f>IFERROR(__xludf.DUMMYFUNCTION("""COMPUTED_VALUE"""),"16 KL")</f>
        <v>16 KL</v>
      </c>
      <c r="C59" s="4" t="str">
        <f>IFERROR(__xludf.DUMMYFUNCTION("""COMPUTED_VALUE"""),"PT. PERTAMINA PATRA NIAGA")</f>
        <v>PT. PERTAMINA PATRA NIAGA</v>
      </c>
      <c r="D59" s="4" t="str">
        <f>IFERROR(__xludf.DUMMYFUNCTION("""COMPUTED_VALUE"""),"1-zLMM-TkJCwjh9TehYe4VzUhzJwX38EB")</f>
        <v>1-zLMM-TkJCwjh9TehYe4VzUhzJwX38EB</v>
      </c>
      <c r="E59" s="17">
        <f>IFERROR(__xludf.DUMMYFUNCTION("""COMPUTED_VALUE"""),47396.0)</f>
        <v>47396</v>
      </c>
      <c r="F59" s="17">
        <f>IFERROR(__xludf.DUMMYFUNCTION("""COMPUTED_VALUE"""),46300.0)</f>
        <v>46300</v>
      </c>
      <c r="G59" s="17">
        <f>IFERROR(__xludf.DUMMYFUNCTION("""COMPUTED_VALUE"""),46460.0)</f>
        <v>46460</v>
      </c>
      <c r="H59" s="17"/>
      <c r="I59" s="17">
        <f>IFERROR(__xludf.DUMMYFUNCTION("""COMPUTED_VALUE"""),46460.0)</f>
        <v>46460</v>
      </c>
      <c r="J59" s="17">
        <f>IFERROR(__xludf.DUMMYFUNCTION("""COMPUTED_VALUE"""),46472.0)</f>
        <v>46472</v>
      </c>
      <c r="K59" s="17">
        <f>IFERROR(__xludf.DUMMYFUNCTION("""COMPUTED_VALUE"""),46302.0)</f>
        <v>46302</v>
      </c>
      <c r="L59" s="17"/>
      <c r="M59" s="4"/>
      <c r="N59" s="28" t="str">
        <f>IFERROR(__xludf.DUMMYFUNCTION("""COMPUTED_VALUE"""),"https://drive.google.com/open?id=1yH8PJl4M3YGv6Rsb44-mv1hMYf1u9nif")</f>
        <v>https://drive.google.com/open?id=1yH8PJl4M3YGv6Rsb44-mv1hMYf1u9nif</v>
      </c>
      <c r="O59" s="28" t="str">
        <f>IFERROR(__xludf.DUMMYFUNCTION("""COMPUTED_VALUE"""),"https://drive.google.com/file/d/1rOavZKhMTGPZEzo19y0srdnPGg-6LOaw/view?usp=drivesdk")</f>
        <v>https://drive.google.com/file/d/1rOavZKhMTGPZEzo19y0srdnPGg-6LOaw/view?usp=drivesdk</v>
      </c>
      <c r="P59" s="28" t="str">
        <f>IFERROR(__xludf.DUMMYFUNCTION("""COMPUTED_VALUE"""),"https://drive.google.com/file/d/17DEol7q3qqgY-FW2O8QwhEfel2Nlup67/view?usp=drivesdk")</f>
        <v>https://drive.google.com/file/d/17DEol7q3qqgY-FW2O8QwhEfel2Nlup67/view?usp=drivesdk</v>
      </c>
      <c r="Q59" s="4"/>
      <c r="R59" s="28" t="str">
        <f>IFERROR(__xludf.DUMMYFUNCTION("""COMPUTED_VALUE"""),"https://drive.google.com/file/d/1Q36HJnwWQqFKRyS44hG6dZpEvhbcaGFT/view?usp=drivesdk")</f>
        <v>https://drive.google.com/file/d/1Q36HJnwWQqFKRyS44hG6dZpEvhbcaGFT/view?usp=drivesdk</v>
      </c>
      <c r="S59" s="28" t="str">
        <f>IFERROR(__xludf.DUMMYFUNCTION("""COMPUTED_VALUE"""),"https://drive.google.com/file/d/1LBOKk8U7YWforegZELeMfDK0lJ55dy2B/view?usp=drivesdk")</f>
        <v>https://drive.google.com/file/d/1LBOKk8U7YWforegZELeMfDK0lJ55dy2B/view?usp=drivesdk</v>
      </c>
      <c r="T59" s="28" t="str">
        <f>IFERROR(__xludf.DUMMYFUNCTION("""COMPUTED_VALUE"""),"https://drive.google.com/file/d/10ymyZ8qeukg7GwxUR_TrJf-oCVYVcJLE/view?usp=drivesdk")</f>
        <v>https://drive.google.com/file/d/10ymyZ8qeukg7GwxUR_TrJf-oCVYVcJLE/view?usp=drivesdk</v>
      </c>
      <c r="U59" s="4"/>
      <c r="V59" s="4"/>
      <c r="W59" s="4"/>
      <c r="X59" s="4"/>
      <c r="Y59" s="4"/>
      <c r="Z59" s="4"/>
    </row>
    <row r="60">
      <c r="A60" s="4" t="str">
        <f>IFERROR(__xludf.DUMMYFUNCTION("""COMPUTED_VALUE"""),"H9698OF")</f>
        <v>H9698OF</v>
      </c>
      <c r="B60" s="4" t="str">
        <f>IFERROR(__xludf.DUMMYFUNCTION("""COMPUTED_VALUE"""),"24 KL")</f>
        <v>24 KL</v>
      </c>
      <c r="C60" s="4" t="str">
        <f>IFERROR(__xludf.DUMMYFUNCTION("""COMPUTED_VALUE"""),"PT. ADHI BUANA PERSADA")</f>
        <v>PT. ADHI BUANA PERSADA</v>
      </c>
      <c r="D60" s="4" t="str">
        <f>IFERROR(__xludf.DUMMYFUNCTION("""COMPUTED_VALUE"""),"11oCf9YEzUuUpzAlc-L_dd_bN7c6pXTPq")</f>
        <v>11oCf9YEzUuUpzAlc-L_dd_bN7c6pXTPq</v>
      </c>
      <c r="E60" s="17">
        <f>IFERROR(__xludf.DUMMYFUNCTION("""COMPUTED_VALUE"""),47133.0)</f>
        <v>47133</v>
      </c>
      <c r="F60" s="17">
        <f>IFERROR(__xludf.DUMMYFUNCTION("""COMPUTED_VALUE"""),46402.0)</f>
        <v>46402</v>
      </c>
      <c r="G60" s="17">
        <f>IFERROR(__xludf.DUMMYFUNCTION("""COMPUTED_VALUE"""),46395.0)</f>
        <v>46395</v>
      </c>
      <c r="H60" s="17">
        <f>IFERROR(__xludf.DUMMYFUNCTION("""COMPUTED_VALUE"""),46395.0)</f>
        <v>46395</v>
      </c>
      <c r="I60" s="17">
        <f>IFERROR(__xludf.DUMMYFUNCTION("""COMPUTED_VALUE"""),46395.0)</f>
        <v>46395</v>
      </c>
      <c r="J60" s="17">
        <f>IFERROR(__xludf.DUMMYFUNCTION("""COMPUTED_VALUE"""),46401.0)</f>
        <v>46401</v>
      </c>
      <c r="K60" s="17">
        <f>IFERROR(__xludf.DUMMYFUNCTION("""COMPUTED_VALUE"""),46396.0)</f>
        <v>46396</v>
      </c>
      <c r="L60" s="17">
        <f>IFERROR(__xludf.DUMMYFUNCTION("""COMPUTED_VALUE"""),46388.0)</f>
        <v>46388</v>
      </c>
      <c r="M60" s="4" t="str">
        <f>IFERROR(__xludf.DUMMYFUNCTION("""COMPUTED_VALUE"""),"04260000000011 / 000020")</f>
        <v>04260000000011 / 000020</v>
      </c>
      <c r="N60" s="28" t="str">
        <f>IFERROR(__xludf.DUMMYFUNCTION("""COMPUTED_VALUE"""),"https://drive.google.com/file/d/1LSdfPJ8i3Tfyd_BeC1O42IvwfyoAOtM_/view?usp=drivesdk")</f>
        <v>https://drive.google.com/file/d/1LSdfPJ8i3Tfyd_BeC1O42IvwfyoAOtM_/view?usp=drivesdk</v>
      </c>
      <c r="O60" s="28" t="str">
        <f>IFERROR(__xludf.DUMMYFUNCTION("""COMPUTED_VALUE"""),"https://drive.google.com/file/d/1uEf9PQFJebBQfRY2pfFEWFfGOLTG8KBW/view?usp=drivesdk")</f>
        <v>https://drive.google.com/file/d/1uEf9PQFJebBQfRY2pfFEWFfGOLTG8KBW/view?usp=drivesdk</v>
      </c>
      <c r="P60" s="28" t="str">
        <f>IFERROR(__xludf.DUMMYFUNCTION("""COMPUTED_VALUE"""),"https://drive.google.com/file/d/1GcR4zpueH_TztFb-Pj3tcC5uefiOOuY_/view?usp=drivesdk")</f>
        <v>https://drive.google.com/file/d/1GcR4zpueH_TztFb-Pj3tcC5uefiOOuY_/view?usp=drivesdk</v>
      </c>
      <c r="Q60" s="28" t="str">
        <f>IFERROR(__xludf.DUMMYFUNCTION("""COMPUTED_VALUE"""),"https://drive.google.com/file/d/1o2lnsLJ5f_AGEUetO7lxk3tZiVpYDaAm/view?usp=drivesdk")</f>
        <v>https://drive.google.com/file/d/1o2lnsLJ5f_AGEUetO7lxk3tZiVpYDaAm/view?usp=drivesdk</v>
      </c>
      <c r="R60" s="28" t="str">
        <f>IFERROR(__xludf.DUMMYFUNCTION("""COMPUTED_VALUE"""),"https://drive.google.com/file/d/1io9Ne2iAGIqzRWUuPgJZ-3V5nmo5llos/view?usp=drivesdk")</f>
        <v>https://drive.google.com/file/d/1io9Ne2iAGIqzRWUuPgJZ-3V5nmo5llos/view?usp=drivesdk</v>
      </c>
      <c r="S60" s="28" t="str">
        <f>IFERROR(__xludf.DUMMYFUNCTION("""COMPUTED_VALUE"""),"https://drive.google.com/file/d/1XjtqXT-IoD0p9S1OuQ5XCKtHrkeZFZVX/view?usp=drivesdk")</f>
        <v>https://drive.google.com/file/d/1XjtqXT-IoD0p9S1OuQ5XCKtHrkeZFZVX/view?usp=drivesdk</v>
      </c>
      <c r="T60" s="28" t="str">
        <f>IFERROR(__xludf.DUMMYFUNCTION("""COMPUTED_VALUE"""),"https://drive.google.com/file/d/1ZXiLWSSCkPHyigxIDxoPqhg-DF1m-XNT/view?usp=drivesdk")</f>
        <v>https://drive.google.com/file/d/1ZXiLWSSCkPHyigxIDxoPqhg-DF1m-XNT/view?usp=drivesdk</v>
      </c>
      <c r="U60" s="4"/>
      <c r="V60" s="4"/>
      <c r="W60" s="4"/>
      <c r="X60" s="4"/>
      <c r="Y60" s="4"/>
      <c r="Z60" s="4"/>
    </row>
    <row r="61">
      <c r="A61" s="4" t="str">
        <f>IFERROR(__xludf.DUMMYFUNCTION("""COMPUTED_VALUE"""),"H9392OF")</f>
        <v>H9392OF</v>
      </c>
      <c r="B61" s="4" t="str">
        <f>IFERROR(__xludf.DUMMYFUNCTION("""COMPUTED_VALUE"""),"16 KL")</f>
        <v>16 KL</v>
      </c>
      <c r="C61" s="4" t="str">
        <f>IFERROR(__xludf.DUMMYFUNCTION("""COMPUTED_VALUE"""),"PT. ADHI BUANA PERSADA")</f>
        <v>PT. ADHI BUANA PERSADA</v>
      </c>
      <c r="D61" s="4" t="str">
        <f>IFERROR(__xludf.DUMMYFUNCTION("""COMPUTED_VALUE"""),"1Hq3Hx0sBPwGHKT8kRCfEqgSf4trgTF4E")</f>
        <v>1Hq3Hx0sBPwGHKT8kRCfEqgSf4trgTF4E</v>
      </c>
      <c r="E61" s="17">
        <f>IFERROR(__xludf.DUMMYFUNCTION("""COMPUTED_VALUE"""),47071.0)</f>
        <v>47071</v>
      </c>
      <c r="F61" s="17">
        <f>IFERROR(__xludf.DUMMYFUNCTION("""COMPUTED_VALUE"""),46340.0)</f>
        <v>46340</v>
      </c>
      <c r="G61" s="17">
        <f>IFERROR(__xludf.DUMMYFUNCTION("""COMPUTED_VALUE"""),46333.0)</f>
        <v>46333</v>
      </c>
      <c r="H61" s="17"/>
      <c r="I61" s="17">
        <f>IFERROR(__xludf.DUMMYFUNCTION("""COMPUTED_VALUE"""),46333.0)</f>
        <v>46333</v>
      </c>
      <c r="J61" s="17">
        <f>IFERROR(__xludf.DUMMYFUNCTION("""COMPUTED_VALUE"""),46711.0)</f>
        <v>46711</v>
      </c>
      <c r="K61" s="17">
        <f>IFERROR(__xludf.DUMMYFUNCTION("""COMPUTED_VALUE"""),46340.0)</f>
        <v>46340</v>
      </c>
      <c r="L61" s="17">
        <f>IFERROR(__xludf.DUMMYFUNCTION("""COMPUTED_VALUE"""),46388.0)</f>
        <v>46388</v>
      </c>
      <c r="M61" s="4" t="str">
        <f>IFERROR(__xludf.DUMMYFUNCTION("""COMPUTED_VALUE"""),"04260000000011 / 000016")</f>
        <v>04260000000011 / 000016</v>
      </c>
      <c r="N61" s="28" t="str">
        <f>IFERROR(__xludf.DUMMYFUNCTION("""COMPUTED_VALUE"""),"https://drive.google.com/open?id=1IUg-R94Qb8dEJo1PTn_W9Y-7RiPumFwu")</f>
        <v>https://drive.google.com/open?id=1IUg-R94Qb8dEJo1PTn_W9Y-7RiPumFwu</v>
      </c>
      <c r="O61" s="28" t="str">
        <f>IFERROR(__xludf.DUMMYFUNCTION("""COMPUTED_VALUE"""),"https://drive.google.com/open?id=1IUg-R94Qb8dEJo1PTn_W9Y-7RiPumFwu")</f>
        <v>https://drive.google.com/open?id=1IUg-R94Qb8dEJo1PTn_W9Y-7RiPumFwu</v>
      </c>
      <c r="P61" s="28" t="str">
        <f>IFERROR(__xludf.DUMMYFUNCTION("""COMPUTED_VALUE"""),"https://drive.google.com/open?id=170Q5FyygOLworlJrrKGax7oy6oEdOc2D")</f>
        <v>https://drive.google.com/open?id=170Q5FyygOLworlJrrKGax7oy6oEdOc2D</v>
      </c>
      <c r="Q61" s="4"/>
      <c r="R61" s="28" t="str">
        <f>IFERROR(__xludf.DUMMYFUNCTION("""COMPUTED_VALUE"""),"https://drive.google.com/open?id=1Gx-5OjGB3m4E0ny6Lj7ief-NCGSTjJ7x")</f>
        <v>https://drive.google.com/open?id=1Gx-5OjGB3m4E0ny6Lj7ief-NCGSTjJ7x</v>
      </c>
      <c r="S61" s="28" t="str">
        <f>IFERROR(__xludf.DUMMYFUNCTION("""COMPUTED_VALUE"""),"https://drive.google.com/file/d/1nQ7MBUndSrYfxjB-O8Eiwaa9e4p4_ov0/view?usp=drivesdk")</f>
        <v>https://drive.google.com/file/d/1nQ7MBUndSrYfxjB-O8Eiwaa9e4p4_ov0/view?usp=drivesdk</v>
      </c>
      <c r="T61" s="28" t="str">
        <f>IFERROR(__xludf.DUMMYFUNCTION("""COMPUTED_VALUE"""),"https://drive.google.com/file/d/1vRBoIyXlTR9iB3I4AgjO9j-O4S3tyiqi/view?usp=drivesdk")</f>
        <v>https://drive.google.com/file/d/1vRBoIyXlTR9iB3I4AgjO9j-O4S3tyiqi/view?usp=drivesdk</v>
      </c>
      <c r="U61" s="4"/>
      <c r="V61" s="4"/>
      <c r="W61" s="4"/>
      <c r="X61" s="4"/>
      <c r="Y61" s="4"/>
      <c r="Z61" s="4"/>
    </row>
    <row r="62">
      <c r="A62" s="4" t="str">
        <f>IFERROR(__xludf.DUMMYFUNCTION("""COMPUTED_VALUE"""),"E9225YC")</f>
        <v>E9225YC</v>
      </c>
      <c r="B62" s="4" t="str">
        <f>IFERROR(__xludf.DUMMYFUNCTION("""COMPUTED_VALUE"""),"24 KL")</f>
        <v>24 KL</v>
      </c>
      <c r="C62" s="4" t="str">
        <f>IFERROR(__xludf.DUMMYFUNCTION("""COMPUTED_VALUE"""),"PT. PUSPITA CIPTA")</f>
        <v>PT. PUSPITA CIPTA</v>
      </c>
      <c r="D62" s="4" t="str">
        <f>IFERROR(__xludf.DUMMYFUNCTION("""COMPUTED_VALUE"""),"1G66YQQ4ZAkFoHJqo1nfHAGJ8vw66CP8q")</f>
        <v>1G66YQQ4ZAkFoHJqo1nfHAGJ8vw66CP8q</v>
      </c>
      <c r="E62" s="17">
        <f>IFERROR(__xludf.DUMMYFUNCTION("""COMPUTED_VALUE"""),46672.0)</f>
        <v>46672</v>
      </c>
      <c r="F62" s="17">
        <f>IFERROR(__xludf.DUMMYFUNCTION("""COMPUTED_VALUE"""),46307.0)</f>
        <v>46307</v>
      </c>
      <c r="G62" s="17">
        <f>IFERROR(__xludf.DUMMYFUNCTION("""COMPUTED_VALUE"""),46315.0)</f>
        <v>46315</v>
      </c>
      <c r="H62" s="17">
        <f>IFERROR(__xludf.DUMMYFUNCTION("""COMPUTED_VALUE"""),46315.0)</f>
        <v>46315</v>
      </c>
      <c r="I62" s="17">
        <f>IFERROR(__xludf.DUMMYFUNCTION("""COMPUTED_VALUE"""),46315.0)</f>
        <v>46315</v>
      </c>
      <c r="J62" s="17">
        <f>IFERROR(__xludf.DUMMYFUNCTION("""COMPUTED_VALUE"""),46437.0)</f>
        <v>46437</v>
      </c>
      <c r="K62" s="17">
        <f>IFERROR(__xludf.DUMMYFUNCTION("""COMPUTED_VALUE"""),46340.0)</f>
        <v>46340</v>
      </c>
      <c r="L62" s="17">
        <f>IFERROR(__xludf.DUMMYFUNCTION("""COMPUTED_VALUE"""),46388.0)</f>
        <v>46388</v>
      </c>
      <c r="M62" s="4" t="str">
        <f>IFERROR(__xludf.DUMMYFUNCTION("""COMPUTED_VALUE"""),"04260000000011 / 000251")</f>
        <v>04260000000011 / 000251</v>
      </c>
      <c r="N62" s="28" t="str">
        <f>IFERROR(__xludf.DUMMYFUNCTION("""COMPUTED_VALUE"""),"https://drive.google.com/open?id=1hc-kv5TPusfMnuLD8hsSWw7daEFa3KCz")</f>
        <v>https://drive.google.com/open?id=1hc-kv5TPusfMnuLD8hsSWw7daEFa3KCz</v>
      </c>
      <c r="O62" s="28" t="str">
        <f>IFERROR(__xludf.DUMMYFUNCTION("""COMPUTED_VALUE"""),"https://drive.google.com/file/d/142kVDFR6wS6oR-xC-6ipagXg2sorAg59/view?usp=drivesdk")</f>
        <v>https://drive.google.com/file/d/142kVDFR6wS6oR-xC-6ipagXg2sorAg59/view?usp=drivesdk</v>
      </c>
      <c r="P62" s="28" t="str">
        <f>IFERROR(__xludf.DUMMYFUNCTION("""COMPUTED_VALUE"""),"https://drive.google.com/open?id=1eswS1_4_hcixMhssb2fXrnjk7ieIdDk6")</f>
        <v>https://drive.google.com/open?id=1eswS1_4_hcixMhssb2fXrnjk7ieIdDk6</v>
      </c>
      <c r="Q62" s="28" t="str">
        <f>IFERROR(__xludf.DUMMYFUNCTION("""COMPUTED_VALUE"""),"https://drive.google.com/open?id=1wMtASCh7gFA9zTiaIOYamQI4TbZITZb-")</f>
        <v>https://drive.google.com/open?id=1wMtASCh7gFA9zTiaIOYamQI4TbZITZb-</v>
      </c>
      <c r="R62" s="28" t="str">
        <f>IFERROR(__xludf.DUMMYFUNCTION("""COMPUTED_VALUE"""),"https://drive.google.com/open?id=13mEwSGWpu8iuRPVmL2r9YcJjdYLRAo_F")</f>
        <v>https://drive.google.com/open?id=13mEwSGWpu8iuRPVmL2r9YcJjdYLRAo_F</v>
      </c>
      <c r="S62" s="28" t="str">
        <f>IFERROR(__xludf.DUMMYFUNCTION("""COMPUTED_VALUE"""),"https://drive.google.com/file/d/1YYeVg404m9NPE2tDT87EwLBXMzyGBT3A/view?usp=drivesdk")</f>
        <v>https://drive.google.com/file/d/1YYeVg404m9NPE2tDT87EwLBXMzyGBT3A/view?usp=drivesdk</v>
      </c>
      <c r="T62" s="28" t="str">
        <f>IFERROR(__xludf.DUMMYFUNCTION("""COMPUTED_VALUE"""),"https://drive.google.com/file/d/1tTa_bLqyCNdWb6YOVdBWwkEz6CxOKHMR/view?usp=drivesdk")</f>
        <v>https://drive.google.com/file/d/1tTa_bLqyCNdWb6YOVdBWwkEz6CxOKHMR/view?usp=drivesdk</v>
      </c>
      <c r="U62" s="4"/>
      <c r="V62" s="4"/>
      <c r="W62" s="4"/>
      <c r="X62" s="4"/>
      <c r="Y62" s="4"/>
      <c r="Z62" s="4"/>
    </row>
    <row r="63">
      <c r="A63" s="4" t="str">
        <f>IFERROR(__xludf.DUMMYFUNCTION("""COMPUTED_VALUE"""),"E9412YC")</f>
        <v>E9412YC</v>
      </c>
      <c r="B63" s="4" t="str">
        <f>IFERROR(__xludf.DUMMYFUNCTION("""COMPUTED_VALUE"""),"24 KL")</f>
        <v>24 KL</v>
      </c>
      <c r="C63" s="4" t="str">
        <f>IFERROR(__xludf.DUMMYFUNCTION("""COMPUTED_VALUE"""),"PT. PUSPITA CIPTA")</f>
        <v>PT. PUSPITA CIPTA</v>
      </c>
      <c r="D63" s="4" t="str">
        <f>IFERROR(__xludf.DUMMYFUNCTION("""COMPUTED_VALUE"""),"1K-suwWfMIUhQdt6RuyVhSM8BO5oVn8OY")</f>
        <v>1K-suwWfMIUhQdt6RuyVhSM8BO5oVn8OY</v>
      </c>
      <c r="E63" s="17">
        <f>IFERROR(__xludf.DUMMYFUNCTION("""COMPUTED_VALUE"""),47429.0)</f>
        <v>47429</v>
      </c>
      <c r="F63" s="17">
        <f>IFERROR(__xludf.DUMMYFUNCTION("""COMPUTED_VALUE"""),46333.0)</f>
        <v>46333</v>
      </c>
      <c r="G63" s="17">
        <f>IFERROR(__xludf.DUMMYFUNCTION("""COMPUTED_VALUE"""),46331.0)</f>
        <v>46331</v>
      </c>
      <c r="H63" s="17">
        <f>IFERROR(__xludf.DUMMYFUNCTION("""COMPUTED_VALUE"""),46331.0)</f>
        <v>46331</v>
      </c>
      <c r="I63" s="17">
        <f>IFERROR(__xludf.DUMMYFUNCTION("""COMPUTED_VALUE"""),46331.0)</f>
        <v>46331</v>
      </c>
      <c r="J63" s="17">
        <f>IFERROR(__xludf.DUMMYFUNCTION("""COMPUTED_VALUE"""),46351.0)</f>
        <v>46351</v>
      </c>
      <c r="K63" s="17">
        <f>IFERROR(__xludf.DUMMYFUNCTION("""COMPUTED_VALUE"""),46340.0)</f>
        <v>46340</v>
      </c>
      <c r="L63" s="17">
        <f>IFERROR(__xludf.DUMMYFUNCTION("""COMPUTED_VALUE"""),46388.0)</f>
        <v>46388</v>
      </c>
      <c r="M63" s="4" t="str">
        <f>IFERROR(__xludf.DUMMYFUNCTION("""COMPUTED_VALUE"""),"04260000000011 / 000252")</f>
        <v>04260000000011 / 000252</v>
      </c>
      <c r="N63" s="28" t="str">
        <f>IFERROR(__xludf.DUMMYFUNCTION("""COMPUTED_VALUE"""),"https://drive.google.com/open?id=1orWH6DV7P_60t1N0hy4Zo88Qo0QQOVHm")</f>
        <v>https://drive.google.com/open?id=1orWH6DV7P_60t1N0hy4Zo88Qo0QQOVHm</v>
      </c>
      <c r="O63" s="28" t="str">
        <f>IFERROR(__xludf.DUMMYFUNCTION("""COMPUTED_VALUE"""),"https://drive.google.com/open?id=1orWH6DV7P_60t1N0hy4Zo88Qo0QQOVHm")</f>
        <v>https://drive.google.com/open?id=1orWH6DV7P_60t1N0hy4Zo88Qo0QQOVHm</v>
      </c>
      <c r="P63" s="28" t="str">
        <f>IFERROR(__xludf.DUMMYFUNCTION("""COMPUTED_VALUE"""),"https://drive.google.com/open?id=1s1mPCBzUJQtNt8LEcm3XPRxk5QW-CKqp")</f>
        <v>https://drive.google.com/open?id=1s1mPCBzUJQtNt8LEcm3XPRxk5QW-CKqp</v>
      </c>
      <c r="Q63" s="28" t="str">
        <f>IFERROR(__xludf.DUMMYFUNCTION("""COMPUTED_VALUE"""),"https://drive.google.com/open?id=1pyA4HMWt-Kr9D-0tgF5Z-BXVPr0ORbtY")</f>
        <v>https://drive.google.com/open?id=1pyA4HMWt-Kr9D-0tgF5Z-BXVPr0ORbtY</v>
      </c>
      <c r="R63" s="28" t="str">
        <f>IFERROR(__xludf.DUMMYFUNCTION("""COMPUTED_VALUE"""),"https://drive.google.com/open?id=1DibU20GjXoY2Lr0ECs9s9AAVP9A5RjJ3")</f>
        <v>https://drive.google.com/open?id=1DibU20GjXoY2Lr0ECs9s9AAVP9A5RjJ3</v>
      </c>
      <c r="S63" s="28" t="str">
        <f>IFERROR(__xludf.DUMMYFUNCTION("""COMPUTED_VALUE"""),"https://drive.google.com/file/d/1TbHsjt0aW_S-NHLU04tnBVyGqSoKmYx5/view?usp=drivesdk")</f>
        <v>https://drive.google.com/file/d/1TbHsjt0aW_S-NHLU04tnBVyGqSoKmYx5/view?usp=drivesdk</v>
      </c>
      <c r="T63" s="28" t="str">
        <f>IFERROR(__xludf.DUMMYFUNCTION("""COMPUTED_VALUE"""),"https://drive.google.com/file/d/1HFiJBKJOfCow1GFZMpwfaxv0vp0zlJAm/view?usp=drivesdk")</f>
        <v>https://drive.google.com/file/d/1HFiJBKJOfCow1GFZMpwfaxv0vp0zlJAm/view?usp=drivesdk</v>
      </c>
      <c r="U63" s="4"/>
      <c r="V63" s="4"/>
      <c r="W63" s="4"/>
      <c r="X63" s="4"/>
      <c r="Y63" s="4"/>
      <c r="Z63" s="4"/>
    </row>
    <row r="64">
      <c r="A64" s="4" t="str">
        <f>IFERROR(__xludf.DUMMYFUNCTION("""COMPUTED_VALUE"""),"E9445YC")</f>
        <v>E9445YC</v>
      </c>
      <c r="B64" s="4" t="str">
        <f>IFERROR(__xludf.DUMMYFUNCTION("""COMPUTED_VALUE"""),"24 KL")</f>
        <v>24 KL</v>
      </c>
      <c r="C64" s="4" t="str">
        <f>IFERROR(__xludf.DUMMYFUNCTION("""COMPUTED_VALUE"""),"PT. PUSPITA CIPTA")</f>
        <v>PT. PUSPITA CIPTA</v>
      </c>
      <c r="D64" s="4" t="str">
        <f>IFERROR(__xludf.DUMMYFUNCTION("""COMPUTED_VALUE"""),"1F05noWurb6Xc0MCr7nuBv4dPowQaqcIr")</f>
        <v>1F05noWurb6Xc0MCr7nuBv4dPowQaqcIr</v>
      </c>
      <c r="E64" s="17">
        <f>IFERROR(__xludf.DUMMYFUNCTION("""COMPUTED_VALUE"""),47475.0)</f>
        <v>47475</v>
      </c>
      <c r="F64" s="17">
        <f>IFERROR(__xludf.DUMMYFUNCTION("""COMPUTED_VALUE"""),46379.0)</f>
        <v>46379</v>
      </c>
      <c r="G64" s="17">
        <f>IFERROR(__xludf.DUMMYFUNCTION("""COMPUTED_VALUE"""),46332.0)</f>
        <v>46332</v>
      </c>
      <c r="H64" s="17">
        <f>IFERROR(__xludf.DUMMYFUNCTION("""COMPUTED_VALUE"""),46332.0)</f>
        <v>46332</v>
      </c>
      <c r="I64" s="17">
        <f>IFERROR(__xludf.DUMMYFUNCTION("""COMPUTED_VALUE"""),46332.0)</f>
        <v>46332</v>
      </c>
      <c r="J64" s="17">
        <f>IFERROR(__xludf.DUMMYFUNCTION("""COMPUTED_VALUE"""),46452.0)</f>
        <v>46452</v>
      </c>
      <c r="K64" s="17">
        <f>IFERROR(__xludf.DUMMYFUNCTION("""COMPUTED_VALUE"""),46340.0)</f>
        <v>46340</v>
      </c>
      <c r="L64" s="17"/>
      <c r="M64" s="4"/>
      <c r="N64" s="28" t="str">
        <f>IFERROR(__xludf.DUMMYFUNCTION("""COMPUTED_VALUE"""),"https://drive.google.com/open?id=1jZhmFDbDjZhiRMrnaavYjlgEh_4gd97w")</f>
        <v>https://drive.google.com/open?id=1jZhmFDbDjZhiRMrnaavYjlgEh_4gd97w</v>
      </c>
      <c r="O64" s="28" t="str">
        <f>IFERROR(__xludf.DUMMYFUNCTION("""COMPUTED_VALUE"""),"https://drive.google.com/open?id=1jZhmFDbDjZhiRMrnaavYjlgEh_4gd97w")</f>
        <v>https://drive.google.com/open?id=1jZhmFDbDjZhiRMrnaavYjlgEh_4gd97w</v>
      </c>
      <c r="P64" s="28" t="str">
        <f>IFERROR(__xludf.DUMMYFUNCTION("""COMPUTED_VALUE"""),"https://drive.google.com/open?id=1gihAW_XrlmkiE2e__loUHR6Th8f5cANa")</f>
        <v>https://drive.google.com/open?id=1gihAW_XrlmkiE2e__loUHR6Th8f5cANa</v>
      </c>
      <c r="Q64" s="28" t="str">
        <f>IFERROR(__xludf.DUMMYFUNCTION("""COMPUTED_VALUE"""),"https://drive.google.com/open?id=12WvI_RoMynDTkr5D6sF3pAHQ6XMNSjrn")</f>
        <v>https://drive.google.com/open?id=12WvI_RoMynDTkr5D6sF3pAHQ6XMNSjrn</v>
      </c>
      <c r="R64" s="28" t="str">
        <f>IFERROR(__xludf.DUMMYFUNCTION("""COMPUTED_VALUE"""),"https://drive.google.com/open?id=1_sVSOx3Ce93i6LzFqEByFTDSgg68Xi81")</f>
        <v>https://drive.google.com/open?id=1_sVSOx3Ce93i6LzFqEByFTDSgg68Xi81</v>
      </c>
      <c r="S64" s="28" t="str">
        <f>IFERROR(__xludf.DUMMYFUNCTION("""COMPUTED_VALUE"""),"https://drive.google.com/file/d/1IkYKMwSYm7LyruPfqyxSciZysVIeM0HS/view?usp=drivesdk")</f>
        <v>https://drive.google.com/file/d/1IkYKMwSYm7LyruPfqyxSciZysVIeM0HS/view?usp=drivesdk</v>
      </c>
      <c r="T64" s="28" t="str">
        <f>IFERROR(__xludf.DUMMYFUNCTION("""COMPUTED_VALUE"""),"https://drive.google.com/file/d/1XsHHjOi-f48nnjVTa5BMqHGHsWeVmPcm/view?usp=drivesdk")</f>
        <v>https://drive.google.com/file/d/1XsHHjOi-f48nnjVTa5BMqHGHsWeVmPcm/view?usp=drivesdk</v>
      </c>
      <c r="U64" s="4"/>
      <c r="V64" s="4"/>
      <c r="W64" s="28" t="str">
        <f>IFERROR(__xludf.DUMMYFUNCTION("""COMPUTED_VALUE"""),"https://drive.google.com/file/d/1FNOEPLWTJ_uhgD12KhP9etcO6cLz3xTq/view?usp=drivesdk")</f>
        <v>https://drive.google.com/file/d/1FNOEPLWTJ_uhgD12KhP9etcO6cLz3xTq/view?usp=drivesdk</v>
      </c>
      <c r="X64" s="28" t="str">
        <f>IFERROR(__xludf.DUMMYFUNCTION("""COMPUTED_VALUE"""),"https://drive.google.com/file/d/1gP-vEFRno62ONepz-2dLVYnMxkZyQVzC/view?usp=drivesdk")</f>
        <v>https://drive.google.com/file/d/1gP-vEFRno62ONepz-2dLVYnMxkZyQVzC/view?usp=drivesdk</v>
      </c>
      <c r="Y64" s="28" t="str">
        <f>IFERROR(__xludf.DUMMYFUNCTION("""COMPUTED_VALUE"""),"https://drive.google.com/file/d/1G3gXrJQTikLi1f2F3vmW_TqADsE4GwPR/view?usp=drivesdk")</f>
        <v>https://drive.google.com/file/d/1G3gXrJQTikLi1f2F3vmW_TqADsE4GwPR/view?usp=drivesdk</v>
      </c>
      <c r="Z64" s="28" t="str">
        <f>IFERROR(__xludf.DUMMYFUNCTION("""COMPUTED_VALUE"""),"https://drive.google.com/file/d/1yA0zMBjspWdlB7smLYMHMi9WV-GcbBXt/view?usp=drivesdk")</f>
        <v>https://drive.google.com/file/d/1yA0zMBjspWdlB7smLYMHMi9WV-GcbBXt/view?usp=drivesdk</v>
      </c>
    </row>
    <row r="65">
      <c r="A65" s="4" t="str">
        <f>IFERROR(__xludf.DUMMYFUNCTION("""COMPUTED_VALUE"""),"E9453YC")</f>
        <v>E9453YC</v>
      </c>
      <c r="B65" s="4" t="str">
        <f>IFERROR(__xludf.DUMMYFUNCTION("""COMPUTED_VALUE"""),"24 KL")</f>
        <v>24 KL</v>
      </c>
      <c r="C65" s="4" t="str">
        <f>IFERROR(__xludf.DUMMYFUNCTION("""COMPUTED_VALUE"""),"PT. PUSPITA CIPTA")</f>
        <v>PT. PUSPITA CIPTA</v>
      </c>
      <c r="D65" s="4" t="str">
        <f>IFERROR(__xludf.DUMMYFUNCTION("""COMPUTED_VALUE"""),"1lRPDoUsA22CEosX0q772m3jvkJha9NN-")</f>
        <v>1lRPDoUsA22CEosX0q772m3jvkJha9NN-</v>
      </c>
      <c r="E65" s="17">
        <f>IFERROR(__xludf.DUMMYFUNCTION("""COMPUTED_VALUE"""),47475.0)</f>
        <v>47475</v>
      </c>
      <c r="F65" s="17">
        <f>IFERROR(__xludf.DUMMYFUNCTION("""COMPUTED_VALUE"""),46379.0)</f>
        <v>46379</v>
      </c>
      <c r="G65" s="17">
        <f>IFERROR(__xludf.DUMMYFUNCTION("""COMPUTED_VALUE"""),46361.0)</f>
        <v>46361</v>
      </c>
      <c r="H65" s="17">
        <f>IFERROR(__xludf.DUMMYFUNCTION("""COMPUTED_VALUE"""),46361.0)</f>
        <v>46361</v>
      </c>
      <c r="I65" s="17">
        <f>IFERROR(__xludf.DUMMYFUNCTION("""COMPUTED_VALUE"""),46361.0)</f>
        <v>46361</v>
      </c>
      <c r="J65" s="17">
        <f>IFERROR(__xludf.DUMMYFUNCTION("""COMPUTED_VALUE"""),46429.0)</f>
        <v>46429</v>
      </c>
      <c r="K65" s="17">
        <f>IFERROR(__xludf.DUMMYFUNCTION("""COMPUTED_VALUE"""),46340.0)</f>
        <v>46340</v>
      </c>
      <c r="L65" s="17">
        <f>IFERROR(__xludf.DUMMYFUNCTION("""COMPUTED_VALUE"""),46388.0)</f>
        <v>46388</v>
      </c>
      <c r="M65" s="4" t="str">
        <f>IFERROR(__xludf.DUMMYFUNCTION("""COMPUTED_VALUE"""),"04260000000011 / 000253")</f>
        <v>04260000000011 / 000253</v>
      </c>
      <c r="N65" s="28" t="str">
        <f>IFERROR(__xludf.DUMMYFUNCTION("""COMPUTED_VALUE"""),"https://drive.google.com/open?id=1NigQ8yM13mERE3MetXxjl4DUtWN_KrVM")</f>
        <v>https://drive.google.com/open?id=1NigQ8yM13mERE3MetXxjl4DUtWN_KrVM</v>
      </c>
      <c r="O65" s="28" t="str">
        <f>IFERROR(__xludf.DUMMYFUNCTION("""COMPUTED_VALUE"""),"https://drive.google.com/open?id=1NigQ8yM13mERE3MetXxjl4DUtWN_KrVM")</f>
        <v>https://drive.google.com/open?id=1NigQ8yM13mERE3MetXxjl4DUtWN_KrVM</v>
      </c>
      <c r="P65" s="28" t="str">
        <f>IFERROR(__xludf.DUMMYFUNCTION("""COMPUTED_VALUE"""),"https://drive.google.com/open?id=1CRN2FPUk6790_plHemLewxtn955icKbv")</f>
        <v>https://drive.google.com/open?id=1CRN2FPUk6790_plHemLewxtn955icKbv</v>
      </c>
      <c r="Q65" s="28" t="str">
        <f>IFERROR(__xludf.DUMMYFUNCTION("""COMPUTED_VALUE"""),"https://drive.google.com/file/d/1EKMhFVTcPnDIRGKX5hfr6Fd4_WwDLfiS/view?usp=drivesdk")</f>
        <v>https://drive.google.com/file/d/1EKMhFVTcPnDIRGKX5hfr6Fd4_WwDLfiS/view?usp=drivesdk</v>
      </c>
      <c r="R65" s="28" t="str">
        <f>IFERROR(__xludf.DUMMYFUNCTION("""COMPUTED_VALUE"""),"https://drive.google.com/file/d/1VgMc9g2SYSAcMtYtDeK4RLvdmEc6VoPB/view?usp=drivesdk")</f>
        <v>https://drive.google.com/file/d/1VgMc9g2SYSAcMtYtDeK4RLvdmEc6VoPB/view?usp=drivesdk</v>
      </c>
      <c r="S65" s="28" t="str">
        <f>IFERROR(__xludf.DUMMYFUNCTION("""COMPUTED_VALUE"""),"https://drive.google.com/file/d/1dwTwZQk6HokO7OrTmYqA-D38rZ9bRINV/view?usp=drivesdk")</f>
        <v>https://drive.google.com/file/d/1dwTwZQk6HokO7OrTmYqA-D38rZ9bRINV/view?usp=drivesdk</v>
      </c>
      <c r="T65" s="28" t="str">
        <f>IFERROR(__xludf.DUMMYFUNCTION("""COMPUTED_VALUE"""),"https://drive.google.com/file/d/1bhIGadbcf5VviaiP3Io6DshYlWFm437N/view?usp=drivesdk")</f>
        <v>https://drive.google.com/file/d/1bhIGadbcf5VviaiP3Io6DshYlWFm437N/view?usp=drivesdk</v>
      </c>
      <c r="U65" s="4"/>
      <c r="V65" s="4"/>
      <c r="W65" s="28" t="str">
        <f>IFERROR(__xludf.DUMMYFUNCTION("""COMPUTED_VALUE"""),"https://drive.google.com/file/d/19bZTJ_tqUEIhtpqyoKVkqoQlkaLRPkYT/view?usp=drivesdk")</f>
        <v>https://drive.google.com/file/d/19bZTJ_tqUEIhtpqyoKVkqoQlkaLRPkYT/view?usp=drivesdk</v>
      </c>
      <c r="X65" s="28" t="str">
        <f>IFERROR(__xludf.DUMMYFUNCTION("""COMPUTED_VALUE"""),"https://drive.google.com/file/d/1VmYrusy9N2ebAPAoYmKsVDzNI_53OrYY/view?usp=drivesdk")</f>
        <v>https://drive.google.com/file/d/1VmYrusy9N2ebAPAoYmKsVDzNI_53OrYY/view?usp=drivesdk</v>
      </c>
      <c r="Y65" s="28" t="str">
        <f>IFERROR(__xludf.DUMMYFUNCTION("""COMPUTED_VALUE"""),"https://drive.google.com/file/d/1emwgV4k2K8VyustFOqWGw2j8cuBQFN2M/view?usp=drivesdk")</f>
        <v>https://drive.google.com/file/d/1emwgV4k2K8VyustFOqWGw2j8cuBQFN2M/view?usp=drivesdk</v>
      </c>
      <c r="Z65" s="28" t="str">
        <f>IFERROR(__xludf.DUMMYFUNCTION("""COMPUTED_VALUE"""),"https://drive.google.com/file/d/1DCACLNLA7h2b9WdPlFYddKrRNX9DvkkC/view?usp=drivesdk")</f>
        <v>https://drive.google.com/file/d/1DCACLNLA7h2b9WdPlFYddKrRNX9DvkkC/view?usp=drivesdk</v>
      </c>
    </row>
    <row r="66">
      <c r="A66" s="4" t="str">
        <f>IFERROR(__xludf.DUMMYFUNCTION("""COMPUTED_VALUE"""),"B9022SFV")</f>
        <v>B9022SFV</v>
      </c>
      <c r="B66" s="4" t="str">
        <f>IFERROR(__xludf.DUMMYFUNCTION("""COMPUTED_VALUE"""),"16 KL")</f>
        <v>16 KL</v>
      </c>
      <c r="C66" s="4" t="str">
        <f>IFERROR(__xludf.DUMMYFUNCTION("""COMPUTED_VALUE"""),"PT. PERTAMINA PATRA NIAGA")</f>
        <v>PT. PERTAMINA PATRA NIAGA</v>
      </c>
      <c r="D66" s="4" t="str">
        <f>IFERROR(__xludf.DUMMYFUNCTION("""COMPUTED_VALUE"""),"1RkE9ufsBSSx-Ay6FHy-g2jRP_9_7Ds34")</f>
        <v>1RkE9ufsBSSx-Ay6FHy-g2jRP_9_7Ds34</v>
      </c>
      <c r="E66" s="17">
        <f>IFERROR(__xludf.DUMMYFUNCTION("""COMPUTED_VALUE"""),46831.0)</f>
        <v>46831</v>
      </c>
      <c r="F66" s="17">
        <f>IFERROR(__xludf.DUMMYFUNCTION("""COMPUTED_VALUE"""),46465.0)</f>
        <v>46465</v>
      </c>
      <c r="G66" s="17">
        <f>IFERROR(__xludf.DUMMYFUNCTION("""COMPUTED_VALUE"""),46338.0)</f>
        <v>46338</v>
      </c>
      <c r="H66" s="17"/>
      <c r="I66" s="17">
        <f>IFERROR(__xludf.DUMMYFUNCTION("""COMPUTED_VALUE"""),46338.0)</f>
        <v>46338</v>
      </c>
      <c r="J66" s="17">
        <f>IFERROR(__xludf.DUMMYFUNCTION("""COMPUTED_VALUE"""),46436.0)</f>
        <v>46436</v>
      </c>
      <c r="K66" s="17">
        <f>IFERROR(__xludf.DUMMYFUNCTION("""COMPUTED_VALUE"""),46360.0)</f>
        <v>46360</v>
      </c>
      <c r="L66" s="17"/>
      <c r="M66" s="4"/>
      <c r="N66" s="28" t="str">
        <f>IFERROR(__xludf.DUMMYFUNCTION("""COMPUTED_VALUE"""),"https://drive.google.com/open?id=1OnrMiHgbIY3oEAbsfBqhm_IpgH6D_-r4")</f>
        <v>https://drive.google.com/open?id=1OnrMiHgbIY3oEAbsfBqhm_IpgH6D_-r4</v>
      </c>
      <c r="O66" s="28" t="str">
        <f>IFERROR(__xludf.DUMMYFUNCTION("""COMPUTED_VALUE"""),"https://drive.google.com/open?id=1OnrMiHgbIY3oEAbsfBqhm_IpgH6D_-r4")</f>
        <v>https://drive.google.com/open?id=1OnrMiHgbIY3oEAbsfBqhm_IpgH6D_-r4</v>
      </c>
      <c r="P66" s="28" t="str">
        <f>IFERROR(__xludf.DUMMYFUNCTION("""COMPUTED_VALUE"""),"https://drive.google.com/open?id=1tVrAyt8CQQdo8gtm1lkKR6WxQuIUsVV3")</f>
        <v>https://drive.google.com/open?id=1tVrAyt8CQQdo8gtm1lkKR6WxQuIUsVV3</v>
      </c>
      <c r="Q66" s="4"/>
      <c r="R66" s="28" t="str">
        <f>IFERROR(__xludf.DUMMYFUNCTION("""COMPUTED_VALUE"""),"https://drive.google.com/open?id=1sAbfI-aExegwMmu0WPM2-dY9UBLLl72q")</f>
        <v>https://drive.google.com/open?id=1sAbfI-aExegwMmu0WPM2-dY9UBLLl72q</v>
      </c>
      <c r="S66" s="28" t="str">
        <f>IFERROR(__xludf.DUMMYFUNCTION("""COMPUTED_VALUE"""),"https://drive.google.com/file/d/1IDYA9UDk_dO0CSSwUJz1-OkFpWq8zlq4/view?usp=drivesdk")</f>
        <v>https://drive.google.com/file/d/1IDYA9UDk_dO0CSSwUJz1-OkFpWq8zlq4/view?usp=drivesdk</v>
      </c>
      <c r="T66" s="4"/>
      <c r="U66" s="4"/>
      <c r="V66" s="4"/>
      <c r="W66" s="4"/>
      <c r="X66" s="4"/>
      <c r="Y66" s="4"/>
      <c r="Z66" s="4"/>
    </row>
    <row r="67">
      <c r="A67" s="4" t="str">
        <f>IFERROR(__xludf.DUMMYFUNCTION("""COMPUTED_VALUE"""),"H9740OH")</f>
        <v>H9740OH</v>
      </c>
      <c r="B67" s="4" t="str">
        <f>IFERROR(__xludf.DUMMYFUNCTION("""COMPUTED_VALUE"""),"24 KL")</f>
        <v>24 KL</v>
      </c>
      <c r="C67" s="4" t="str">
        <f>IFERROR(__xludf.DUMMYFUNCTION("""COMPUTED_VALUE"""),"PT. ADHI BUANA PERSADA")</f>
        <v>PT. ADHI BUANA PERSADA</v>
      </c>
      <c r="D67" s="4" t="str">
        <f>IFERROR(__xludf.DUMMYFUNCTION("""COMPUTED_VALUE"""),"1rcDjBoGqK1utIqvy-DgIrINiI28tZ-UL")</f>
        <v>1rcDjBoGqK1utIqvy-DgIrINiI28tZ-UL</v>
      </c>
      <c r="E67" s="17">
        <f>IFERROR(__xludf.DUMMYFUNCTION("""COMPUTED_VALUE"""),47958.0)</f>
        <v>47958</v>
      </c>
      <c r="F67" s="17">
        <f>IFERROR(__xludf.DUMMYFUNCTION("""COMPUTED_VALUE"""),46497.0)</f>
        <v>46497</v>
      </c>
      <c r="G67" s="17">
        <f>IFERROR(__xludf.DUMMYFUNCTION("""COMPUTED_VALUE"""),46319.0)</f>
        <v>46319</v>
      </c>
      <c r="H67" s="17">
        <f>IFERROR(__xludf.DUMMYFUNCTION("""COMPUTED_VALUE"""),46319.0)</f>
        <v>46319</v>
      </c>
      <c r="I67" s="17">
        <f>IFERROR(__xludf.DUMMYFUNCTION("""COMPUTED_VALUE"""),46501.0)</f>
        <v>46501</v>
      </c>
      <c r="J67" s="17">
        <f>IFERROR(__xludf.DUMMYFUNCTION("""COMPUTED_VALUE"""),46891.0)</f>
        <v>46891</v>
      </c>
      <c r="K67" s="17">
        <f>IFERROR(__xludf.DUMMYFUNCTION("""COMPUTED_VALUE"""),46358.0)</f>
        <v>46358</v>
      </c>
      <c r="L67" s="17">
        <f>IFERROR(__xludf.DUMMYFUNCTION("""COMPUTED_VALUE"""),46476.0)</f>
        <v>46476</v>
      </c>
      <c r="M67" s="4" t="str">
        <f>IFERROR(__xludf.DUMMYFUNCTION("""COMPUTED_VALUE"""),"3260000003249")</f>
        <v>3260000003249</v>
      </c>
      <c r="N67" s="28" t="str">
        <f>IFERROR(__xludf.DUMMYFUNCTION("""COMPUTED_VALUE"""),"https://drive.google.com/file/d/14DyCxbPM_rCRgUU79t12rVg0VZnsIsyk/view?usp=drivesdk")</f>
        <v>https://drive.google.com/file/d/14DyCxbPM_rCRgUU79t12rVg0VZnsIsyk/view?usp=drivesdk</v>
      </c>
      <c r="O67" s="28" t="str">
        <f>IFERROR(__xludf.DUMMYFUNCTION("""COMPUTED_VALUE"""),"https://drive.google.com/file/d/1JRXR5ugxpJEe5tiPqpnAcudWuaiMIrGE/view?usp=drivesdk")</f>
        <v>https://drive.google.com/file/d/1JRXR5ugxpJEe5tiPqpnAcudWuaiMIrGE/view?usp=drivesdk</v>
      </c>
      <c r="P67" s="28" t="str">
        <f>IFERROR(__xludf.DUMMYFUNCTION("""COMPUTED_VALUE"""),"https://drive.google.com/file/d/13NN-gdEcvCBZCxYvyoOSXEvN3cVzB-jh/view?usp=drivesdk")</f>
        <v>https://drive.google.com/file/d/13NN-gdEcvCBZCxYvyoOSXEvN3cVzB-jh/view?usp=drivesdk</v>
      </c>
      <c r="Q67" s="28" t="str">
        <f>IFERROR(__xludf.DUMMYFUNCTION("""COMPUTED_VALUE"""),"https://drive.google.com/file/d/1BCqo9quYt_JhkmkEqJbYs_mpEwapMs6o/view?usp=drivesdk")</f>
        <v>https://drive.google.com/file/d/1BCqo9quYt_JhkmkEqJbYs_mpEwapMs6o/view?usp=drivesdk</v>
      </c>
      <c r="R67" s="28" t="str">
        <f>IFERROR(__xludf.DUMMYFUNCTION("""COMPUTED_VALUE"""),"https://drive.google.com/file/d/1iPS7GbGZkWFZxW7o5bd-cYx4g1ouREbP/view?usp=drivesdk")</f>
        <v>https://drive.google.com/file/d/1iPS7GbGZkWFZxW7o5bd-cYx4g1ouREbP/view?usp=drivesdk</v>
      </c>
      <c r="S67" s="28" t="str">
        <f>IFERROR(__xludf.DUMMYFUNCTION("""COMPUTED_VALUE"""),"https://drive.google.com/file/d/1v6kPbzBnxanRmo8GvCIWvMH-wdE-pOZd/view?usp=drivesdk")</f>
        <v>https://drive.google.com/file/d/1v6kPbzBnxanRmo8GvCIWvMH-wdE-pOZd/view?usp=drivesdk</v>
      </c>
      <c r="T67" s="28" t="str">
        <f>IFERROR(__xludf.DUMMYFUNCTION("""COMPUTED_VALUE"""),"https://drive.google.com/file/d/1WzoV41oD9xG-SZlUFSQsxjuEC1ixK9mb/view?usp=drivesdk")</f>
        <v>https://drive.google.com/file/d/1WzoV41oD9xG-SZlUFSQsxjuEC1ixK9mb/view?usp=drivesdk</v>
      </c>
      <c r="U67" s="28" t="str">
        <f>IFERROR(__xludf.DUMMYFUNCTION("""COMPUTED_VALUE"""),"https://drive.google.com/file/d/1QiWCYYEoHrjb5f-ulwrIruFBjc3ffXtY/view?usp=drivesdk")</f>
        <v>https://drive.google.com/file/d/1QiWCYYEoHrjb5f-ulwrIruFBjc3ffXtY/view?usp=drivesdk</v>
      </c>
      <c r="V67" s="4"/>
      <c r="W67" s="4"/>
      <c r="X67" s="4"/>
      <c r="Y67" s="4"/>
      <c r="Z67" s="4"/>
    </row>
    <row r="68">
      <c r="A68" s="4" t="str">
        <f>IFERROR(__xludf.DUMMYFUNCTION("""COMPUTED_VALUE"""),"E9450YC")</f>
        <v>E9450YC</v>
      </c>
      <c r="B68" s="4" t="str">
        <f>IFERROR(__xludf.DUMMYFUNCTION("""COMPUTED_VALUE"""),"24 KL")</f>
        <v>24 KL</v>
      </c>
      <c r="C68" s="4" t="str">
        <f>IFERROR(__xludf.DUMMYFUNCTION("""COMPUTED_VALUE"""),"PT. PUSPITA CIPTA")</f>
        <v>PT. PUSPITA CIPTA</v>
      </c>
      <c r="D68" s="4" t="str">
        <f>IFERROR(__xludf.DUMMYFUNCTION("""COMPUTED_VALUE"""),"1Aq6LQ2qwlLwOCsnYRVoON_t4K96g6ukz")</f>
        <v>1Aq6LQ2qwlLwOCsnYRVoON_t4K96g6ukz</v>
      </c>
      <c r="E68" s="17">
        <f>IFERROR(__xludf.DUMMYFUNCTION("""COMPUTED_VALUE"""),47475.0)</f>
        <v>47475</v>
      </c>
      <c r="F68" s="17">
        <f>IFERROR(__xludf.DUMMYFUNCTION("""COMPUTED_VALUE"""),46379.0)</f>
        <v>46379</v>
      </c>
      <c r="G68" s="17">
        <f>IFERROR(__xludf.DUMMYFUNCTION("""COMPUTED_VALUE"""),46361.0)</f>
        <v>46361</v>
      </c>
      <c r="H68" s="17">
        <f>IFERROR(__xludf.DUMMYFUNCTION("""COMPUTED_VALUE"""),46361.0)</f>
        <v>46361</v>
      </c>
      <c r="I68" s="17">
        <f>IFERROR(__xludf.DUMMYFUNCTION("""COMPUTED_VALUE"""),46361.0)</f>
        <v>46361</v>
      </c>
      <c r="J68" s="17">
        <f>IFERROR(__xludf.DUMMYFUNCTION("""COMPUTED_VALUE"""),46430.0)</f>
        <v>46430</v>
      </c>
      <c r="K68" s="17">
        <f>IFERROR(__xludf.DUMMYFUNCTION("""COMPUTED_VALUE"""),46340.0)</f>
        <v>46340</v>
      </c>
      <c r="L68" s="17">
        <f>IFERROR(__xludf.DUMMYFUNCTION("""COMPUTED_VALUE"""),46388.0)</f>
        <v>46388</v>
      </c>
      <c r="M68" s="4" t="str">
        <f>IFERROR(__xludf.DUMMYFUNCTION("""COMPUTED_VALUE"""),"04260000000011 / 000254")</f>
        <v>04260000000011 / 000254</v>
      </c>
      <c r="N68" s="28" t="str">
        <f>IFERROR(__xludf.DUMMYFUNCTION("""COMPUTED_VALUE"""),"https://drive.google.com/open?id=1lf94KvMmkRlh_Y_CoUpWpfA0Y3pdfozA")</f>
        <v>https://drive.google.com/open?id=1lf94KvMmkRlh_Y_CoUpWpfA0Y3pdfozA</v>
      </c>
      <c r="O68" s="28" t="str">
        <f>IFERROR(__xludf.DUMMYFUNCTION("""COMPUTED_VALUE"""),"https://drive.google.com/open?id=1lf94KvMmkRlh_Y_CoUpWpfA0Y3pdfozA")</f>
        <v>https://drive.google.com/open?id=1lf94KvMmkRlh_Y_CoUpWpfA0Y3pdfozA</v>
      </c>
      <c r="P68" s="28" t="str">
        <f>IFERROR(__xludf.DUMMYFUNCTION("""COMPUTED_VALUE"""),"https://drive.google.com/file/d/17O549kmpojZxRFHPQIiH0yWA6gD3QgXk/view?usp=drivesdk")</f>
        <v>https://drive.google.com/file/d/17O549kmpojZxRFHPQIiH0yWA6gD3QgXk/view?usp=drivesdk</v>
      </c>
      <c r="Q68" s="28" t="str">
        <f>IFERROR(__xludf.DUMMYFUNCTION("""COMPUTED_VALUE"""),"https://drive.google.com/file/d/1j9WbIFUCEzQWN19CLSiU9TvfFmgWDpJj/view?usp=drivesdk")</f>
        <v>https://drive.google.com/file/d/1j9WbIFUCEzQWN19CLSiU9TvfFmgWDpJj/view?usp=drivesdk</v>
      </c>
      <c r="R68" s="28" t="str">
        <f>IFERROR(__xludf.DUMMYFUNCTION("""COMPUTED_VALUE"""),"https://drive.google.com/file/d/1BKSA-hCHKe6CLMIGDhnL_SMo7-whmj7W/view?usp=drivesdk")</f>
        <v>https://drive.google.com/file/d/1BKSA-hCHKe6CLMIGDhnL_SMo7-whmj7W/view?usp=drivesdk</v>
      </c>
      <c r="S68" s="28" t="str">
        <f>IFERROR(__xludf.DUMMYFUNCTION("""COMPUTED_VALUE"""),"https://drive.google.com/file/d/1klznPAG7AYt71N2tB4KsiHiYYpsxak-d/view?usp=drivesdk")</f>
        <v>https://drive.google.com/file/d/1klznPAG7AYt71N2tB4KsiHiYYpsxak-d/view?usp=drivesdk</v>
      </c>
      <c r="T68" s="28" t="str">
        <f>IFERROR(__xludf.DUMMYFUNCTION("""COMPUTED_VALUE"""),"https://drive.google.com/file/d/1wzI7WRGCU-P342R8_lnocwyDxpYaBiHP/view?usp=drivesdk")</f>
        <v>https://drive.google.com/file/d/1wzI7WRGCU-P342R8_lnocwyDxpYaBiHP/view?usp=drivesdk</v>
      </c>
      <c r="U68" s="4"/>
      <c r="V68" s="4"/>
      <c r="W68" s="4"/>
      <c r="X68" s="4"/>
      <c r="Y68" s="4"/>
      <c r="Z68" s="4"/>
    </row>
    <row r="69">
      <c r="A69" s="4" t="str">
        <f>IFERROR(__xludf.DUMMYFUNCTION("""COMPUTED_VALUE"""),"E9536YC")</f>
        <v>E9536YC</v>
      </c>
      <c r="B69" s="4" t="str">
        <f>IFERROR(__xludf.DUMMYFUNCTION("""COMPUTED_VALUE"""),"24 KL")</f>
        <v>24 KL</v>
      </c>
      <c r="C69" s="4" t="str">
        <f>IFERROR(__xludf.DUMMYFUNCTION("""COMPUTED_VALUE"""),"PT. PUSPITA CIPTA")</f>
        <v>PT. PUSPITA CIPTA</v>
      </c>
      <c r="D69" s="4" t="str">
        <f>IFERROR(__xludf.DUMMYFUNCTION("""COMPUTED_VALUE"""),"1-2RejanqaIOWYBIg_DGT0O0TUP190YzC")</f>
        <v>1-2RejanqaIOWYBIg_DGT0O0TUP190YzC</v>
      </c>
      <c r="E69" s="17">
        <f>IFERROR(__xludf.DUMMYFUNCTION("""COMPUTED_VALUE"""),47779.0)</f>
        <v>47779</v>
      </c>
      <c r="F69" s="17">
        <f>IFERROR(__xludf.DUMMYFUNCTION("""COMPUTED_VALUE"""),46318.0)</f>
        <v>46318</v>
      </c>
      <c r="G69" s="17">
        <f>IFERROR(__xludf.DUMMYFUNCTION("""COMPUTED_VALUE"""),46337.0)</f>
        <v>46337</v>
      </c>
      <c r="H69" s="17">
        <f>IFERROR(__xludf.DUMMYFUNCTION("""COMPUTED_VALUE"""),46337.0)</f>
        <v>46337</v>
      </c>
      <c r="I69" s="17">
        <f>IFERROR(__xludf.DUMMYFUNCTION("""COMPUTED_VALUE"""),46337.0)</f>
        <v>46337</v>
      </c>
      <c r="J69" s="17">
        <f>IFERROR(__xludf.DUMMYFUNCTION("""COMPUTED_VALUE"""),46717.0)</f>
        <v>46717</v>
      </c>
      <c r="K69" s="17">
        <f>IFERROR(__xludf.DUMMYFUNCTION("""COMPUTED_VALUE"""),46373.0)</f>
        <v>46373</v>
      </c>
      <c r="L69" s="17">
        <f>IFERROR(__xludf.DUMMYFUNCTION("""COMPUTED_VALUE"""),46388.0)</f>
        <v>46388</v>
      </c>
      <c r="M69" s="4" t="str">
        <f>IFERROR(__xludf.DUMMYFUNCTION("""COMPUTED_VALUE"""),"04260000000011 / 000695")</f>
        <v>04260000000011 / 000695</v>
      </c>
      <c r="N69" s="28" t="str">
        <f>IFERROR(__xludf.DUMMYFUNCTION("""COMPUTED_VALUE"""),"https://drive.google.com/open?id=1RW3s5M-9s1nILd-N4JbRzyS-6B2GKZmu")</f>
        <v>https://drive.google.com/open?id=1RW3s5M-9s1nILd-N4JbRzyS-6B2GKZmu</v>
      </c>
      <c r="O69" s="28" t="str">
        <f>IFERROR(__xludf.DUMMYFUNCTION("""COMPUTED_VALUE"""),"https://drive.google.com/open?id=1RW3s5M-9s1nILd-N4JbRzyS-6B2GKZmu")</f>
        <v>https://drive.google.com/open?id=1RW3s5M-9s1nILd-N4JbRzyS-6B2GKZmu</v>
      </c>
      <c r="P69" s="28" t="str">
        <f>IFERROR(__xludf.DUMMYFUNCTION("""COMPUTED_VALUE"""),"https://drive.google.com/open?id=13_5jCitUDLJt5lpo_FD-xINpW3_-BZEq")</f>
        <v>https://drive.google.com/open?id=13_5jCitUDLJt5lpo_FD-xINpW3_-BZEq</v>
      </c>
      <c r="Q69" s="28" t="str">
        <f>IFERROR(__xludf.DUMMYFUNCTION("""COMPUTED_VALUE"""),"https://drive.google.com/open?id=1TMrFVDSqAOzQikKH9IHysOqnUP401Jgu")</f>
        <v>https://drive.google.com/open?id=1TMrFVDSqAOzQikKH9IHysOqnUP401Jgu</v>
      </c>
      <c r="R69" s="28" t="str">
        <f>IFERROR(__xludf.DUMMYFUNCTION("""COMPUTED_VALUE"""),"https://drive.google.com/open?id=12pxAFlGyyqR7fMVSGriGmMIBhsndvL9u")</f>
        <v>https://drive.google.com/open?id=12pxAFlGyyqR7fMVSGriGmMIBhsndvL9u</v>
      </c>
      <c r="S69" s="28" t="str">
        <f>IFERROR(__xludf.DUMMYFUNCTION("""COMPUTED_VALUE"""),"https://drive.google.com/file/d/1d4Y8KtZvDUThaX3UVmnVX1IpIE_pJCvV/view?usp=drivesdk")</f>
        <v>https://drive.google.com/file/d/1d4Y8KtZvDUThaX3UVmnVX1IpIE_pJCvV/view?usp=drivesdk</v>
      </c>
      <c r="T69" s="28" t="str">
        <f>IFERROR(__xludf.DUMMYFUNCTION("""COMPUTED_VALUE"""),"https://drive.google.com/file/d/1atQjc6AQGWRFLjTWGjY_AuFvqRBV1iZo/view?usp=drivesdk")</f>
        <v>https://drive.google.com/file/d/1atQjc6AQGWRFLjTWGjY_AuFvqRBV1iZo/view?usp=drivesdk</v>
      </c>
      <c r="U69" s="4"/>
      <c r="V69" s="4"/>
      <c r="W69" s="4"/>
      <c r="X69" s="4"/>
      <c r="Y69" s="4"/>
      <c r="Z69" s="4"/>
    </row>
    <row r="70">
      <c r="A70" s="4" t="str">
        <f>IFERROR(__xludf.DUMMYFUNCTION("""COMPUTED_VALUE"""),"B9299SFW")</f>
        <v>B9299SFW</v>
      </c>
      <c r="B70" s="4" t="str">
        <f>IFERROR(__xludf.DUMMYFUNCTION("""COMPUTED_VALUE"""),"16 KL")</f>
        <v>16 KL</v>
      </c>
      <c r="C70" s="4" t="str">
        <f>IFERROR(__xludf.DUMMYFUNCTION("""COMPUTED_VALUE"""),"PT. ELNUSA PETROFIN")</f>
        <v>PT. ELNUSA PETROFIN</v>
      </c>
      <c r="D70" s="4" t="str">
        <f>IFERROR(__xludf.DUMMYFUNCTION("""COMPUTED_VALUE"""),"1AEGKRxLIJKWycLouavMiaRheOV8Umkc9")</f>
        <v>1AEGKRxLIJKWycLouavMiaRheOV8Umkc9</v>
      </c>
      <c r="E70" s="17">
        <f>IFERROR(__xludf.DUMMYFUNCTION("""COMPUTED_VALUE"""),47954.0)</f>
        <v>47954</v>
      </c>
      <c r="F70" s="17">
        <f>IFERROR(__xludf.DUMMYFUNCTION("""COMPUTED_VALUE"""),46493.0)</f>
        <v>46493</v>
      </c>
      <c r="G70" s="17">
        <f>IFERROR(__xludf.DUMMYFUNCTION("""COMPUTED_VALUE"""),46323.0)</f>
        <v>46323</v>
      </c>
      <c r="H70" s="17"/>
      <c r="I70" s="17">
        <f>IFERROR(__xludf.DUMMYFUNCTION("""COMPUTED_VALUE"""),46323.0)</f>
        <v>46323</v>
      </c>
      <c r="J70" s="17">
        <f>IFERROR(__xludf.DUMMYFUNCTION("""COMPUTED_VALUE"""),46894.0)</f>
        <v>46894</v>
      </c>
      <c r="K70" s="17">
        <f>IFERROR(__xludf.DUMMYFUNCTION("""COMPUTED_VALUE"""),46362.0)</f>
        <v>46362</v>
      </c>
      <c r="L70" s="17">
        <f>IFERROR(__xludf.DUMMYFUNCTION("""COMPUTED_VALUE"""),46295.0)</f>
        <v>46295</v>
      </c>
      <c r="M70" s="4" t="str">
        <f>IFERROR(__xludf.DUMMYFUNCTION("""COMPUTED_VALUE"""),"002/SKT/06/UW2-ATPI/VI/2026")</f>
        <v>002/SKT/06/UW2-ATPI/VI/2026</v>
      </c>
      <c r="N70" s="28" t="str">
        <f>IFERROR(__xludf.DUMMYFUNCTION("""COMPUTED_VALUE"""),"https://drive.google.com/file/d/1U_egVI5pk8SetsL7PfLK-35TZIm0rGYV/view?usp=drivesdk")</f>
        <v>https://drive.google.com/file/d/1U_egVI5pk8SetsL7PfLK-35TZIm0rGYV/view?usp=drivesdk</v>
      </c>
      <c r="O70" s="28" t="str">
        <f>IFERROR(__xludf.DUMMYFUNCTION("""COMPUTED_VALUE"""),"https://drive.google.com/file/d/1hm-WPyaCV3N14prn_Ze_ljUI2nt-0mIz/view?usp=drivesdk")</f>
        <v>https://drive.google.com/file/d/1hm-WPyaCV3N14prn_Ze_ljUI2nt-0mIz/view?usp=drivesdk</v>
      </c>
      <c r="P70" s="28" t="str">
        <f>IFERROR(__xludf.DUMMYFUNCTION("""COMPUTED_VALUE"""),"https://drive.google.com/file/d/1A2AozEii1mKfcMEk06exnjV6l9IQlcII/view?usp=drivesdk")</f>
        <v>https://drive.google.com/file/d/1A2AozEii1mKfcMEk06exnjV6l9IQlcII/view?usp=drivesdk</v>
      </c>
      <c r="Q70" s="4"/>
      <c r="R70" s="28" t="str">
        <f>IFERROR(__xludf.DUMMYFUNCTION("""COMPUTED_VALUE"""),"https://drive.google.com/file/d/1-CR-Kl9-LA_hBnt_li_pxlDkbmBtC2Nh/view?usp=drivesdk")</f>
        <v>https://drive.google.com/file/d/1-CR-Kl9-LA_hBnt_li_pxlDkbmBtC2Nh/view?usp=drivesdk</v>
      </c>
      <c r="S70" s="28" t="str">
        <f>IFERROR(__xludf.DUMMYFUNCTION("""COMPUTED_VALUE"""),"https://drive.google.com/file/d/1flHgU0AYxB31RCsojql2TyeemC7rRUX1/view?usp=drivesdk")</f>
        <v>https://drive.google.com/file/d/1flHgU0AYxB31RCsojql2TyeemC7rRUX1/view?usp=drivesdk</v>
      </c>
      <c r="T70" s="28" t="str">
        <f>IFERROR(__xludf.DUMMYFUNCTION("""COMPUTED_VALUE"""),"https://drive.google.com/file/d/1dHu7Jnmfj_KlQBJkhPTLB-v1_AFLFgP_/view?usp=drivesdk")</f>
        <v>https://drive.google.com/file/d/1dHu7Jnmfj_KlQBJkhPTLB-v1_AFLFgP_/view?usp=drivesdk</v>
      </c>
      <c r="U70" s="28" t="str">
        <f>IFERROR(__xludf.DUMMYFUNCTION("""COMPUTED_VALUE"""),"https://drive.google.com/file/d/1X4LIyxcyIuGN4fc9nFdKaW4Lr-53uoC5/view?usp=drivesdk")</f>
        <v>https://drive.google.com/file/d/1X4LIyxcyIuGN4fc9nFdKaW4Lr-53uoC5/view?usp=drivesdk</v>
      </c>
      <c r="V70" s="4"/>
      <c r="W70" s="4"/>
      <c r="X70" s="4"/>
      <c r="Y70" s="4"/>
      <c r="Z70" s="4"/>
    </row>
    <row r="71">
      <c r="A71" s="4" t="str">
        <f>IFERROR(__xludf.DUMMYFUNCTION("""COMPUTED_VALUE"""),"E9537YC")</f>
        <v>E9537YC</v>
      </c>
      <c r="B71" s="4" t="str">
        <f>IFERROR(__xludf.DUMMYFUNCTION("""COMPUTED_VALUE"""),"24 KL")</f>
        <v>24 KL</v>
      </c>
      <c r="C71" s="4" t="str">
        <f>IFERROR(__xludf.DUMMYFUNCTION("""COMPUTED_VALUE"""),"PT. PUSPITA CIPTA")</f>
        <v>PT. PUSPITA CIPTA</v>
      </c>
      <c r="D71" s="4" t="str">
        <f>IFERROR(__xludf.DUMMYFUNCTION("""COMPUTED_VALUE"""),"1dmKCG-u07nWKTQ_iIoByatHTcqLQg_mT")</f>
        <v>1dmKCG-u07nWKTQ_iIoByatHTcqLQg_mT</v>
      </c>
      <c r="E71" s="17">
        <f>IFERROR(__xludf.DUMMYFUNCTION("""COMPUTED_VALUE"""),47779.0)</f>
        <v>47779</v>
      </c>
      <c r="F71" s="17">
        <f>IFERROR(__xludf.DUMMYFUNCTION("""COMPUTED_VALUE"""),46318.0)</f>
        <v>46318</v>
      </c>
      <c r="G71" s="17">
        <f>IFERROR(__xludf.DUMMYFUNCTION("""COMPUTED_VALUE"""),46337.0)</f>
        <v>46337</v>
      </c>
      <c r="H71" s="17">
        <f>IFERROR(__xludf.DUMMYFUNCTION("""COMPUTED_VALUE"""),46337.0)</f>
        <v>46337</v>
      </c>
      <c r="I71" s="17">
        <f>IFERROR(__xludf.DUMMYFUNCTION("""COMPUTED_VALUE"""),46337.0)</f>
        <v>46337</v>
      </c>
      <c r="J71" s="17">
        <f>IFERROR(__xludf.DUMMYFUNCTION("""COMPUTED_VALUE"""),46718.0)</f>
        <v>46718</v>
      </c>
      <c r="K71" s="17">
        <f>IFERROR(__xludf.DUMMYFUNCTION("""COMPUTED_VALUE"""),46373.0)</f>
        <v>46373</v>
      </c>
      <c r="L71" s="17">
        <f>IFERROR(__xludf.DUMMYFUNCTION("""COMPUTED_VALUE"""),46388.0)</f>
        <v>46388</v>
      </c>
      <c r="M71" s="4" t="str">
        <f>IFERROR(__xludf.DUMMYFUNCTION("""COMPUTED_VALUE"""),"04260000000011 / 000696")</f>
        <v>04260000000011 / 000696</v>
      </c>
      <c r="N71" s="28" t="str">
        <f>IFERROR(__xludf.DUMMYFUNCTION("""COMPUTED_VALUE"""),"https://drive.google.com/file/d/1IrrXivE0-dblzcUAkh7Sn_t9iJNSjSdN/view?usp=drivesdk")</f>
        <v>https://drive.google.com/file/d/1IrrXivE0-dblzcUAkh7Sn_t9iJNSjSdN/view?usp=drivesdk</v>
      </c>
      <c r="O71" s="28" t="str">
        <f>IFERROR(__xludf.DUMMYFUNCTION("""COMPUTED_VALUE"""),"https://drive.google.com/file/d/1KUjCmky570ZNYagVPW_M63I6oVfd9WTw/view?usp=drivesdk")</f>
        <v>https://drive.google.com/file/d/1KUjCmky570ZNYagVPW_M63I6oVfd9WTw/view?usp=drivesdk</v>
      </c>
      <c r="P71" s="28" t="str">
        <f>IFERROR(__xludf.DUMMYFUNCTION("""COMPUTED_VALUE"""),"https://drive.google.com/file/d/1nN5arMFA8DnBouDISlkxoxUUD8YuP4_N/view?usp=drivesdk")</f>
        <v>https://drive.google.com/file/d/1nN5arMFA8DnBouDISlkxoxUUD8YuP4_N/view?usp=drivesdk</v>
      </c>
      <c r="Q71" s="28" t="str">
        <f>IFERROR(__xludf.DUMMYFUNCTION("""COMPUTED_VALUE"""),"https://drive.google.com/file/d/1DtOcZNb8QmJYcQQbIB-iz38XVFvBy813/view?usp=drivesdk")</f>
        <v>https://drive.google.com/file/d/1DtOcZNb8QmJYcQQbIB-iz38XVFvBy813/view?usp=drivesdk</v>
      </c>
      <c r="R71" s="28" t="str">
        <f>IFERROR(__xludf.DUMMYFUNCTION("""COMPUTED_VALUE"""),"https://drive.google.com/file/d/1SSgJUQFdva9DYe-dtJbXg1MIQdEUQNCE/view?usp=drivesdk")</f>
        <v>https://drive.google.com/file/d/1SSgJUQFdva9DYe-dtJbXg1MIQdEUQNCE/view?usp=drivesdk</v>
      </c>
      <c r="S71" s="28" t="str">
        <f>IFERROR(__xludf.DUMMYFUNCTION("""COMPUTED_VALUE"""),"https://drive.google.com/file/d/1zLLPa-pWWYweMPQpjwaJ0FUlFHe3NAeE/view?usp=drivesdk")</f>
        <v>https://drive.google.com/file/d/1zLLPa-pWWYweMPQpjwaJ0FUlFHe3NAeE/view?usp=drivesdk</v>
      </c>
      <c r="T71" s="28" t="str">
        <f>IFERROR(__xludf.DUMMYFUNCTION("""COMPUTED_VALUE"""),"https://drive.google.com/file/d/1CDs_qjgrXNk9HpV3gCKGhDTXtvaubqd5/view?usp=drivesdk")</f>
        <v>https://drive.google.com/file/d/1CDs_qjgrXNk9HpV3gCKGhDTXtvaubqd5/view?usp=drivesdk</v>
      </c>
      <c r="U71" s="4"/>
      <c r="V71" s="4"/>
      <c r="W71" s="28" t="str">
        <f>IFERROR(__xludf.DUMMYFUNCTION("""COMPUTED_VALUE"""),"https://drive.google.com/file/d/14FWFteCLhs1GSi-qwf12sCOZ8HZMNgMc/view?usp=drivesdk")</f>
        <v>https://drive.google.com/file/d/14FWFteCLhs1GSi-qwf12sCOZ8HZMNgMc/view?usp=drivesdk</v>
      </c>
      <c r="X71" s="28" t="str">
        <f>IFERROR(__xludf.DUMMYFUNCTION("""COMPUTED_VALUE"""),"https://drive.google.com/file/d/1oMZSYHW_UB06aP5XAe6_jNN66n_G92Ng/view?usp=drivesdk")</f>
        <v>https://drive.google.com/file/d/1oMZSYHW_UB06aP5XAe6_jNN66n_G92Ng/view?usp=drivesdk</v>
      </c>
      <c r="Y71" s="28" t="str">
        <f>IFERROR(__xludf.DUMMYFUNCTION("""COMPUTED_VALUE"""),"https://drive.google.com/file/d/1uxCDQcVDA57HaZQ0fbAvjA_z9HCPlv8n/view?usp=drivesdk")</f>
        <v>https://drive.google.com/file/d/1uxCDQcVDA57HaZQ0fbAvjA_z9HCPlv8n/view?usp=drivesdk</v>
      </c>
      <c r="Z71" s="28" t="str">
        <f>IFERROR(__xludf.DUMMYFUNCTION("""COMPUTED_VALUE"""),"https://drive.google.com/file/d/1tAZUX5wRijv77jQ-I5mfvbTk3lFG7eBr/view?usp=drivesdk")</f>
        <v>https://drive.google.com/file/d/1tAZUX5wRijv77jQ-I5mfvbTk3lFG7eBr/view?usp=drivesdk</v>
      </c>
    </row>
    <row r="72">
      <c r="A72" s="4" t="str">
        <f>IFERROR(__xludf.DUMMYFUNCTION("""COMPUTED_VALUE"""),"N9369UI")</f>
        <v>N9369UI</v>
      </c>
      <c r="B72" s="4" t="str">
        <f>IFERROR(__xludf.DUMMYFUNCTION("""COMPUTED_VALUE"""),"24 KL")</f>
        <v>24 KL</v>
      </c>
      <c r="C72" s="4" t="str">
        <f>IFERROR(__xludf.DUMMYFUNCTION("""COMPUTED_VALUE"""),"PT. SINAR WAHANA SURYA")</f>
        <v>PT. SINAR WAHANA SURYA</v>
      </c>
      <c r="D72" s="4" t="str">
        <f>IFERROR(__xludf.DUMMYFUNCTION("""COMPUTED_VALUE"""),"1YX3P4KOGvVehej2qvxVaKx4n3qN4bWLe")</f>
        <v>1YX3P4KOGvVehej2qvxVaKx4n3qN4bWLe</v>
      </c>
      <c r="E72" s="17">
        <f>IFERROR(__xludf.DUMMYFUNCTION("""COMPUTED_VALUE"""),47213.0)</f>
        <v>47213</v>
      </c>
      <c r="F72" s="17">
        <f>IFERROR(__xludf.DUMMYFUNCTION("""COMPUTED_VALUE"""),46482.0)</f>
        <v>46482</v>
      </c>
      <c r="G72" s="17">
        <f>IFERROR(__xludf.DUMMYFUNCTION("""COMPUTED_VALUE"""),46305.0)</f>
        <v>46305</v>
      </c>
      <c r="H72" s="17">
        <f>IFERROR(__xludf.DUMMYFUNCTION("""COMPUTED_VALUE"""),46305.0)</f>
        <v>46305</v>
      </c>
      <c r="I72" s="17">
        <f>IFERROR(__xludf.DUMMYFUNCTION("""COMPUTED_VALUE"""),46305.0)</f>
        <v>46305</v>
      </c>
      <c r="J72" s="17">
        <f>IFERROR(__xludf.DUMMYFUNCTION("""COMPUTED_VALUE"""),46885.0)</f>
        <v>46885</v>
      </c>
      <c r="K72" s="17">
        <f>IFERROR(__xludf.DUMMYFUNCTION("""COMPUTED_VALUE"""),46304.0)</f>
        <v>46304</v>
      </c>
      <c r="L72" s="17">
        <f>IFERROR(__xludf.DUMMYFUNCTION("""COMPUTED_VALUE"""),46388.0)</f>
        <v>46388</v>
      </c>
      <c r="M72" s="4" t="str">
        <f>IFERROR(__xludf.DUMMYFUNCTION("""COMPUTED_VALUE"""),"04260000000011 / 000202")</f>
        <v>04260000000011 / 000202</v>
      </c>
      <c r="N72" s="28" t="str">
        <f>IFERROR(__xludf.DUMMYFUNCTION("""COMPUTED_VALUE"""),"https://drive.google.com/open?id=16la71SNcqymFiOkzg4GUTigCAvEQD4qo")</f>
        <v>https://drive.google.com/open?id=16la71SNcqymFiOkzg4GUTigCAvEQD4qo</v>
      </c>
      <c r="O72" s="28" t="str">
        <f>IFERROR(__xludf.DUMMYFUNCTION("""COMPUTED_VALUE"""),"https://drive.google.com/file/d/1DamWny8IICj6-TgWkgUKWLJ1uI_Vt8fj/view?usp=drivesdk")</f>
        <v>https://drive.google.com/file/d/1DamWny8IICj6-TgWkgUKWLJ1uI_Vt8fj/view?usp=drivesdk</v>
      </c>
      <c r="P72" s="28" t="str">
        <f>IFERROR(__xludf.DUMMYFUNCTION("""COMPUTED_VALUE"""),"https://drive.google.com/open?id=1z9a9r9TqFck0Zf54tGv9kQzGnPY7amvj")</f>
        <v>https://drive.google.com/open?id=1z9a9r9TqFck0Zf54tGv9kQzGnPY7amvj</v>
      </c>
      <c r="Q72" s="28" t="str">
        <f>IFERROR(__xludf.DUMMYFUNCTION("""COMPUTED_VALUE"""),"https://drive.google.com/file/d/1RBrD06hu1b2uQhi7z26l7o1jC6YJBj1_/view?usp=drive_link")</f>
        <v>https://drive.google.com/file/d/1RBrD06hu1b2uQhi7z26l7o1jC6YJBj1_/view?usp=drive_link</v>
      </c>
      <c r="R72" s="28" t="str">
        <f>IFERROR(__xludf.DUMMYFUNCTION("""COMPUTED_VALUE"""),"https://drive.google.com/open?id=1x28yIxCiAc-Ef9ZfriCkrCf3tS2q1h9k")</f>
        <v>https://drive.google.com/open?id=1x28yIxCiAc-Ef9ZfriCkrCf3tS2q1h9k</v>
      </c>
      <c r="S72" s="28" t="str">
        <f>IFERROR(__xludf.DUMMYFUNCTION("""COMPUTED_VALUE"""),"https://drive.google.com/file/d/1nufBsl50EraxruNlR447-Xm1f8BFWYev/view?usp=drivesdk")</f>
        <v>https://drive.google.com/file/d/1nufBsl50EraxruNlR447-Xm1f8BFWYev/view?usp=drivesdk</v>
      </c>
      <c r="T72" s="4"/>
      <c r="U72" s="4"/>
      <c r="V72" s="4"/>
      <c r="W72" s="28" t="str">
        <f>IFERROR(__xludf.DUMMYFUNCTION("""COMPUTED_VALUE"""),"https://drive.google.com/file/d/12U6wEqcsxj8ZVeSz3Y6PX9cpHgVt5AYU/view?usp=drivesdk")</f>
        <v>https://drive.google.com/file/d/12U6wEqcsxj8ZVeSz3Y6PX9cpHgVt5AYU/view?usp=drivesdk</v>
      </c>
      <c r="X72" s="28" t="str">
        <f>IFERROR(__xludf.DUMMYFUNCTION("""COMPUTED_VALUE"""),"https://drive.google.com/file/d/14MTQbjH90fcl7247uNx-A-ahvstsapZL/view?usp=drivesdk")</f>
        <v>https://drive.google.com/file/d/14MTQbjH90fcl7247uNx-A-ahvstsapZL/view?usp=drivesdk</v>
      </c>
      <c r="Y72" s="28" t="str">
        <f>IFERROR(__xludf.DUMMYFUNCTION("""COMPUTED_VALUE"""),"https://drive.google.com/file/d/18oDcCot23APO6VRbsG9zVWzqIp5OiUlm/view?usp=drivesdk")</f>
        <v>https://drive.google.com/file/d/18oDcCot23APO6VRbsG9zVWzqIp5OiUlm/view?usp=drivesdk</v>
      </c>
      <c r="Z72" s="28" t="str">
        <f>IFERROR(__xludf.DUMMYFUNCTION("""COMPUTED_VALUE"""),"https://drive.google.com/file/d/1Jb21EPJFC_YmpkEYuLMwN_Vy0daq9dJJ/view?usp=drivesdk")</f>
        <v>https://drive.google.com/file/d/1Jb21EPJFC_YmpkEYuLMwN_Vy0daq9dJJ/view?usp=drivesdk</v>
      </c>
    </row>
    <row r="73">
      <c r="A73" s="4" t="str">
        <f>IFERROR(__xludf.DUMMYFUNCTION("""COMPUTED_VALUE"""),"R9564B")</f>
        <v>R9564B</v>
      </c>
      <c r="B73" s="4" t="str">
        <f>IFERROR(__xludf.DUMMYFUNCTION("""COMPUTED_VALUE"""),"24 KL")</f>
        <v>24 KL</v>
      </c>
      <c r="C73" s="4" t="str">
        <f>IFERROR(__xludf.DUMMYFUNCTION("""COMPUTED_VALUE"""),"PT. SERAYU MITRA JAYA")</f>
        <v>PT. SERAYU MITRA JAYA</v>
      </c>
      <c r="D73" s="4" t="str">
        <f>IFERROR(__xludf.DUMMYFUNCTION("""COMPUTED_VALUE"""),"1V7f_xO-gtwZHVXFnD_SJi9eb9G0zqBnK")</f>
        <v>1V7f_xO-gtwZHVXFnD_SJi9eb9G0zqBnK</v>
      </c>
      <c r="E73" s="17">
        <f>IFERROR(__xludf.DUMMYFUNCTION("""COMPUTED_VALUE"""),46659.0)</f>
        <v>46659</v>
      </c>
      <c r="F73" s="17">
        <f>IFERROR(__xludf.DUMMYFUNCTION("""COMPUTED_VALUE"""),46659.0)</f>
        <v>46659</v>
      </c>
      <c r="G73" s="17">
        <f>IFERROR(__xludf.DUMMYFUNCTION("""COMPUTED_VALUE"""),46330.0)</f>
        <v>46330</v>
      </c>
      <c r="H73" s="17">
        <f>IFERROR(__xludf.DUMMYFUNCTION("""COMPUTED_VALUE"""),46330.0)</f>
        <v>46330</v>
      </c>
      <c r="I73" s="17">
        <f>IFERROR(__xludf.DUMMYFUNCTION("""COMPUTED_VALUE"""),46330.0)</f>
        <v>46330</v>
      </c>
      <c r="J73" s="17">
        <f>IFERROR(__xludf.DUMMYFUNCTION("""COMPUTED_VALUE"""),46694.0)</f>
        <v>46694</v>
      </c>
      <c r="K73" s="17">
        <f>IFERROR(__xludf.DUMMYFUNCTION("""COMPUTED_VALUE"""),46332.0)</f>
        <v>46332</v>
      </c>
      <c r="L73" s="17">
        <f>IFERROR(__xludf.DUMMYFUNCTION("""COMPUTED_VALUE"""),46388.0)</f>
        <v>46388</v>
      </c>
      <c r="M73" s="4" t="str">
        <f>IFERROR(__xludf.DUMMYFUNCTION("""COMPUTED_VALUE"""),"04260000000011 / 000277")</f>
        <v>04260000000011 / 000277</v>
      </c>
      <c r="N73" s="28" t="str">
        <f>IFERROR(__xludf.DUMMYFUNCTION("""COMPUTED_VALUE"""),"https://drive.google.com/open?id=1-z-qrOz2TSsXG3rjeuLJvn4UvPPGia8q")</f>
        <v>https://drive.google.com/open?id=1-z-qrOz2TSsXG3rjeuLJvn4UvPPGia8q</v>
      </c>
      <c r="O73" s="28" t="str">
        <f>IFERROR(__xludf.DUMMYFUNCTION("""COMPUTED_VALUE"""),"https://drive.google.com/file/d/1YnKQXXddZKM9EgE0wjRdEM1NoXjWJ0Il/view?usp=drivesdk")</f>
        <v>https://drive.google.com/file/d/1YnKQXXddZKM9EgE0wjRdEM1NoXjWJ0Il/view?usp=drivesdk</v>
      </c>
      <c r="P73" s="28" t="str">
        <f>IFERROR(__xludf.DUMMYFUNCTION("""COMPUTED_VALUE"""),"https://drive.google.com/open?id=1qPHzc79_6lDZsPvVrolN7sbTsIkyxQVg")</f>
        <v>https://drive.google.com/open?id=1qPHzc79_6lDZsPvVrolN7sbTsIkyxQVg</v>
      </c>
      <c r="Q73" s="28" t="str">
        <f>IFERROR(__xludf.DUMMYFUNCTION("""COMPUTED_VALUE"""),"https://drive.google.com/open?id=1CgGbRA9y3mfaUJUYxHllLbq46SCrEroL")</f>
        <v>https://drive.google.com/open?id=1CgGbRA9y3mfaUJUYxHllLbq46SCrEroL</v>
      </c>
      <c r="R73" s="28" t="str">
        <f>IFERROR(__xludf.DUMMYFUNCTION("""COMPUTED_VALUE"""),"https://drive.google.com/open?id=17PIaM4QiUm_2LR2Jbb1rZq6n2R5w-7lM")</f>
        <v>https://drive.google.com/open?id=17PIaM4QiUm_2LR2Jbb1rZq6n2R5w-7lM</v>
      </c>
      <c r="S73" s="28" t="str">
        <f>IFERROR(__xludf.DUMMYFUNCTION("""COMPUTED_VALUE"""),"https://drive.google.com/file/d/1uYaj1uZZRxU4JBGRIU3UVlnwrGZi2V1N/view?usp=drivesdk")</f>
        <v>https://drive.google.com/file/d/1uYaj1uZZRxU4JBGRIU3UVlnwrGZi2V1N/view?usp=drivesdk</v>
      </c>
      <c r="T73" s="4"/>
      <c r="U73" s="4"/>
      <c r="V73" s="4"/>
      <c r="W73" s="28" t="str">
        <f>IFERROR(__xludf.DUMMYFUNCTION("""COMPUTED_VALUE"""),"https://drive.google.com/file/d/1zGpgbB97y74_AorypzZ2MRAtQsWMFafR/view?usp=drivesdk")</f>
        <v>https://drive.google.com/file/d/1zGpgbB97y74_AorypzZ2MRAtQsWMFafR/view?usp=drivesdk</v>
      </c>
      <c r="X73" s="28" t="str">
        <f>IFERROR(__xludf.DUMMYFUNCTION("""COMPUTED_VALUE"""),"https://drive.google.com/file/d/1NjwECiraYQtz3WKFqnwKvwnzDesnpz2c/view?usp=drivesdk")</f>
        <v>https://drive.google.com/file/d/1NjwECiraYQtz3WKFqnwKvwnzDesnpz2c/view?usp=drivesdk</v>
      </c>
      <c r="Y73" s="28" t="str">
        <f>IFERROR(__xludf.DUMMYFUNCTION("""COMPUTED_VALUE"""),"https://drive.google.com/file/d/161Ess7WUU3qJk9j78E3QNxwRPDug-nxe/view?usp=drivesdk")</f>
        <v>https://drive.google.com/file/d/161Ess7WUU3qJk9j78E3QNxwRPDug-nxe/view?usp=drivesdk</v>
      </c>
      <c r="Z73" s="28" t="str">
        <f>IFERROR(__xludf.DUMMYFUNCTION("""COMPUTED_VALUE"""),"https://drive.google.com/file/d/1o7seICDWrxWXbMN6H0SutWGnmJJ51fpy/view?usp=drivesdk")</f>
        <v>https://drive.google.com/file/d/1o7seICDWrxWXbMN6H0SutWGnmJJ51fpy/view?usp=drivesdk</v>
      </c>
    </row>
    <row r="74">
      <c r="A74" s="4" t="str">
        <f>IFERROR(__xludf.DUMMYFUNCTION("""COMPUTED_VALUE"""),"B9378TFV")</f>
        <v>B9378TFV</v>
      </c>
      <c r="B74" s="4" t="str">
        <f>IFERROR(__xludf.DUMMYFUNCTION("""COMPUTED_VALUE"""),"16 KL")</f>
        <v>16 KL</v>
      </c>
      <c r="C74" s="4" t="str">
        <f>IFERROR(__xludf.DUMMYFUNCTION("""COMPUTED_VALUE"""),"PT. ADAM TRANS")</f>
        <v>PT. ADAM TRANS</v>
      </c>
      <c r="D74" s="4" t="str">
        <f>IFERROR(__xludf.DUMMYFUNCTION("""COMPUTED_VALUE"""),"1RSpEdM2xqemmtSdItswv3Kxkj0EVVg12")</f>
        <v>1RSpEdM2xqemmtSdItswv3Kxkj0EVVg12</v>
      </c>
      <c r="E74" s="17">
        <f>IFERROR(__xludf.DUMMYFUNCTION("""COMPUTED_VALUE"""),47025.0)</f>
        <v>47025</v>
      </c>
      <c r="F74" s="17">
        <f>IFERROR(__xludf.DUMMYFUNCTION("""COMPUTED_VALUE"""),46659.0)</f>
        <v>46659</v>
      </c>
      <c r="G74" s="17">
        <f>IFERROR(__xludf.DUMMYFUNCTION("""COMPUTED_VALUE"""),46446.0)</f>
        <v>46446</v>
      </c>
      <c r="H74" s="17"/>
      <c r="I74" s="17">
        <f>IFERROR(__xludf.DUMMYFUNCTION("""COMPUTED_VALUE"""),46446.0)</f>
        <v>46446</v>
      </c>
      <c r="J74" s="17">
        <f>IFERROR(__xludf.DUMMYFUNCTION("""COMPUTED_VALUE"""),46688.0)</f>
        <v>46688</v>
      </c>
      <c r="K74" s="17">
        <f>IFERROR(__xludf.DUMMYFUNCTION("""COMPUTED_VALUE"""),46459.0)</f>
        <v>46459</v>
      </c>
      <c r="L74" s="17">
        <f>IFERROR(__xludf.DUMMYFUNCTION("""COMPUTED_VALUE"""),46388.0)</f>
        <v>46388</v>
      </c>
      <c r="M74" s="4" t="str">
        <f>IFERROR(__xludf.DUMMYFUNCTION("""COMPUTED_VALUE"""),"04260000000011 / 000001")</f>
        <v>04260000000011 / 000001</v>
      </c>
      <c r="N74" s="28" t="str">
        <f>IFERROR(__xludf.DUMMYFUNCTION("""COMPUTED_VALUE"""),"https://drive.google.com/open?id=1RZ26gdAEMkprh7NxOn4CI6UB3yaoqdkU")</f>
        <v>https://drive.google.com/open?id=1RZ26gdAEMkprh7NxOn4CI6UB3yaoqdkU</v>
      </c>
      <c r="O74" s="28" t="str">
        <f>IFERROR(__xludf.DUMMYFUNCTION("""COMPUTED_VALUE"""),"https://drive.google.com/file/d/1BCa1aSY_ZRIUfXE6llSS5CoqjGngxqj2/view?usp=drivesdk")</f>
        <v>https://drive.google.com/file/d/1BCa1aSY_ZRIUfXE6llSS5CoqjGngxqj2/view?usp=drivesdk</v>
      </c>
      <c r="P74" s="28" t="str">
        <f>IFERROR(__xludf.DUMMYFUNCTION("""COMPUTED_VALUE"""),"https://drive.google.com/file/d/11flr6Ne2wCDYF6tNwmRO6TNIePA0yLVN/view?usp=drivesdk")</f>
        <v>https://drive.google.com/file/d/11flr6Ne2wCDYF6tNwmRO6TNIePA0yLVN/view?usp=drivesdk</v>
      </c>
      <c r="Q74" s="4"/>
      <c r="R74" s="28" t="str">
        <f>IFERROR(__xludf.DUMMYFUNCTION("""COMPUTED_VALUE"""),"https://drive.google.com/file/d/1w3DMdPiDytSqXco1oRY4K6XEJD7FuCBt/view?usp=drivesdk")</f>
        <v>https://drive.google.com/file/d/1w3DMdPiDytSqXco1oRY4K6XEJD7FuCBt/view?usp=drivesdk</v>
      </c>
      <c r="S74" s="28" t="str">
        <f>IFERROR(__xludf.DUMMYFUNCTION("""COMPUTED_VALUE"""),"https://drive.google.com/file/d/1dY7zRN0-4XcueYPZiwd7z30rHszE4CAE/view?usp=drivesdk")</f>
        <v>https://drive.google.com/file/d/1dY7zRN0-4XcueYPZiwd7z30rHszE4CAE/view?usp=drivesdk</v>
      </c>
      <c r="T74" s="28" t="str">
        <f>IFERROR(__xludf.DUMMYFUNCTION("""COMPUTED_VALUE"""),"https://drive.google.com/file/d/1FEwZrDBA6vx64n86igpu-z4XY7JDXycb/view?usp=drivesdk")</f>
        <v>https://drive.google.com/file/d/1FEwZrDBA6vx64n86igpu-z4XY7JDXycb/view?usp=drivesdk</v>
      </c>
      <c r="U74" s="4"/>
      <c r="V74" s="4"/>
      <c r="W74" s="28" t="str">
        <f>IFERROR(__xludf.DUMMYFUNCTION("""COMPUTED_VALUE"""),"https://drive.google.com/file/d/1jqSvyQZYLdLEcqh8QhQGKXk9KduRsRm2/view?usp=drivesdk")</f>
        <v>https://drive.google.com/file/d/1jqSvyQZYLdLEcqh8QhQGKXk9KduRsRm2/view?usp=drivesdk</v>
      </c>
      <c r="X74" s="28" t="str">
        <f>IFERROR(__xludf.DUMMYFUNCTION("""COMPUTED_VALUE"""),"https://drive.google.com/file/d/1YJpRy93nM-EQzR870Yro48JVpPo5YksB/view?usp=drivesdk")</f>
        <v>https://drive.google.com/file/d/1YJpRy93nM-EQzR870Yro48JVpPo5YksB/view?usp=drivesdk</v>
      </c>
      <c r="Y74" s="28" t="str">
        <f>IFERROR(__xludf.DUMMYFUNCTION("""COMPUTED_VALUE"""),"https://drive.google.com/file/d/1_b-4Kwp5XtT_m-uY0mwp2oJUFUv88kB6/view?usp=drivesdk")</f>
        <v>https://drive.google.com/file/d/1_b-4Kwp5XtT_m-uY0mwp2oJUFUv88kB6/view?usp=drivesdk</v>
      </c>
      <c r="Z74" s="28" t="str">
        <f>IFERROR(__xludf.DUMMYFUNCTION("""COMPUTED_VALUE"""),"https://drive.google.com/file/d/1dq2kS64ZTZKRu33VMKzOyLSWiMxKzhVp/view?usp=drivesdk")</f>
        <v>https://drive.google.com/file/d/1dq2kS64ZTZKRu33VMKzOyLSWiMxKzhVp/view?usp=drivesdk</v>
      </c>
    </row>
    <row r="75">
      <c r="A75" s="4" t="str">
        <f>IFERROR(__xludf.DUMMYFUNCTION("""COMPUTED_VALUE"""),"AA8860OF")</f>
        <v>AA8860OF</v>
      </c>
      <c r="B75" s="4" t="str">
        <f>IFERROR(__xludf.DUMMYFUNCTION("""COMPUTED_VALUE"""),"16 KL")</f>
        <v>16 KL</v>
      </c>
      <c r="C75" s="4" t="str">
        <f>IFERROR(__xludf.DUMMYFUNCTION("""COMPUTED_VALUE"""),"PT. TANAH PUTIH")</f>
        <v>PT. TANAH PUTIH</v>
      </c>
      <c r="D75" s="4" t="str">
        <f>IFERROR(__xludf.DUMMYFUNCTION("""COMPUTED_VALUE"""),"18pAb0lA2aGxFGS5fXAx3HqVGYleHVuW1")</f>
        <v>18pAb0lA2aGxFGS5fXAx3HqVGYleHVuW1</v>
      </c>
      <c r="E75" s="17">
        <f>IFERROR(__xludf.DUMMYFUNCTION("""COMPUTED_VALUE"""),46924.0)</f>
        <v>46924</v>
      </c>
      <c r="F75" s="17">
        <f>IFERROR(__xludf.DUMMYFUNCTION("""COMPUTED_VALUE"""),46558.0)</f>
        <v>46558</v>
      </c>
      <c r="G75" s="17">
        <f>IFERROR(__xludf.DUMMYFUNCTION("""COMPUTED_VALUE"""),46346.0)</f>
        <v>46346</v>
      </c>
      <c r="H75" s="17"/>
      <c r="I75" s="17">
        <f>IFERROR(__xludf.DUMMYFUNCTION("""COMPUTED_VALUE"""),46346.0)</f>
        <v>46346</v>
      </c>
      <c r="J75" s="17">
        <f>IFERROR(__xludf.DUMMYFUNCTION("""COMPUTED_VALUE"""),46563.0)</f>
        <v>46563</v>
      </c>
      <c r="K75" s="17">
        <f>IFERROR(__xludf.DUMMYFUNCTION("""COMPUTED_VALUE"""),46340.0)</f>
        <v>46340</v>
      </c>
      <c r="L75" s="17">
        <f>IFERROR(__xludf.DUMMYFUNCTION("""COMPUTED_VALUE"""),46388.0)</f>
        <v>46388</v>
      </c>
      <c r="M75" s="4" t="str">
        <f>IFERROR(__xludf.DUMMYFUNCTION("""COMPUTED_VALUE"""),"04260000000011 / 000302")</f>
        <v>04260000000011 / 000302</v>
      </c>
      <c r="N75" s="28" t="str">
        <f>IFERROR(__xludf.DUMMYFUNCTION("""COMPUTED_VALUE"""),"https://drive.google.com/open?id=1OYAQqJRC_C0SQvi0YWs1gNT0vzivjAC5")</f>
        <v>https://drive.google.com/open?id=1OYAQqJRC_C0SQvi0YWs1gNT0vzivjAC5</v>
      </c>
      <c r="O75" s="28" t="str">
        <f>IFERROR(__xludf.DUMMYFUNCTION("""COMPUTED_VALUE"""),"https://drive.google.com/file/d/1UDfvrfgEi5MoyeCvTEV8iMn_Lz_eX_89/view?usp=drivesdk")</f>
        <v>https://drive.google.com/file/d/1UDfvrfgEi5MoyeCvTEV8iMn_Lz_eX_89/view?usp=drivesdk</v>
      </c>
      <c r="P75" s="28" t="str">
        <f>IFERROR(__xludf.DUMMYFUNCTION("""COMPUTED_VALUE"""),"https://drive.google.com/open?id=1FOJDKJF-HHZICTYZ10DlGT40c3sYSwt0")</f>
        <v>https://drive.google.com/open?id=1FOJDKJF-HHZICTYZ10DlGT40c3sYSwt0</v>
      </c>
      <c r="Q75" s="4"/>
      <c r="R75" s="28" t="str">
        <f>IFERROR(__xludf.DUMMYFUNCTION("""COMPUTED_VALUE"""),"https://drive.google.com/open?id=1oOWZgOgWgmyAfj6gh4JsBqC--js0EtVr")</f>
        <v>https://drive.google.com/open?id=1oOWZgOgWgmyAfj6gh4JsBqC--js0EtVr</v>
      </c>
      <c r="S75" s="28" t="str">
        <f>IFERROR(__xludf.DUMMYFUNCTION("""COMPUTED_VALUE"""),"https://drive.google.com/file/d/1_-9My9y2-oSfMk4yI34cRWPEzRPmYIHd/view?usp=drivesdk")</f>
        <v>https://drive.google.com/file/d/1_-9My9y2-oSfMk4yI34cRWPEzRPmYIHd/view?usp=drivesdk</v>
      </c>
      <c r="T75" s="4"/>
      <c r="U75" s="4"/>
      <c r="V75" s="4"/>
      <c r="W75" s="28" t="str">
        <f>IFERROR(__xludf.DUMMYFUNCTION("""COMPUTED_VALUE"""),"https://drive.google.com/file/d/1k-qYhuMCX5mbVUKjRJtL5Ds7LpV6rUUp/view?usp=drivesdk")</f>
        <v>https://drive.google.com/file/d/1k-qYhuMCX5mbVUKjRJtL5Ds7LpV6rUUp/view?usp=drivesdk</v>
      </c>
      <c r="X75" s="28" t="str">
        <f>IFERROR(__xludf.DUMMYFUNCTION("""COMPUTED_VALUE"""),"https://drive.google.com/file/d/1eU7QlG3DK9JwcWU_eC96oQ90ffkwJ5Gf/view?usp=drivesdk")</f>
        <v>https://drive.google.com/file/d/1eU7QlG3DK9JwcWU_eC96oQ90ffkwJ5Gf/view?usp=drivesdk</v>
      </c>
      <c r="Y75" s="28" t="str">
        <f>IFERROR(__xludf.DUMMYFUNCTION("""COMPUTED_VALUE"""),"https://drive.google.com/file/d/1OLfmHDn-vne-kHEEXovCW9Dhe02Uu0ER/view?usp=drivesdk")</f>
        <v>https://drive.google.com/file/d/1OLfmHDn-vne-kHEEXovCW9Dhe02Uu0ER/view?usp=drivesdk</v>
      </c>
      <c r="Z75" s="28" t="str">
        <f>IFERROR(__xludf.DUMMYFUNCTION("""COMPUTED_VALUE"""),"https://drive.google.com/file/d/1My5UXhtc0FzP_HEUFwjBXL8K2hYd4a5y/view?usp=drivesdk")</f>
        <v>https://drive.google.com/file/d/1My5UXhtc0FzP_HEUFwjBXL8K2hYd4a5y/view?usp=drivesdk</v>
      </c>
    </row>
    <row r="76">
      <c r="A76" s="4" t="str">
        <f>IFERROR(__xludf.DUMMYFUNCTION("""COMPUTED_VALUE"""),"R8435CM")</f>
        <v>R8435CM</v>
      </c>
      <c r="B76" s="4" t="str">
        <f>IFERROR(__xludf.DUMMYFUNCTION("""COMPUTED_VALUE"""),"24 KL")</f>
        <v>24 KL</v>
      </c>
      <c r="C76" s="4" t="str">
        <f>IFERROR(__xludf.DUMMYFUNCTION("""COMPUTED_VALUE"""),"PT. KATRACO PUTRA SELARAS")</f>
        <v>PT. KATRACO PUTRA SELARAS</v>
      </c>
      <c r="D76" s="4" t="str">
        <f>IFERROR(__xludf.DUMMYFUNCTION("""COMPUTED_VALUE"""),"1DgC12qi5NvQX7shcSB5sGQSRqzLr3coY")</f>
        <v>1DgC12qi5NvQX7shcSB5sGQSRqzLr3coY</v>
      </c>
      <c r="E76" s="17">
        <f>IFERROR(__xludf.DUMMYFUNCTION("""COMPUTED_VALUE"""),46708.0)</f>
        <v>46708</v>
      </c>
      <c r="F76" s="17">
        <f>IFERROR(__xludf.DUMMYFUNCTION("""COMPUTED_VALUE"""),46343.0)</f>
        <v>46343</v>
      </c>
      <c r="G76" s="17">
        <f>IFERROR(__xludf.DUMMYFUNCTION("""COMPUTED_VALUE"""),46352.0)</f>
        <v>46352</v>
      </c>
      <c r="H76" s="17">
        <f>IFERROR(__xludf.DUMMYFUNCTION("""COMPUTED_VALUE"""),46352.0)</f>
        <v>46352</v>
      </c>
      <c r="I76" s="17">
        <f>IFERROR(__xludf.DUMMYFUNCTION("""COMPUTED_VALUE"""),46352.0)</f>
        <v>46352</v>
      </c>
      <c r="J76" s="17">
        <f>IFERROR(__xludf.DUMMYFUNCTION("""COMPUTED_VALUE"""),46339.0)</f>
        <v>46339</v>
      </c>
      <c r="K76" s="17">
        <f>IFERROR(__xludf.DUMMYFUNCTION("""COMPUTED_VALUE"""),46340.0)</f>
        <v>46340</v>
      </c>
      <c r="L76" s="17">
        <f>IFERROR(__xludf.DUMMYFUNCTION("""COMPUTED_VALUE"""),46388.0)</f>
        <v>46388</v>
      </c>
      <c r="M76" s="4" t="str">
        <f>IFERROR(__xludf.DUMMYFUNCTION("""COMPUTED_VALUE"""),"04260000000011 / 000028")</f>
        <v>04260000000011 / 000028</v>
      </c>
      <c r="N76" s="28" t="str">
        <f>IFERROR(__xludf.DUMMYFUNCTION("""COMPUTED_VALUE"""),"https://drive.google.com/file/d/1Rb9BtoAwoALKQEdCwQjMKb2OliVn-m5b/view?usp=drivesdk")</f>
        <v>https://drive.google.com/file/d/1Rb9BtoAwoALKQEdCwQjMKb2OliVn-m5b/view?usp=drivesdk</v>
      </c>
      <c r="O76" s="28" t="str">
        <f>IFERROR(__xludf.DUMMYFUNCTION("""COMPUTED_VALUE"""),"https://drive.google.com/file/d/1rEHkJuZ4C6MGFVlrf9k0BM7sPdM4csig/view?usp=drivesdk")</f>
        <v>https://drive.google.com/file/d/1rEHkJuZ4C6MGFVlrf9k0BM7sPdM4csig/view?usp=drivesdk</v>
      </c>
      <c r="P76" s="28" t="str">
        <f>IFERROR(__xludf.DUMMYFUNCTION("""COMPUTED_VALUE"""),"https://drive.google.com/open?id=1Ea3G2XhN8Imq5WX040eIFLCCPzEg7BdC")</f>
        <v>https://drive.google.com/open?id=1Ea3G2XhN8Imq5WX040eIFLCCPzEg7BdC</v>
      </c>
      <c r="Q76" s="28" t="str">
        <f>IFERROR(__xludf.DUMMYFUNCTION("""COMPUTED_VALUE"""),"https://drive.google.com/open?id=18JNkRTHvQo3tSWanCGhMq8xsP9L08J-I")</f>
        <v>https://drive.google.com/open?id=18JNkRTHvQo3tSWanCGhMq8xsP9L08J-I</v>
      </c>
      <c r="R76" s="28" t="str">
        <f>IFERROR(__xludf.DUMMYFUNCTION("""COMPUTED_VALUE"""),"https://drive.google.com/open?id=1aOcfCU9owBi58OxqBwXHPNQjPR6TevfD")</f>
        <v>https://drive.google.com/open?id=1aOcfCU9owBi58OxqBwXHPNQjPR6TevfD</v>
      </c>
      <c r="S76" s="28" t="str">
        <f>IFERROR(__xludf.DUMMYFUNCTION("""COMPUTED_VALUE"""),"https://drive.google.com/file/d/1_gUEvx7yrARrzMm7D9XW59ZfRVu0lDe1/view?usp=drivesdk")</f>
        <v>https://drive.google.com/file/d/1_gUEvx7yrARrzMm7D9XW59ZfRVu0lDe1/view?usp=drivesdk</v>
      </c>
      <c r="T76" s="4"/>
      <c r="U76" s="4"/>
      <c r="V76" s="4"/>
      <c r="W76" s="28" t="str">
        <f>IFERROR(__xludf.DUMMYFUNCTION("""COMPUTED_VALUE"""),"https://drive.google.com/file/d/1ss6d4e0tUFGwQSvuMaj1Ike1xMYREipM/view?usp=drivesdk")</f>
        <v>https://drive.google.com/file/d/1ss6d4e0tUFGwQSvuMaj1Ike1xMYREipM/view?usp=drivesdk</v>
      </c>
      <c r="X76" s="28" t="str">
        <f>IFERROR(__xludf.DUMMYFUNCTION("""COMPUTED_VALUE"""),"https://drive.google.com/file/d/1Gcgd3Rk68JTSF1RIWcKsESrSU2S9sz8f/view?usp=drivesdk")</f>
        <v>https://drive.google.com/file/d/1Gcgd3Rk68JTSF1RIWcKsESrSU2S9sz8f/view?usp=drivesdk</v>
      </c>
      <c r="Y76" s="28" t="str">
        <f>IFERROR(__xludf.DUMMYFUNCTION("""COMPUTED_VALUE"""),"https://drive.google.com/file/d/1cA4R_ghYEPl_evjizMticLHTHrlRy_PQ/view?usp=drivesdk")</f>
        <v>https://drive.google.com/file/d/1cA4R_ghYEPl_evjizMticLHTHrlRy_PQ/view?usp=drivesdk</v>
      </c>
      <c r="Z76" s="28" t="str">
        <f>IFERROR(__xludf.DUMMYFUNCTION("""COMPUTED_VALUE"""),"https://drive.google.com/file/d/1Rc_yWqYe6oG4iEcqWEwDiepRnIcfi8f0/view?usp=drivesdk")</f>
        <v>https://drive.google.com/file/d/1Rc_yWqYe6oG4iEcqWEwDiepRnIcfi8f0/view?usp=drivesdk</v>
      </c>
    </row>
    <row r="77">
      <c r="A77" s="4" t="str">
        <f>IFERROR(__xludf.DUMMYFUNCTION("""COMPUTED_VALUE"""),"E9556YC")</f>
        <v>E9556YC</v>
      </c>
      <c r="B77" s="4" t="str">
        <f>IFERROR(__xludf.DUMMYFUNCTION("""COMPUTED_VALUE"""),"24 KL")</f>
        <v>24 KL</v>
      </c>
      <c r="C77" s="4" t="str">
        <f>IFERROR(__xludf.DUMMYFUNCTION("""COMPUTED_VALUE"""),"PT. PUSPITA CIPTA")</f>
        <v>PT. PUSPITA CIPTA</v>
      </c>
      <c r="D77" s="4" t="str">
        <f>IFERROR(__xludf.DUMMYFUNCTION("""COMPUTED_VALUE"""),"1kq0xEdLraRte0GcMXKiKeNxpA7ZpWRmW")</f>
        <v>1kq0xEdLraRte0GcMXKiKeNxpA7ZpWRmW</v>
      </c>
      <c r="E77" s="17">
        <f>IFERROR(__xludf.DUMMYFUNCTION("""COMPUTED_VALUE"""),47833.0)</f>
        <v>47833</v>
      </c>
      <c r="F77" s="17">
        <f>IFERROR(__xludf.DUMMYFUNCTION("""COMPUTED_VALUE"""),46372.0)</f>
        <v>46372</v>
      </c>
      <c r="G77" s="17">
        <f>IFERROR(__xludf.DUMMYFUNCTION("""COMPUTED_VALUE"""),46332.0)</f>
        <v>46332</v>
      </c>
      <c r="H77" s="17">
        <f>IFERROR(__xludf.DUMMYFUNCTION("""COMPUTED_VALUE"""),46332.0)</f>
        <v>46332</v>
      </c>
      <c r="I77" s="17">
        <f>IFERROR(__xludf.DUMMYFUNCTION("""COMPUTED_VALUE"""),46332.0)</f>
        <v>46332</v>
      </c>
      <c r="J77" s="17">
        <f>IFERROR(__xludf.DUMMYFUNCTION("""COMPUTED_VALUE"""),46817.0)</f>
        <v>46817</v>
      </c>
      <c r="K77" s="17">
        <f>IFERROR(__xludf.DUMMYFUNCTION("""COMPUTED_VALUE"""),46459.0)</f>
        <v>46459</v>
      </c>
      <c r="L77" s="17">
        <f>IFERROR(__xludf.DUMMYFUNCTION("""COMPUTED_VALUE"""),46449.0)</f>
        <v>46449</v>
      </c>
      <c r="M77" s="4" t="str">
        <f>IFERROR(__xludf.DUMMYFUNCTION("""COMPUTED_VALUE"""),"10102012603000036")</f>
        <v>10102012603000036</v>
      </c>
      <c r="N77" s="28" t="str">
        <f>IFERROR(__xludf.DUMMYFUNCTION("""COMPUTED_VALUE"""),"https://drive.google.com/open?id=11gSOTFT9XsbZW1vW4X8BlXFJymqUCnpI")</f>
        <v>https://drive.google.com/open?id=11gSOTFT9XsbZW1vW4X8BlXFJymqUCnpI</v>
      </c>
      <c r="O77" s="28" t="str">
        <f>IFERROR(__xludf.DUMMYFUNCTION("""COMPUTED_VALUE"""),"https://drive.google.com/open?id=11gSOTFT9XsbZW1vW4X8BlXFJymqUCnpI")</f>
        <v>https://drive.google.com/open?id=11gSOTFT9XsbZW1vW4X8BlXFJymqUCnpI</v>
      </c>
      <c r="P77" s="28" t="str">
        <f>IFERROR(__xludf.DUMMYFUNCTION("""COMPUTED_VALUE"""),"https://drive.google.com/open?id=1cwe04KA_CAYOywydoxQVCqO10P6DDSFV")</f>
        <v>https://drive.google.com/open?id=1cwe04KA_CAYOywydoxQVCqO10P6DDSFV</v>
      </c>
      <c r="Q77" s="28" t="str">
        <f>IFERROR(__xludf.DUMMYFUNCTION("""COMPUTED_VALUE"""),"https://drive.google.com/open?id=1dTXddgIzVH4gpylKiJVHHpZjdKOuAtzB")</f>
        <v>https://drive.google.com/open?id=1dTXddgIzVH4gpylKiJVHHpZjdKOuAtzB</v>
      </c>
      <c r="R77" s="28" t="str">
        <f>IFERROR(__xludf.DUMMYFUNCTION("""COMPUTED_VALUE"""),"https://drive.google.com/file/d/1CIbbRhKJzRf7Z0iEWYypn9qK4N8aKJjW/view?usp=drivesdk")</f>
        <v>https://drive.google.com/file/d/1CIbbRhKJzRf7Z0iEWYypn9qK4N8aKJjW/view?usp=drivesdk</v>
      </c>
      <c r="S77" s="28" t="str">
        <f>IFERROR(__xludf.DUMMYFUNCTION("""COMPUTED_VALUE"""),"https://drive.google.com/file/d/1oQku-OqXkG_zGhtejG45zR3REoo8EJ49/view?usp=drivesdk")</f>
        <v>https://drive.google.com/file/d/1oQku-OqXkG_zGhtejG45zR3REoo8EJ49/view?usp=drivesdk</v>
      </c>
      <c r="T77" s="28" t="str">
        <f>IFERROR(__xludf.DUMMYFUNCTION("""COMPUTED_VALUE"""),"https://drive.google.com/file/d/1pAaQxYVjR9lQafyhuBw8n2L3-SLcH9-r/view?usp=drivesdk")</f>
        <v>https://drive.google.com/file/d/1pAaQxYVjR9lQafyhuBw8n2L3-SLcH9-r/view?usp=drivesdk</v>
      </c>
      <c r="U77" s="4"/>
      <c r="V77" s="4"/>
      <c r="W77" s="28" t="str">
        <f>IFERROR(__xludf.DUMMYFUNCTION("""COMPUTED_VALUE"""),"https://drive.google.com/file/d/1XKfofz9kUD5UyLlFo4HgZy_WWks2QrmA/view?usp=drivesdk")</f>
        <v>https://drive.google.com/file/d/1XKfofz9kUD5UyLlFo4HgZy_WWks2QrmA/view?usp=drivesdk</v>
      </c>
      <c r="X77" s="28" t="str">
        <f>IFERROR(__xludf.DUMMYFUNCTION("""COMPUTED_VALUE"""),"https://drive.google.com/file/d/1CD1Z8agnKsvCgT22dyqZwx0jK-Lz1UKO/view?usp=drivesdk")</f>
        <v>https://drive.google.com/file/d/1CD1Z8agnKsvCgT22dyqZwx0jK-Lz1UKO/view?usp=drivesdk</v>
      </c>
      <c r="Y77" s="28" t="str">
        <f>IFERROR(__xludf.DUMMYFUNCTION("""COMPUTED_VALUE"""),"https://drive.google.com/file/d/1HyqeI0c_Xe4vBETZjLEyDW4frYCLCCJW/view?usp=drivesdk")</f>
        <v>https://drive.google.com/file/d/1HyqeI0c_Xe4vBETZjLEyDW4frYCLCCJW/view?usp=drivesdk</v>
      </c>
      <c r="Z77" s="28" t="str">
        <f>IFERROR(__xludf.DUMMYFUNCTION("""COMPUTED_VALUE"""),"https://drive.google.com/file/d/1XXJqnRuxu6kubCtRoXLnvt7pMCI0OKFW/view?usp=drivesdk")</f>
        <v>https://drive.google.com/file/d/1XXJqnRuxu6kubCtRoXLnvt7pMCI0OKFW/view?usp=drivesdk</v>
      </c>
    </row>
    <row r="78">
      <c r="A78" s="4" t="str">
        <f>IFERROR(__xludf.DUMMYFUNCTION("""COMPUTED_VALUE"""),"G9214OA")</f>
        <v>G9214OA</v>
      </c>
      <c r="B78" s="4" t="str">
        <f>IFERROR(__xludf.DUMMYFUNCTION("""COMPUTED_VALUE"""),"24 KL")</f>
        <v>24 KL</v>
      </c>
      <c r="C78" s="4" t="str">
        <f>IFERROR(__xludf.DUMMYFUNCTION("""COMPUTED_VALUE"""),"PT. MURNI ADHI DUKUH JAYA")</f>
        <v>PT. MURNI ADHI DUKUH JAYA</v>
      </c>
      <c r="D78" s="4" t="str">
        <f>IFERROR(__xludf.DUMMYFUNCTION("""COMPUTED_VALUE"""),"1ny6LDR7fMTRjtjioFfCHC8Eb7gyFiHMX")</f>
        <v>1ny6LDR7fMTRjtjioFfCHC8Eb7gyFiHMX</v>
      </c>
      <c r="E78" s="17">
        <f>IFERROR(__xludf.DUMMYFUNCTION("""COMPUTED_VALUE"""),46639.0)</f>
        <v>46639</v>
      </c>
      <c r="F78" s="17">
        <f>IFERROR(__xludf.DUMMYFUNCTION("""COMPUTED_VALUE"""),46639.0)</f>
        <v>46639</v>
      </c>
      <c r="G78" s="17">
        <f>IFERROR(__xludf.DUMMYFUNCTION("""COMPUTED_VALUE"""),46301.0)</f>
        <v>46301</v>
      </c>
      <c r="H78" s="17">
        <f>IFERROR(__xludf.DUMMYFUNCTION("""COMPUTED_VALUE"""),46301.0)</f>
        <v>46301</v>
      </c>
      <c r="I78" s="17">
        <f>IFERROR(__xludf.DUMMYFUNCTION("""COMPUTED_VALUE"""),46301.0)</f>
        <v>46301</v>
      </c>
      <c r="J78" s="17">
        <f>IFERROR(__xludf.DUMMYFUNCTION("""COMPUTED_VALUE"""),47013.0)</f>
        <v>47013</v>
      </c>
      <c r="K78" s="17">
        <f>IFERROR(__xludf.DUMMYFUNCTION("""COMPUTED_VALUE"""),46304.0)</f>
        <v>46304</v>
      </c>
      <c r="L78" s="17">
        <f>IFERROR(__xludf.DUMMYFUNCTION("""COMPUTED_VALUE"""),46388.0)</f>
        <v>46388</v>
      </c>
      <c r="M78" s="4" t="str">
        <f>IFERROR(__xludf.DUMMYFUNCTION("""COMPUTED_VALUE"""),"04260000000011 / 000041")</f>
        <v>04260000000011 / 000041</v>
      </c>
      <c r="N78" s="28" t="str">
        <f>IFERROR(__xludf.DUMMYFUNCTION("""COMPUTED_VALUE"""),"https://drive.google.com/open?id=1avq75P8QtPmSLrjLLvuM6ptlCuiObBuj")</f>
        <v>https://drive.google.com/open?id=1avq75P8QtPmSLrjLLvuM6ptlCuiObBuj</v>
      </c>
      <c r="O78" s="28" t="str">
        <f>IFERROR(__xludf.DUMMYFUNCTION("""COMPUTED_VALUE"""),"https://drive.google.com/file/d/1i6ctwtkpO8PWx5aARscu7G5K_d-M2rYK/view?usp=drivesdk")</f>
        <v>https://drive.google.com/file/d/1i6ctwtkpO8PWx5aARscu7G5K_d-M2rYK/view?usp=drivesdk</v>
      </c>
      <c r="P78" s="28" t="str">
        <f>IFERROR(__xludf.DUMMYFUNCTION("""COMPUTED_VALUE"""),"https://drive.google.com/open?id=19UJ5rU-zntMffJY80L-kaCiPTJRs8iR2")</f>
        <v>https://drive.google.com/open?id=19UJ5rU-zntMffJY80L-kaCiPTJRs8iR2</v>
      </c>
      <c r="Q78" s="28" t="str">
        <f>IFERROR(__xludf.DUMMYFUNCTION("""COMPUTED_VALUE"""),"https://drive.google.com/open?id=1nOwakFr7aPP9OYvhLk2ZT4YDsW9EXuav")</f>
        <v>https://drive.google.com/open?id=1nOwakFr7aPP9OYvhLk2ZT4YDsW9EXuav</v>
      </c>
      <c r="R78" s="28" t="str">
        <f>IFERROR(__xludf.DUMMYFUNCTION("""COMPUTED_VALUE"""),"https://drive.google.com/open?id=1QxIIBi-gsvc5p3FMKidp52h_mcv8mmLF")</f>
        <v>https://drive.google.com/open?id=1QxIIBi-gsvc5p3FMKidp52h_mcv8mmLF</v>
      </c>
      <c r="S78" s="28" t="str">
        <f>IFERROR(__xludf.DUMMYFUNCTION("""COMPUTED_VALUE"""),"https://drive.google.com/file/d/196vjFr1ytIq1E_IR7rfif93bDOmM-2vH/view?usp=drivesdk")</f>
        <v>https://drive.google.com/file/d/196vjFr1ytIq1E_IR7rfif93bDOmM-2vH/view?usp=drivesdk</v>
      </c>
      <c r="T78" s="28" t="str">
        <f>IFERROR(__xludf.DUMMYFUNCTION("""COMPUTED_VALUE"""),"https://drive.google.com/file/d/16GNKYO83tN5EB01TPJoYAm8p33qpMRa4/view?usp=drivesdk")</f>
        <v>https://drive.google.com/file/d/16GNKYO83tN5EB01TPJoYAm8p33qpMRa4/view?usp=drivesdk</v>
      </c>
      <c r="U78" s="4"/>
      <c r="V78" s="4"/>
      <c r="W78" s="28" t="str">
        <f>IFERROR(__xludf.DUMMYFUNCTION("""COMPUTED_VALUE"""),"https://drive.google.com/file/d/17aDya09m3ps14t4ln_Mxj2opyWcDwsWg/view?usp=drivesdk")</f>
        <v>https://drive.google.com/file/d/17aDya09m3ps14t4ln_Mxj2opyWcDwsWg/view?usp=drivesdk</v>
      </c>
      <c r="X78" s="28" t="str">
        <f>IFERROR(__xludf.DUMMYFUNCTION("""COMPUTED_VALUE"""),"https://drive.google.com/file/d/1OkS1AuZr5zQob5nXzJJa8pYvXm3yawRe/view?usp=drivesdk")</f>
        <v>https://drive.google.com/file/d/1OkS1AuZr5zQob5nXzJJa8pYvXm3yawRe/view?usp=drivesdk</v>
      </c>
      <c r="Y78" s="28" t="str">
        <f>IFERROR(__xludf.DUMMYFUNCTION("""COMPUTED_VALUE"""),"https://drive.google.com/file/d/1pkbNJaymIEMxjG1jCjZnZqE_ZkHccoD8/view?usp=drivesdk")</f>
        <v>https://drive.google.com/file/d/1pkbNJaymIEMxjG1jCjZnZqE_ZkHccoD8/view?usp=drivesdk</v>
      </c>
      <c r="Z78" s="28" t="str">
        <f>IFERROR(__xludf.DUMMYFUNCTION("""COMPUTED_VALUE"""),"https://drive.google.com/file/d/1ufpsDKBv-mH5AR-qhDgRtOsUaCnuD9z_/view?usp=drivesdk")</f>
        <v>https://drive.google.com/file/d/1ufpsDKBv-mH5AR-qhDgRtOsUaCnuD9z_/view?usp=drivesdk</v>
      </c>
    </row>
    <row r="79">
      <c r="A79" s="4" t="str">
        <f>IFERROR(__xludf.DUMMYFUNCTION("""COMPUTED_VALUE"""),"N8533UG")</f>
        <v>N8533UG</v>
      </c>
      <c r="B79" s="4" t="str">
        <f>IFERROR(__xludf.DUMMYFUNCTION("""COMPUTED_VALUE"""),"16 KL")</f>
        <v>16 KL</v>
      </c>
      <c r="C79" s="4" t="str">
        <f>IFERROR(__xludf.DUMMYFUNCTION("""COMPUTED_VALUE"""),"PT. SINAR WAHANA SURYA")</f>
        <v>PT. SINAR WAHANA SURYA</v>
      </c>
      <c r="D79" s="4" t="str">
        <f>IFERROR(__xludf.DUMMYFUNCTION("""COMPUTED_VALUE"""),"13kTTJW7wgbFSK66dhW4o6CRKXivqxv4o")</f>
        <v>13kTTJW7wgbFSK66dhW4o6CRKXivqxv4o</v>
      </c>
      <c r="E79" s="17">
        <f>IFERROR(__xludf.DUMMYFUNCTION("""COMPUTED_VALUE"""),47213.0)</f>
        <v>47213</v>
      </c>
      <c r="F79" s="17">
        <f>IFERROR(__xludf.DUMMYFUNCTION("""COMPUTED_VALUE"""),46482.0)</f>
        <v>46482</v>
      </c>
      <c r="G79" s="17">
        <f>IFERROR(__xludf.DUMMYFUNCTION("""COMPUTED_VALUE"""),46305.0)</f>
        <v>46305</v>
      </c>
      <c r="H79" s="17"/>
      <c r="I79" s="17">
        <f>IFERROR(__xludf.DUMMYFUNCTION("""COMPUTED_VALUE"""),46305.0)</f>
        <v>46305</v>
      </c>
      <c r="J79" s="17">
        <f>IFERROR(__xludf.DUMMYFUNCTION("""COMPUTED_VALUE"""),46893.0)</f>
        <v>46893</v>
      </c>
      <c r="K79" s="17">
        <f>IFERROR(__xludf.DUMMYFUNCTION("""COMPUTED_VALUE"""),46304.0)</f>
        <v>46304</v>
      </c>
      <c r="L79" s="17">
        <f>IFERROR(__xludf.DUMMYFUNCTION("""COMPUTED_VALUE"""),46388.0)</f>
        <v>46388</v>
      </c>
      <c r="M79" s="4" t="str">
        <f>IFERROR(__xludf.DUMMYFUNCTION("""COMPUTED_VALUE"""),"04260000000011 / 000201")</f>
        <v>04260000000011 / 000201</v>
      </c>
      <c r="N79" s="28" t="str">
        <f>IFERROR(__xludf.DUMMYFUNCTION("""COMPUTED_VALUE"""),"https://drive.google.com/file/d/1rBJTYoIICnWPfzqmdBL0Fa5MRUR4983_/view?usp=drivesdk")</f>
        <v>https://drive.google.com/file/d/1rBJTYoIICnWPfzqmdBL0Fa5MRUR4983_/view?usp=drivesdk</v>
      </c>
      <c r="O79" s="28" t="str">
        <f>IFERROR(__xludf.DUMMYFUNCTION("""COMPUTED_VALUE"""),"https://drive.google.com/file/d/1UW-o8zgreAfE3vtT3cnvFYIepPLwx6q3/view?usp=drivesdk")</f>
        <v>https://drive.google.com/file/d/1UW-o8zgreAfE3vtT3cnvFYIepPLwx6q3/view?usp=drivesdk</v>
      </c>
      <c r="P79" s="28" t="str">
        <f>IFERROR(__xludf.DUMMYFUNCTION("""COMPUTED_VALUE"""),"https://drive.google.com/file/d/1t12WTz-dAVezWUtbbJfXdXFxUUNdm09b/view?usp=drivesdk")</f>
        <v>https://drive.google.com/file/d/1t12WTz-dAVezWUtbbJfXdXFxUUNdm09b/view?usp=drivesdk</v>
      </c>
      <c r="Q79" s="4"/>
      <c r="R79" s="28" t="str">
        <f>IFERROR(__xludf.DUMMYFUNCTION("""COMPUTED_VALUE"""),"https://drive.google.com/file/d/13CTzXvNABstkOaEB5jm7O_B1VvpjDiCy/view?usp=drivesdk")</f>
        <v>https://drive.google.com/file/d/13CTzXvNABstkOaEB5jm7O_B1VvpjDiCy/view?usp=drivesdk</v>
      </c>
      <c r="S79" s="28" t="str">
        <f>IFERROR(__xludf.DUMMYFUNCTION("""COMPUTED_VALUE"""),"https://drive.google.com/file/d/1EWYwh_qws_ApJTa-FM0suaeJrlxv2Q0f/view?usp=drivesdk")</f>
        <v>https://drive.google.com/file/d/1EWYwh_qws_ApJTa-FM0suaeJrlxv2Q0f/view?usp=drivesdk</v>
      </c>
      <c r="T79" s="28" t="str">
        <f>IFERROR(__xludf.DUMMYFUNCTION("""COMPUTED_VALUE"""),"https://drive.google.com/file/d/17MduSKcoFZjcwqeM_ZziQoMyCdsznSjt/view?usp=drivesdk")</f>
        <v>https://drive.google.com/file/d/17MduSKcoFZjcwqeM_ZziQoMyCdsznSjt/view?usp=drivesdk</v>
      </c>
      <c r="U79" s="4"/>
      <c r="V79" s="4"/>
      <c r="W79" s="28" t="str">
        <f>IFERROR(__xludf.DUMMYFUNCTION("""COMPUTED_VALUE"""),"https://drive.google.com/file/d/1VCHuiweS4URUSTLuINyHJrMmfYS3f_DS/view?usp=drivesdk")</f>
        <v>https://drive.google.com/file/d/1VCHuiweS4URUSTLuINyHJrMmfYS3f_DS/view?usp=drivesdk</v>
      </c>
      <c r="X79" s="28" t="str">
        <f>IFERROR(__xludf.DUMMYFUNCTION("""COMPUTED_VALUE"""),"https://drive.google.com/file/d/1iCOdO3obyOWY9yO2UtXfVq6Pzs8PyGrL/view?usp=drivesdk")</f>
        <v>https://drive.google.com/file/d/1iCOdO3obyOWY9yO2UtXfVq6Pzs8PyGrL/view?usp=drivesdk</v>
      </c>
      <c r="Y79" s="28" t="str">
        <f>IFERROR(__xludf.DUMMYFUNCTION("""COMPUTED_VALUE"""),"https://drive.google.com/file/d/1X6XzoGo3ohXP6Fhs7xRq7j6hLYhTixz3/view?usp=drivesdk")</f>
        <v>https://drive.google.com/file/d/1X6XzoGo3ohXP6Fhs7xRq7j6hLYhTixz3/view?usp=drivesdk</v>
      </c>
      <c r="Z79" s="28" t="str">
        <f>IFERROR(__xludf.DUMMYFUNCTION("""COMPUTED_VALUE"""),"https://drive.google.com/file/d/1vwba4p_zoidO6WtbuJrr7e26O7IEpXQN/view?usp=drivesdk")</f>
        <v>https://drive.google.com/file/d/1vwba4p_zoidO6WtbuJrr7e26O7IEpXQN/view?usp=drivesdk</v>
      </c>
    </row>
    <row r="80">
      <c r="A80" s="4" t="str">
        <f>IFERROR(__xludf.DUMMYFUNCTION("""COMPUTED_VALUE"""),"B9077SEI")</f>
        <v>B9077SEI</v>
      </c>
      <c r="B80" s="4" t="str">
        <f>IFERROR(__xludf.DUMMYFUNCTION("""COMPUTED_VALUE"""),"24 KL")</f>
        <v>24 KL</v>
      </c>
      <c r="C80" s="4" t="str">
        <f>IFERROR(__xludf.DUMMYFUNCTION("""COMPUTED_VALUE"""),"PT. PERTAMINA PATRA NIAGA")</f>
        <v>PT. PERTAMINA PATRA NIAGA</v>
      </c>
      <c r="D80" s="4" t="str">
        <f>IFERROR(__xludf.DUMMYFUNCTION("""COMPUTED_VALUE"""),"1puxExwFatOecrtPJF6t25DF9OG-JnGvy")</f>
        <v>1puxExwFatOecrtPJF6t25DF9OG-JnGvy</v>
      </c>
      <c r="E80" s="17">
        <f>IFERROR(__xludf.DUMMYFUNCTION("""COMPUTED_VALUE"""),47402.0)</f>
        <v>47402</v>
      </c>
      <c r="F80" s="17">
        <f>IFERROR(__xludf.DUMMYFUNCTION("""COMPUTED_VALUE"""),46306.0)</f>
        <v>46306</v>
      </c>
      <c r="G80" s="17">
        <f>IFERROR(__xludf.DUMMYFUNCTION("""COMPUTED_VALUE"""),46261.0)</f>
        <v>46261</v>
      </c>
      <c r="H80" s="17">
        <f>IFERROR(__xludf.DUMMYFUNCTION("""COMPUTED_VALUE"""),46355.0)</f>
        <v>46355</v>
      </c>
      <c r="I80" s="17">
        <f>IFERROR(__xludf.DUMMYFUNCTION("""COMPUTED_VALUE"""),46279.0)</f>
        <v>46279</v>
      </c>
      <c r="J80" s="17">
        <f>IFERROR(__xludf.DUMMYFUNCTION("""COMPUTED_VALUE"""),46815.0)</f>
        <v>46815</v>
      </c>
      <c r="K80" s="17">
        <f>IFERROR(__xludf.DUMMYFUNCTION("""COMPUTED_VALUE"""),46302.0)</f>
        <v>46302</v>
      </c>
      <c r="L80" s="17"/>
      <c r="M80" s="4"/>
      <c r="N80" s="28" t="str">
        <f>IFERROR(__xludf.DUMMYFUNCTION("""COMPUTED_VALUE"""),"https://drive.google.com/file/d/1-5jI8TpCYvrCfRIkb7Nnr11epFgSp4i9/view?usp=drivesdk")</f>
        <v>https://drive.google.com/file/d/1-5jI8TpCYvrCfRIkb7Nnr11epFgSp4i9/view?usp=drivesdk</v>
      </c>
      <c r="O80" s="28" t="str">
        <f>IFERROR(__xludf.DUMMYFUNCTION("""COMPUTED_VALUE"""),"https://drive.google.com/file/d/10rbKdRU3PZCKhgYK8QBIMxaBrEE82wnD/view?usp=drivesdk")</f>
        <v>https://drive.google.com/file/d/10rbKdRU3PZCKhgYK8QBIMxaBrEE82wnD/view?usp=drivesdk</v>
      </c>
      <c r="P80" s="28" t="str">
        <f>IFERROR(__xludf.DUMMYFUNCTION("""COMPUTED_VALUE"""),"https://drive.google.com/file/d/1jrSUR3J4yUB8KnBNK6RC1ftUS_s2CLYY/view?usp=drivesdk")</f>
        <v>https://drive.google.com/file/d/1jrSUR3J4yUB8KnBNK6RC1ftUS_s2CLYY/view?usp=drivesdk</v>
      </c>
      <c r="Q80" s="28" t="str">
        <f>IFERROR(__xludf.DUMMYFUNCTION("""COMPUTED_VALUE"""),"https://drive.google.com/file/d/1nMTUAGvK1Z_IiT3x29V4z5ISRfJx2fVM/view?usp=drivesdk")</f>
        <v>https://drive.google.com/file/d/1nMTUAGvK1Z_IiT3x29V4z5ISRfJx2fVM/view?usp=drivesdk</v>
      </c>
      <c r="R80" s="28" t="str">
        <f>IFERROR(__xludf.DUMMYFUNCTION("""COMPUTED_VALUE"""),"https://drive.google.com/file/d/1liX0z2X7sBUHBdUhY7UWqUjQ_wvrsbbs/view?usp=drivesdk")</f>
        <v>https://drive.google.com/file/d/1liX0z2X7sBUHBdUhY7UWqUjQ_wvrsbbs/view?usp=drivesdk</v>
      </c>
      <c r="S80" s="28" t="str">
        <f>IFERROR(__xludf.DUMMYFUNCTION("""COMPUTED_VALUE"""),"https://drive.google.com/file/d/1kdcSFih13zCgUlZ7QtHbetpZAC7VXRTK/view?usp=drivesdk")</f>
        <v>https://drive.google.com/file/d/1kdcSFih13zCgUlZ7QtHbetpZAC7VXRTK/view?usp=drivesdk</v>
      </c>
      <c r="T80" s="28" t="str">
        <f>IFERROR(__xludf.DUMMYFUNCTION("""COMPUTED_VALUE"""),"https://drive.google.com/file/d/13FPns8SpKB69nb4gx8QgLaM1rn8cYpas/view?usp=drivesdk")</f>
        <v>https://drive.google.com/file/d/13FPns8SpKB69nb4gx8QgLaM1rn8cYpas/view?usp=drivesdk</v>
      </c>
      <c r="U80" s="4"/>
      <c r="V80" s="4"/>
      <c r="W80" s="28" t="str">
        <f>IFERROR(__xludf.DUMMYFUNCTION("""COMPUTED_VALUE"""),"https://drive.google.com/file/d/1BmCFSzvAmUVIZ7qR1CusadiegWEmZblm/view?usp=drivesdk")</f>
        <v>https://drive.google.com/file/d/1BmCFSzvAmUVIZ7qR1CusadiegWEmZblm/view?usp=drivesdk</v>
      </c>
      <c r="X80" s="28" t="str">
        <f>IFERROR(__xludf.DUMMYFUNCTION("""COMPUTED_VALUE"""),"https://drive.google.com/file/d/1qnC4iKATngFynyVGTDWjezj_qv3dgdou/view?usp=drivesdk")</f>
        <v>https://drive.google.com/file/d/1qnC4iKATngFynyVGTDWjezj_qv3dgdou/view?usp=drivesdk</v>
      </c>
      <c r="Y80" s="28" t="str">
        <f>IFERROR(__xludf.DUMMYFUNCTION("""COMPUTED_VALUE"""),"https://drive.google.com/file/d/1T4ZpnGdaEn7OmBwFN9TwhNOfcI2tZhN5/view?usp=drivesdk")</f>
        <v>https://drive.google.com/file/d/1T4ZpnGdaEn7OmBwFN9TwhNOfcI2tZhN5/view?usp=drivesdk</v>
      </c>
      <c r="Z80" s="28" t="str">
        <f>IFERROR(__xludf.DUMMYFUNCTION("""COMPUTED_VALUE"""),"https://drive.google.com/file/d/1hiLWHShHto3Yci0unsK6fUe-jmdqSEb6/view?usp=drivesdk")</f>
        <v>https://drive.google.com/file/d/1hiLWHShHto3Yci0unsK6fUe-jmdqSEb6/view?usp=drivesdk</v>
      </c>
    </row>
    <row r="81">
      <c r="A81" s="4" t="str">
        <f>IFERROR(__xludf.DUMMYFUNCTION("""COMPUTED_VALUE"""),"B9812TEI")</f>
        <v>B9812TEI</v>
      </c>
      <c r="B81" s="4" t="str">
        <f>IFERROR(__xludf.DUMMYFUNCTION("""COMPUTED_VALUE"""),"24 KL")</f>
        <v>24 KL</v>
      </c>
      <c r="C81" s="4" t="str">
        <f>IFERROR(__xludf.DUMMYFUNCTION("""COMPUTED_VALUE"""),"PT. ADAM TRANS")</f>
        <v>PT. ADAM TRANS</v>
      </c>
      <c r="D81" s="4" t="str">
        <f>IFERROR(__xludf.DUMMYFUNCTION("""COMPUTED_VALUE"""),"1fAIE-qKvWMNmJfLVnnALMgr_soXJ51Pm")</f>
        <v>1fAIE-qKvWMNmJfLVnnALMgr_soXJ51Pm</v>
      </c>
      <c r="E81" s="17">
        <f>IFERROR(__xludf.DUMMYFUNCTION("""COMPUTED_VALUE"""),46903.0)</f>
        <v>46903</v>
      </c>
      <c r="F81" s="17">
        <f>IFERROR(__xludf.DUMMYFUNCTION("""COMPUTED_VALUE"""),46537.0)</f>
        <v>46537</v>
      </c>
      <c r="G81" s="17">
        <f>IFERROR(__xludf.DUMMYFUNCTION("""COMPUTED_VALUE"""),46436.0)</f>
        <v>46436</v>
      </c>
      <c r="H81" s="17">
        <f>IFERROR(__xludf.DUMMYFUNCTION("""COMPUTED_VALUE"""),46436.0)</f>
        <v>46436</v>
      </c>
      <c r="I81" s="17">
        <f>IFERROR(__xludf.DUMMYFUNCTION("""COMPUTED_VALUE"""),46436.0)</f>
        <v>46436</v>
      </c>
      <c r="J81" s="17">
        <f>IFERROR(__xludf.DUMMYFUNCTION("""COMPUTED_VALUE"""),46507.0)</f>
        <v>46507</v>
      </c>
      <c r="K81" s="17">
        <f>IFERROR(__xludf.DUMMYFUNCTION("""COMPUTED_VALUE"""),46340.0)</f>
        <v>46340</v>
      </c>
      <c r="L81" s="17">
        <f>IFERROR(__xludf.DUMMYFUNCTION("""COMPUTED_VALUE"""),46388.0)</f>
        <v>46388</v>
      </c>
      <c r="M81" s="4" t="str">
        <f>IFERROR(__xludf.DUMMYFUNCTION("""COMPUTED_VALUE"""),"04260000000011 / 000011")</f>
        <v>04260000000011 / 000011</v>
      </c>
      <c r="N81" s="28" t="str">
        <f>IFERROR(__xludf.DUMMYFUNCTION("""COMPUTED_VALUE"""),"https://drive.google.com/file/d/1B2ZfURLT2Q9HWFbdHbAZeEiFinLUXBIv/view?usp=drivesdk")</f>
        <v>https://drive.google.com/file/d/1B2ZfURLT2Q9HWFbdHbAZeEiFinLUXBIv/view?usp=drivesdk</v>
      </c>
      <c r="O81" s="28" t="str">
        <f>IFERROR(__xludf.DUMMYFUNCTION("""COMPUTED_VALUE"""),"https://drive.google.com/file/d/1YpNqg69QH_Y6KG4d5hFT8wa3Ho31M8RU/view?usp=drivesdk")</f>
        <v>https://drive.google.com/file/d/1YpNqg69QH_Y6KG4d5hFT8wa3Ho31M8RU/view?usp=drivesdk</v>
      </c>
      <c r="P81" s="28" t="str">
        <f>IFERROR(__xludf.DUMMYFUNCTION("""COMPUTED_VALUE"""),"https://drive.google.com/file/d/13Uccq0UN7K-GtpK0GlFnbbpYbDaT9qJP/view?usp=drivesdk")</f>
        <v>https://drive.google.com/file/d/13Uccq0UN7K-GtpK0GlFnbbpYbDaT9qJP/view?usp=drivesdk</v>
      </c>
      <c r="Q81" s="28" t="str">
        <f>IFERROR(__xludf.DUMMYFUNCTION("""COMPUTED_VALUE"""),"https://drive.google.com/file/d/1nZJtLJg5JxSUkaCy3eyKoXp58A0LFz6i/view?usp=drivesdk")</f>
        <v>https://drive.google.com/file/d/1nZJtLJg5JxSUkaCy3eyKoXp58A0LFz6i/view?usp=drivesdk</v>
      </c>
      <c r="R81" s="28" t="str">
        <f>IFERROR(__xludf.DUMMYFUNCTION("""COMPUTED_VALUE"""),"https://drive.google.com/file/d/1s-DjUwReqsCZhhvBlbMSa5JXJPi8VURw/view?usp=drivesdk")</f>
        <v>https://drive.google.com/file/d/1s-DjUwReqsCZhhvBlbMSa5JXJPi8VURw/view?usp=drivesdk</v>
      </c>
      <c r="S81" s="28" t="str">
        <f>IFERROR(__xludf.DUMMYFUNCTION("""COMPUTED_VALUE"""),"https://drive.google.com/file/d/1ku80DXxctVzvgKg22Fd3SnMLSoEcwtqE/view?usp=drivesdk")</f>
        <v>https://drive.google.com/file/d/1ku80DXxctVzvgKg22Fd3SnMLSoEcwtqE/view?usp=drivesdk</v>
      </c>
      <c r="T81" s="28" t="str">
        <f>IFERROR(__xludf.DUMMYFUNCTION("""COMPUTED_VALUE"""),"https://drive.google.com/file/d/1atKojnQrHPuVbXFx3bBzw84u-F_dzjf6/view?usp=drivesdk")</f>
        <v>https://drive.google.com/file/d/1atKojnQrHPuVbXFx3bBzw84u-F_dzjf6/view?usp=drivesdk</v>
      </c>
      <c r="U81" s="4"/>
      <c r="V81" s="4"/>
      <c r="W81" s="28" t="str">
        <f>IFERROR(__xludf.DUMMYFUNCTION("""COMPUTED_VALUE"""),"https://drive.google.com/file/d/1EoJqUvwbr-OGuqI-gNShn2xt_TUE_4qs/view?usp=drivesdk")</f>
        <v>https://drive.google.com/file/d/1EoJqUvwbr-OGuqI-gNShn2xt_TUE_4qs/view?usp=drivesdk</v>
      </c>
      <c r="X81" s="28" t="str">
        <f>IFERROR(__xludf.DUMMYFUNCTION("""COMPUTED_VALUE"""),"https://drive.google.com/file/d/11s1g6J-kzm0e3a9d6mHNRaXZaAvhjzth/view?usp=drivesdk")</f>
        <v>https://drive.google.com/file/d/11s1g6J-kzm0e3a9d6mHNRaXZaAvhjzth/view?usp=drivesdk</v>
      </c>
      <c r="Y81" s="28" t="str">
        <f>IFERROR(__xludf.DUMMYFUNCTION("""COMPUTED_VALUE"""),"https://drive.google.com/file/d/1cu1Uw023juWle3x9zn9w3uI8uKXBV1oR/view?usp=drivesdk")</f>
        <v>https://drive.google.com/file/d/1cu1Uw023juWle3x9zn9w3uI8uKXBV1oR/view?usp=drivesdk</v>
      </c>
      <c r="Z81" s="28" t="str">
        <f>IFERROR(__xludf.DUMMYFUNCTION("""COMPUTED_VALUE"""),"https://drive.google.com/file/d/1QTktZ5fVb6a1rm8J5yGYLE2RMu0Hycye/view?usp=drivesdk")</f>
        <v>https://drive.google.com/file/d/1QTktZ5fVb6a1rm8J5yGYLE2RMu0Hycye/view?usp=drivesdk</v>
      </c>
    </row>
    <row r="82">
      <c r="A82" s="4" t="str">
        <f>IFERROR(__xludf.DUMMYFUNCTION("""COMPUTED_VALUE"""),"B9234SFV")</f>
        <v>B9234SFV</v>
      </c>
      <c r="B82" s="4" t="str">
        <f>IFERROR(__xludf.DUMMYFUNCTION("""COMPUTED_VALUE"""),"16 KL")</f>
        <v>16 KL</v>
      </c>
      <c r="C82" s="4" t="str">
        <f>IFERROR(__xludf.DUMMYFUNCTION("""COMPUTED_VALUE"""),"PT. PERTAMINA PATRA NIAGA")</f>
        <v>PT. PERTAMINA PATRA NIAGA</v>
      </c>
      <c r="D82" s="4" t="str">
        <f>IFERROR(__xludf.DUMMYFUNCTION("""COMPUTED_VALUE"""),"1W7wndntdQUIdO11SaW1pZo1JFIqpcfTg")</f>
        <v>1W7wndntdQUIdO11SaW1pZo1JFIqpcfTg</v>
      </c>
      <c r="E82" s="17">
        <f>IFERROR(__xludf.DUMMYFUNCTION("""COMPUTED_VALUE"""),47396.0)</f>
        <v>47396</v>
      </c>
      <c r="F82" s="17">
        <f>IFERROR(__xludf.DUMMYFUNCTION("""COMPUTED_VALUE"""),46300.0)</f>
        <v>46300</v>
      </c>
      <c r="G82" s="17">
        <f>IFERROR(__xludf.DUMMYFUNCTION("""COMPUTED_VALUE"""),46277.0)</f>
        <v>46277</v>
      </c>
      <c r="H82" s="17"/>
      <c r="I82" s="17">
        <f>IFERROR(__xludf.DUMMYFUNCTION("""COMPUTED_VALUE"""),46277.0)</f>
        <v>46277</v>
      </c>
      <c r="J82" s="17">
        <f>IFERROR(__xludf.DUMMYFUNCTION("""COMPUTED_VALUE"""),46773.0)</f>
        <v>46773</v>
      </c>
      <c r="K82" s="17">
        <f>IFERROR(__xludf.DUMMYFUNCTION("""COMPUTED_VALUE"""),46302.0)</f>
        <v>46302</v>
      </c>
      <c r="L82" s="17"/>
      <c r="M82" s="4"/>
      <c r="N82" s="28" t="str">
        <f>IFERROR(__xludf.DUMMYFUNCTION("""COMPUTED_VALUE"""),"https://drive.google.com/file/d/18w5sNz1s7w2jZ8TyooLdhOEqzT3UL1Nm/view?usp=drivesdk")</f>
        <v>https://drive.google.com/file/d/18w5sNz1s7w2jZ8TyooLdhOEqzT3UL1Nm/view?usp=drivesdk</v>
      </c>
      <c r="O82" s="28" t="str">
        <f>IFERROR(__xludf.DUMMYFUNCTION("""COMPUTED_VALUE"""),"https://drive.google.com/file/d/1ydRVUOV8FN50OfzyKEOWHH78b_qencfn/view?usp=drivesdk")</f>
        <v>https://drive.google.com/file/d/1ydRVUOV8FN50OfzyKEOWHH78b_qencfn/view?usp=drivesdk</v>
      </c>
      <c r="P82" s="28" t="str">
        <f>IFERROR(__xludf.DUMMYFUNCTION("""COMPUTED_VALUE"""),"https://drive.google.com/file/d/19JIeX0OrZrXZLQ2Q6K1E-zgP88rioRIa/view?usp=drivesdk")</f>
        <v>https://drive.google.com/file/d/19JIeX0OrZrXZLQ2Q6K1E-zgP88rioRIa/view?usp=drivesdk</v>
      </c>
      <c r="Q82" s="4"/>
      <c r="R82" s="28" t="str">
        <f>IFERROR(__xludf.DUMMYFUNCTION("""COMPUTED_VALUE"""),"https://drive.google.com/file/d/1j_SPJUn3JjMxxgiE8vFX9KKWDwFa1scJ/view?usp=drivesdk")</f>
        <v>https://drive.google.com/file/d/1j_SPJUn3JjMxxgiE8vFX9KKWDwFa1scJ/view?usp=drivesdk</v>
      </c>
      <c r="S82" s="28" t="str">
        <f>IFERROR(__xludf.DUMMYFUNCTION("""COMPUTED_VALUE"""),"https://drive.google.com/file/d/1vtEuuXbt5c9FGIZcqrAi3DgJBAPnxI_w/view?usp=drivesdk")</f>
        <v>https://drive.google.com/file/d/1vtEuuXbt5c9FGIZcqrAi3DgJBAPnxI_w/view?usp=drivesdk</v>
      </c>
      <c r="T82" s="28" t="str">
        <f>IFERROR(__xludf.DUMMYFUNCTION("""COMPUTED_VALUE"""),"https://drive.google.com/file/d/1X6YlaJJaGBkbeOMx6cnmK2aF9AAE4nuT/view?usp=drivesdk")</f>
        <v>https://drive.google.com/file/d/1X6YlaJJaGBkbeOMx6cnmK2aF9AAE4nuT/view?usp=drivesdk</v>
      </c>
      <c r="U82" s="4"/>
      <c r="V82" s="4"/>
      <c r="W82" s="28" t="str">
        <f>IFERROR(__xludf.DUMMYFUNCTION("""COMPUTED_VALUE"""),"https://drive.google.com/file/d/1XscHeJ9sVwcjnbX4g-wkzWYHNgyRmp4m/view?usp=drivesdk")</f>
        <v>https://drive.google.com/file/d/1XscHeJ9sVwcjnbX4g-wkzWYHNgyRmp4m/view?usp=drivesdk</v>
      </c>
      <c r="X82" s="28" t="str">
        <f>IFERROR(__xludf.DUMMYFUNCTION("""COMPUTED_VALUE"""),"https://drive.google.com/file/d/1-mNFsxXG5iY-ooI_B8XliF93nOYdrvu4/view?usp=drivesdk")</f>
        <v>https://drive.google.com/file/d/1-mNFsxXG5iY-ooI_B8XliF93nOYdrvu4/view?usp=drivesdk</v>
      </c>
      <c r="Y82" s="28" t="str">
        <f>IFERROR(__xludf.DUMMYFUNCTION("""COMPUTED_VALUE"""),"https://drive.google.com/file/d/10XzpYpn2T2xSlLwNOCJbFeijOLKA3hQp/view?usp=drivesdk")</f>
        <v>https://drive.google.com/file/d/10XzpYpn2T2xSlLwNOCJbFeijOLKA3hQp/view?usp=drivesdk</v>
      </c>
      <c r="Z82" s="28" t="str">
        <f>IFERROR(__xludf.DUMMYFUNCTION("""COMPUTED_VALUE"""),"https://drive.google.com/file/d/1cmSOiYR6x86kzuebhe1-Q46D1tPwc_NE/view?usp=drivesdk")</f>
        <v>https://drive.google.com/file/d/1cmSOiYR6x86kzuebhe1-Q46D1tPwc_NE/view?usp=drivesdk</v>
      </c>
    </row>
    <row r="83">
      <c r="A83" s="4" t="str">
        <f>IFERROR(__xludf.DUMMYFUNCTION("""COMPUTED_VALUE"""),"N9326UI")</f>
        <v>N9326UI</v>
      </c>
      <c r="B83" s="4" t="str">
        <f>IFERROR(__xludf.DUMMYFUNCTION("""COMPUTED_VALUE"""),"16 KL")</f>
        <v>16 KL</v>
      </c>
      <c r="C83" s="4" t="str">
        <f>IFERROR(__xludf.DUMMYFUNCTION("""COMPUTED_VALUE"""),"PT. SINAR WAHANA SURYA")</f>
        <v>PT. SINAR WAHANA SURYA</v>
      </c>
      <c r="D83" s="4" t="str">
        <f>IFERROR(__xludf.DUMMYFUNCTION("""COMPUTED_VALUE"""),"1F2zzxKU0xPu29-9pVTCPRFjy-aDmuUrH")</f>
        <v>1F2zzxKU0xPu29-9pVTCPRFjy-aDmuUrH</v>
      </c>
      <c r="E83" s="17">
        <f>IFERROR(__xludf.DUMMYFUNCTION("""COMPUTED_VALUE"""),47102.0)</f>
        <v>47102</v>
      </c>
      <c r="F83" s="17">
        <f>IFERROR(__xludf.DUMMYFUNCTION("""COMPUTED_VALUE"""),46371.0)</f>
        <v>46371</v>
      </c>
      <c r="G83" s="17">
        <f>IFERROR(__xludf.DUMMYFUNCTION("""COMPUTED_VALUE"""),46367.0)</f>
        <v>46367</v>
      </c>
      <c r="H83" s="17"/>
      <c r="I83" s="17">
        <f>IFERROR(__xludf.DUMMYFUNCTION("""COMPUTED_VALUE"""),46367.0)</f>
        <v>46367</v>
      </c>
      <c r="J83" s="17">
        <f>IFERROR(__xludf.DUMMYFUNCTION("""COMPUTED_VALUE"""),46765.0)</f>
        <v>46765</v>
      </c>
      <c r="K83" s="17">
        <f>IFERROR(__xludf.DUMMYFUNCTION("""COMPUTED_VALUE"""),46360.0)</f>
        <v>46360</v>
      </c>
      <c r="L83" s="17">
        <f>IFERROR(__xludf.DUMMYFUNCTION("""COMPUTED_VALUE"""),46388.0)</f>
        <v>46388</v>
      </c>
      <c r="M83" s="4" t="str">
        <f>IFERROR(__xludf.DUMMYFUNCTION("""COMPUTED_VALUE"""),"04260000000011 / 000200")</f>
        <v>04260000000011 / 000200</v>
      </c>
      <c r="N83" s="28" t="str">
        <f>IFERROR(__xludf.DUMMYFUNCTION("""COMPUTED_VALUE"""),"https://drive.google.com/open?id=1ORWsbbvNBIkaaLBZj76-3uQzV_uCPUCl")</f>
        <v>https://drive.google.com/open?id=1ORWsbbvNBIkaaLBZj76-3uQzV_uCPUCl</v>
      </c>
      <c r="O83" s="28" t="str">
        <f>IFERROR(__xludf.DUMMYFUNCTION("""COMPUTED_VALUE"""),"https://drive.google.com/file/d/16qKZlSBqwVImSDheRZjIFBDpod_E8VkW/view?usp=drivesdk")</f>
        <v>https://drive.google.com/file/d/16qKZlSBqwVImSDheRZjIFBDpod_E8VkW/view?usp=drivesdk</v>
      </c>
      <c r="P83" s="28" t="str">
        <f>IFERROR(__xludf.DUMMYFUNCTION("""COMPUTED_VALUE"""),"https://drive.google.com/file/d/18ikEIYt8jcY5U_l2ZruF3pgPB1RJ_oHm/view?usp=drivesdk")</f>
        <v>https://drive.google.com/file/d/18ikEIYt8jcY5U_l2ZruF3pgPB1RJ_oHm/view?usp=drivesdk</v>
      </c>
      <c r="Q83" s="4"/>
      <c r="R83" s="28" t="str">
        <f>IFERROR(__xludf.DUMMYFUNCTION("""COMPUTED_VALUE"""),"https://drive.google.com/file/d/1z-zPyhoPjjkn573rRzcymz3xtXjITHow/view?usp=drivesdk")</f>
        <v>https://drive.google.com/file/d/1z-zPyhoPjjkn573rRzcymz3xtXjITHow/view?usp=drivesdk</v>
      </c>
      <c r="S83" s="28" t="str">
        <f>IFERROR(__xludf.DUMMYFUNCTION("""COMPUTED_VALUE"""),"https://drive.google.com/file/d/11Asrui31mfgRseb2bn3cFd2KwDAklKOc/view?usp=drivesdk")</f>
        <v>https://drive.google.com/file/d/11Asrui31mfgRseb2bn3cFd2KwDAklKOc/view?usp=drivesdk</v>
      </c>
      <c r="T83" s="28" t="str">
        <f>IFERROR(__xludf.DUMMYFUNCTION("""COMPUTED_VALUE"""),"https://drive.google.com/file/d/1o392RYhl6qovbCbRx_li-cs5PyR1vkUP/view?usp=drivesdk")</f>
        <v>https://drive.google.com/file/d/1o392RYhl6qovbCbRx_li-cs5PyR1vkUP/view?usp=drivesdk</v>
      </c>
      <c r="U83" s="4"/>
      <c r="V83" s="4"/>
      <c r="W83" s="28" t="str">
        <f>IFERROR(__xludf.DUMMYFUNCTION("""COMPUTED_VALUE"""),"https://drive.google.com/file/d/1y9jZryA2Ieke6jnTcRCWh6WzwZ2TntZA/view?usp=drivesdk")</f>
        <v>https://drive.google.com/file/d/1y9jZryA2Ieke6jnTcRCWh6WzwZ2TntZA/view?usp=drivesdk</v>
      </c>
      <c r="X83" s="28" t="str">
        <f>IFERROR(__xludf.DUMMYFUNCTION("""COMPUTED_VALUE"""),"https://drive.google.com/file/d/1VmXMWtejyLHZ-u43dqZGBgDmB4ZzTs52/view?usp=drivesdk")</f>
        <v>https://drive.google.com/file/d/1VmXMWtejyLHZ-u43dqZGBgDmB4ZzTs52/view?usp=drivesdk</v>
      </c>
      <c r="Y83" s="28" t="str">
        <f>IFERROR(__xludf.DUMMYFUNCTION("""COMPUTED_VALUE"""),"https://drive.google.com/file/d/1zZlwZ9aemmnu14euL86tA9La4nV4NWZn/view?usp=drivesdk")</f>
        <v>https://drive.google.com/file/d/1zZlwZ9aemmnu14euL86tA9La4nV4NWZn/view?usp=drivesdk</v>
      </c>
      <c r="Z83" s="28" t="str">
        <f>IFERROR(__xludf.DUMMYFUNCTION("""COMPUTED_VALUE"""),"https://drive.google.com/file/d/177rvobv6AMm0EGFroWz-IzeBtK3kpe-V/view?usp=drivesdk")</f>
        <v>https://drive.google.com/file/d/177rvobv6AMm0EGFroWz-IzeBtK3kpe-V/view?usp=drivesdk</v>
      </c>
    </row>
    <row r="84">
      <c r="A84" s="4" t="str">
        <f>IFERROR(__xludf.DUMMYFUNCTION("""COMPUTED_VALUE"""),"H9771OF")</f>
        <v>H9771OF</v>
      </c>
      <c r="B84" s="4" t="str">
        <f>IFERROR(__xludf.DUMMYFUNCTION("""COMPUTED_VALUE"""),"16 KL")</f>
        <v>16 KL</v>
      </c>
      <c r="C84" s="4" t="str">
        <f>IFERROR(__xludf.DUMMYFUNCTION("""COMPUTED_VALUE"""),"PT. LUMAS BIRU MANDIRI")</f>
        <v>PT. LUMAS BIRU MANDIRI</v>
      </c>
      <c r="D84" s="4" t="str">
        <f>IFERROR(__xludf.DUMMYFUNCTION("""COMPUTED_VALUE"""),"1k9xzlDVb_ewWrDLR5Yg01L1CAyWhP8f0")</f>
        <v>1k9xzlDVb_ewWrDLR5Yg01L1CAyWhP8f0</v>
      </c>
      <c r="E84" s="17">
        <f>IFERROR(__xludf.DUMMYFUNCTION("""COMPUTED_VALUE"""),47199.0)</f>
        <v>47199</v>
      </c>
      <c r="F84" s="17">
        <f>IFERROR(__xludf.DUMMYFUNCTION("""COMPUTED_VALUE"""),46468.0)</f>
        <v>46468</v>
      </c>
      <c r="G84" s="17">
        <f>IFERROR(__xludf.DUMMYFUNCTION("""COMPUTED_VALUE"""),46304.0)</f>
        <v>46304</v>
      </c>
      <c r="H84" s="17"/>
      <c r="I84" s="17">
        <f>IFERROR(__xludf.DUMMYFUNCTION("""COMPUTED_VALUE"""),46304.0)</f>
        <v>46304</v>
      </c>
      <c r="J84" s="17">
        <f>IFERROR(__xludf.DUMMYFUNCTION("""COMPUTED_VALUE"""),47014.0)</f>
        <v>47014</v>
      </c>
      <c r="K84" s="17">
        <f>IFERROR(__xludf.DUMMYFUNCTION("""COMPUTED_VALUE"""),46304.0)</f>
        <v>46304</v>
      </c>
      <c r="L84" s="17">
        <f>IFERROR(__xludf.DUMMYFUNCTION("""COMPUTED_VALUE"""),46388.0)</f>
        <v>46388</v>
      </c>
      <c r="M84" s="4" t="str">
        <f>IFERROR(__xludf.DUMMYFUNCTION("""COMPUTED_VALUE"""),"04260000000011 / 000033")</f>
        <v>04260000000011 / 000033</v>
      </c>
      <c r="N84" s="28" t="str">
        <f>IFERROR(__xludf.DUMMYFUNCTION("""COMPUTED_VALUE"""),"https://drive.google.com/file/d/1iiS4BM1vUkInnJDSQvbFCYtMEwYMSnAu/view?usp=drivesdk")</f>
        <v>https://drive.google.com/file/d/1iiS4BM1vUkInnJDSQvbFCYtMEwYMSnAu/view?usp=drivesdk</v>
      </c>
      <c r="O84" s="28" t="str">
        <f>IFERROR(__xludf.DUMMYFUNCTION("""COMPUTED_VALUE"""),"https://drive.google.com/file/d/1I8t2D5FnB523f8LmJGR8Ea8gl8ffcNdI/view?usp=drivesdk")</f>
        <v>https://drive.google.com/file/d/1I8t2D5FnB523f8LmJGR8Ea8gl8ffcNdI/view?usp=drivesdk</v>
      </c>
      <c r="P84" s="28" t="str">
        <f>IFERROR(__xludf.DUMMYFUNCTION("""COMPUTED_VALUE"""),"https://drive.google.com/file/d/1_IY2Yve6wAgm-ngXwqK1XGCQd36qviaY/view?usp=drivesdk")</f>
        <v>https://drive.google.com/file/d/1_IY2Yve6wAgm-ngXwqK1XGCQd36qviaY/view?usp=drivesdk</v>
      </c>
      <c r="Q84" s="4"/>
      <c r="R84" s="28" t="str">
        <f>IFERROR(__xludf.DUMMYFUNCTION("""COMPUTED_VALUE"""),"https://drive.google.com/file/d/16tdTKxpnryIzbQ1KOeu9DOAK1k0_uWHO/view?usp=drivesdk")</f>
        <v>https://drive.google.com/file/d/16tdTKxpnryIzbQ1KOeu9DOAK1k0_uWHO/view?usp=drivesdk</v>
      </c>
      <c r="S84" s="28" t="str">
        <f>IFERROR(__xludf.DUMMYFUNCTION("""COMPUTED_VALUE"""),"https://drive.google.com/file/d/1H1WGJMSBjjX4UBrknXt_D774KCXu84zx/view?usp=drivesdk")</f>
        <v>https://drive.google.com/file/d/1H1WGJMSBjjX4UBrknXt_D774KCXu84zx/view?usp=drivesdk</v>
      </c>
      <c r="T84" s="4"/>
      <c r="U84" s="4"/>
      <c r="V84" s="4"/>
      <c r="W84" s="28" t="str">
        <f>IFERROR(__xludf.DUMMYFUNCTION("""COMPUTED_VALUE"""),"https://drive.google.com/file/d/1BanaQK8I44ftCn1_X4WnuXLFUa5psMyC/view?usp=drivesdk")</f>
        <v>https://drive.google.com/file/d/1BanaQK8I44ftCn1_X4WnuXLFUa5psMyC/view?usp=drivesdk</v>
      </c>
      <c r="X84" s="28" t="str">
        <f>IFERROR(__xludf.DUMMYFUNCTION("""COMPUTED_VALUE"""),"https://drive.google.com/file/d/1IifeeM-U7Cb3w6pE4NizuL9aQtunsNAM/view?usp=drivesdk")</f>
        <v>https://drive.google.com/file/d/1IifeeM-U7Cb3w6pE4NizuL9aQtunsNAM/view?usp=drivesdk</v>
      </c>
      <c r="Y84" s="28" t="str">
        <f>IFERROR(__xludf.DUMMYFUNCTION("""COMPUTED_VALUE"""),"https://drive.google.com/file/d/1TZM4jn-SPQFxVTP80lAxIAr6m0T3j0n_/view?usp=drivesdk")</f>
        <v>https://drive.google.com/file/d/1TZM4jn-SPQFxVTP80lAxIAr6m0T3j0n_/view?usp=drivesdk</v>
      </c>
      <c r="Z84" s="28" t="str">
        <f>IFERROR(__xludf.DUMMYFUNCTION("""COMPUTED_VALUE"""),"https://drive.google.com/file/d/1CRu2N0LHW6ufBJr_6qxXJSf1oKC4PvA2/view?usp=drivesdk")</f>
        <v>https://drive.google.com/file/d/1CRu2N0LHW6ufBJr_6qxXJSf1oKC4PvA2/view?usp=drivesdk</v>
      </c>
    </row>
    <row r="85">
      <c r="A85" s="4" t="str">
        <f>IFERROR(__xludf.DUMMYFUNCTION("""COMPUTED_VALUE"""),"H9063OH")</f>
        <v>H9063OH</v>
      </c>
      <c r="B85" s="4" t="str">
        <f>IFERROR(__xludf.DUMMYFUNCTION("""COMPUTED_VALUE"""),"16 KL")</f>
        <v>16 KL</v>
      </c>
      <c r="C85" s="4" t="str">
        <f>IFERROR(__xludf.DUMMYFUNCTION("""COMPUTED_VALUE"""),"PT. RESTU GEDE JAYA")</f>
        <v>PT. RESTU GEDE JAYA</v>
      </c>
      <c r="D85" s="4" t="str">
        <f>IFERROR(__xludf.DUMMYFUNCTION("""COMPUTED_VALUE"""),"1I1mbtFM99HtfsWbs0-qvrYx4CMWUVdrX")</f>
        <v>1I1mbtFM99HtfsWbs0-qvrYx4CMWUVdrX</v>
      </c>
      <c r="E85" s="17">
        <f>IFERROR(__xludf.DUMMYFUNCTION("""COMPUTED_VALUE"""),47595.0)</f>
        <v>47595</v>
      </c>
      <c r="F85" s="17">
        <f>IFERROR(__xludf.DUMMYFUNCTION("""COMPUTED_VALUE"""),46499.0)</f>
        <v>46499</v>
      </c>
      <c r="G85" s="17">
        <f>IFERROR(__xludf.DUMMYFUNCTION("""COMPUTED_VALUE"""),46375.0)</f>
        <v>46375</v>
      </c>
      <c r="H85" s="17"/>
      <c r="I85" s="17"/>
      <c r="J85" s="17">
        <f>IFERROR(__xludf.DUMMYFUNCTION("""COMPUTED_VALUE"""),46978.0)</f>
        <v>46978</v>
      </c>
      <c r="K85" s="17"/>
      <c r="L85" s="17">
        <f>IFERROR(__xludf.DUMMYFUNCTION("""COMPUTED_VALUE"""),46532.0)</f>
        <v>46532</v>
      </c>
      <c r="M85" s="4"/>
      <c r="N85" s="28" t="str">
        <f>IFERROR(__xludf.DUMMYFUNCTION("""COMPUTED_VALUE"""),"https://drive.google.com/file/d/15ZAYOAffT6AFdFMbfxwt2S9dZjoRp3fS/view?usp=drivesdk")</f>
        <v>https://drive.google.com/file/d/15ZAYOAffT6AFdFMbfxwt2S9dZjoRp3fS/view?usp=drivesdk</v>
      </c>
      <c r="O85" s="28" t="str">
        <f>IFERROR(__xludf.DUMMYFUNCTION("""COMPUTED_VALUE"""),"https://drive.google.com/file/d/1JLOHoxJprkoQsov8IVxF19vOB8cmRqut/view?usp=drivesdk")</f>
        <v>https://drive.google.com/file/d/1JLOHoxJprkoQsov8IVxF19vOB8cmRqut/view?usp=drivesdk</v>
      </c>
      <c r="P85" s="28" t="str">
        <f>IFERROR(__xludf.DUMMYFUNCTION("""COMPUTED_VALUE"""),"https://drive.google.com/file/d/1L0Q2PZxkUBNFj75lBBDUiN07DR3caSIi/view?usp=drivesdk")</f>
        <v>https://drive.google.com/file/d/1L0Q2PZxkUBNFj75lBBDUiN07DR3caSIi/view?usp=drivesdk</v>
      </c>
      <c r="Q85" s="4"/>
      <c r="R85" s="4"/>
      <c r="S85" s="28" t="str">
        <f>IFERROR(__xludf.DUMMYFUNCTION("""COMPUTED_VALUE"""),"https://drive.google.com/file/d/1MCRl1nshm8AJE7IILRGWx_k-bQxvFAhO/view?usp=drivesdk")</f>
        <v>https://drive.google.com/file/d/1MCRl1nshm8AJE7IILRGWx_k-bQxvFAhO/view?usp=drivesdk</v>
      </c>
      <c r="T85" s="4"/>
      <c r="U85" s="28" t="str">
        <f>IFERROR(__xludf.DUMMYFUNCTION("""COMPUTED_VALUE"""),"https://drive.google.com/file/d/1qTeIJBbkBzAW3-TsTTnMq5O8xa2dyrkh/view?usp=drivesdk")</f>
        <v>https://drive.google.com/file/d/1qTeIJBbkBzAW3-TsTTnMq5O8xa2dyrkh/view?usp=drivesdk</v>
      </c>
      <c r="V85" s="4"/>
      <c r="W85" s="4"/>
      <c r="X85" s="4"/>
      <c r="Y85" s="4"/>
      <c r="Z85" s="4"/>
    </row>
  </sheetData>
  <hyperlinks>
    <hyperlink r:id="rId1" ref="N2"/>
    <hyperlink r:id="rId2" ref="O2"/>
    <hyperlink r:id="rId3" ref="P2"/>
    <hyperlink r:id="rId4" ref="Q2"/>
    <hyperlink r:id="rId5" ref="R2"/>
    <hyperlink r:id="rId6" ref="S2"/>
    <hyperlink r:id="rId7" ref="T2"/>
    <hyperlink r:id="rId8" ref="U2"/>
    <hyperlink r:id="rId9" ref="N3"/>
    <hyperlink r:id="rId10" ref="O3"/>
    <hyperlink r:id="rId11" ref="P3"/>
    <hyperlink r:id="rId12" ref="R3"/>
    <hyperlink r:id="rId13" ref="S3"/>
    <hyperlink r:id="rId14" ref="N4"/>
    <hyperlink r:id="rId15" ref="O4"/>
    <hyperlink r:id="rId16" ref="P4"/>
    <hyperlink r:id="rId17" ref="R4"/>
    <hyperlink r:id="rId18" ref="S4"/>
    <hyperlink r:id="rId19" ref="T4"/>
    <hyperlink r:id="rId20" ref="N5"/>
    <hyperlink r:id="rId21" ref="O5"/>
    <hyperlink r:id="rId22" ref="P5"/>
    <hyperlink r:id="rId23" ref="Q5"/>
    <hyperlink r:id="rId24" ref="R5"/>
    <hyperlink r:id="rId25" ref="S5"/>
    <hyperlink r:id="rId26" ref="T5"/>
    <hyperlink r:id="rId27" ref="N6"/>
    <hyperlink r:id="rId28" ref="O6"/>
    <hyperlink r:id="rId29" ref="P6"/>
    <hyperlink r:id="rId30" ref="Q6"/>
    <hyperlink r:id="rId31" ref="R6"/>
    <hyperlink r:id="rId32" ref="S6"/>
    <hyperlink r:id="rId33" ref="T6"/>
    <hyperlink r:id="rId34" ref="U6"/>
    <hyperlink r:id="rId35" ref="N7"/>
    <hyperlink r:id="rId36" ref="O7"/>
    <hyperlink r:id="rId37" ref="P7"/>
    <hyperlink r:id="rId38" ref="Q7"/>
    <hyperlink r:id="rId39" ref="R7"/>
    <hyperlink r:id="rId40" ref="S7"/>
    <hyperlink r:id="rId41" ref="T7"/>
    <hyperlink r:id="rId42" ref="N8"/>
    <hyperlink r:id="rId43" ref="O8"/>
    <hyperlink r:id="rId44" ref="P8"/>
    <hyperlink r:id="rId45" ref="Q8"/>
    <hyperlink r:id="rId46" ref="R8"/>
    <hyperlink r:id="rId47" ref="S8"/>
    <hyperlink r:id="rId48" ref="T8"/>
    <hyperlink r:id="rId49" ref="W8"/>
    <hyperlink r:id="rId50" ref="X8"/>
    <hyperlink r:id="rId51" ref="Y8"/>
    <hyperlink r:id="rId52" ref="Z8"/>
    <hyperlink r:id="rId53" ref="N9"/>
    <hyperlink r:id="rId54" ref="O9"/>
    <hyperlink r:id="rId55" ref="P9"/>
    <hyperlink r:id="rId56" ref="Q9"/>
    <hyperlink r:id="rId57" ref="R9"/>
    <hyperlink r:id="rId58" ref="S9"/>
    <hyperlink r:id="rId59" ref="T9"/>
    <hyperlink r:id="rId60" ref="N10"/>
    <hyperlink r:id="rId61" ref="O10"/>
    <hyperlink r:id="rId62" ref="P10"/>
    <hyperlink r:id="rId63" ref="R10"/>
    <hyperlink r:id="rId64" ref="S10"/>
    <hyperlink r:id="rId65" ref="T10"/>
    <hyperlink r:id="rId66" ref="N11"/>
    <hyperlink r:id="rId67" ref="O11"/>
    <hyperlink r:id="rId68" ref="P11"/>
    <hyperlink r:id="rId69" ref="Q11"/>
    <hyperlink r:id="rId70" ref="R11"/>
    <hyperlink r:id="rId71" ref="S11"/>
    <hyperlink r:id="rId72" ref="T11"/>
    <hyperlink r:id="rId73" ref="N12"/>
    <hyperlink r:id="rId74" ref="O12"/>
    <hyperlink r:id="rId75" ref="P12"/>
    <hyperlink r:id="rId76" ref="R12"/>
    <hyperlink r:id="rId77" ref="S12"/>
    <hyperlink r:id="rId78" ref="W12"/>
    <hyperlink r:id="rId79" ref="X12"/>
    <hyperlink r:id="rId80" ref="Y12"/>
    <hyperlink r:id="rId81" ref="Z12"/>
    <hyperlink r:id="rId82" ref="N13"/>
    <hyperlink r:id="rId83" ref="O13"/>
    <hyperlink r:id="rId84" ref="P13"/>
    <hyperlink r:id="rId85" ref="Q13"/>
    <hyperlink r:id="rId86" ref="R13"/>
    <hyperlink r:id="rId87" ref="S13"/>
    <hyperlink r:id="rId88" ref="T13"/>
    <hyperlink r:id="rId89" ref="N14"/>
    <hyperlink r:id="rId90" ref="O14"/>
    <hyperlink r:id="rId91" ref="P14"/>
    <hyperlink r:id="rId92" ref="Q14"/>
    <hyperlink r:id="rId93" ref="R14"/>
    <hyperlink r:id="rId94" ref="S14"/>
    <hyperlink r:id="rId95" ref="T14"/>
    <hyperlink r:id="rId96" ref="N15"/>
    <hyperlink r:id="rId97" ref="O15"/>
    <hyperlink r:id="rId98" ref="P15"/>
    <hyperlink r:id="rId99" ref="Q15"/>
    <hyperlink r:id="rId100" ref="R15"/>
    <hyperlink r:id="rId101" ref="S15"/>
    <hyperlink r:id="rId102" ref="T15"/>
    <hyperlink r:id="rId103" ref="N16"/>
    <hyperlink r:id="rId104" ref="O16"/>
    <hyperlink r:id="rId105" ref="P16"/>
    <hyperlink r:id="rId106" ref="R16"/>
    <hyperlink r:id="rId107" ref="S16"/>
    <hyperlink r:id="rId108" ref="T16"/>
    <hyperlink r:id="rId109" ref="N17"/>
    <hyperlink r:id="rId110" ref="O17"/>
    <hyperlink r:id="rId111" ref="P17"/>
    <hyperlink r:id="rId112" ref="R17"/>
    <hyperlink r:id="rId113" ref="S17"/>
    <hyperlink r:id="rId114" ref="T17"/>
    <hyperlink r:id="rId115" ref="U17"/>
    <hyperlink r:id="rId116" ref="N18"/>
    <hyperlink r:id="rId117" ref="O18"/>
    <hyperlink r:id="rId118" ref="P18"/>
    <hyperlink r:id="rId119" ref="R18"/>
    <hyperlink r:id="rId120" ref="S18"/>
    <hyperlink r:id="rId121" ref="T18"/>
    <hyperlink r:id="rId122" ref="N19"/>
    <hyperlink r:id="rId123" ref="O19"/>
    <hyperlink r:id="rId124" ref="P19"/>
    <hyperlink r:id="rId125" ref="Q19"/>
    <hyperlink r:id="rId126" ref="R19"/>
    <hyperlink r:id="rId127" ref="S19"/>
    <hyperlink r:id="rId128" ref="T19"/>
    <hyperlink r:id="rId129" ref="W19"/>
    <hyperlink r:id="rId130" ref="X19"/>
    <hyperlink r:id="rId131" ref="Y19"/>
    <hyperlink r:id="rId132" ref="Z19"/>
    <hyperlink r:id="rId133" ref="N20"/>
    <hyperlink r:id="rId134" ref="O20"/>
    <hyperlink r:id="rId135" ref="P20"/>
    <hyperlink r:id="rId136" ref="Q20"/>
    <hyperlink r:id="rId137" ref="R20"/>
    <hyperlink r:id="rId138" ref="S20"/>
    <hyperlink r:id="rId139" ref="T20"/>
    <hyperlink r:id="rId140" ref="N21"/>
    <hyperlink r:id="rId141" ref="O21"/>
    <hyperlink r:id="rId142" ref="P21"/>
    <hyperlink r:id="rId143" ref="Q21"/>
    <hyperlink r:id="rId144" ref="R21"/>
    <hyperlink r:id="rId145" ref="S21"/>
    <hyperlink r:id="rId146" ref="T21"/>
    <hyperlink r:id="rId147" ref="N22"/>
    <hyperlink r:id="rId148" ref="O22"/>
    <hyperlink r:id="rId149" ref="P22"/>
    <hyperlink r:id="rId150" ref="R22"/>
    <hyperlink r:id="rId151" ref="S22"/>
    <hyperlink r:id="rId152" ref="T22"/>
    <hyperlink r:id="rId153" ref="N23"/>
    <hyperlink r:id="rId154" ref="O23"/>
    <hyperlink r:id="rId155" ref="P23"/>
    <hyperlink r:id="rId156" ref="Q23"/>
    <hyperlink r:id="rId157" ref="R23"/>
    <hyperlink r:id="rId158" ref="S23"/>
    <hyperlink r:id="rId159" ref="T23"/>
    <hyperlink r:id="rId160" ref="W23"/>
    <hyperlink r:id="rId161" ref="X23"/>
    <hyperlink r:id="rId162" ref="Y23"/>
    <hyperlink r:id="rId163" ref="Z23"/>
    <hyperlink r:id="rId164" ref="N24"/>
    <hyperlink r:id="rId165" ref="O24"/>
    <hyperlink r:id="rId166" ref="P24"/>
    <hyperlink r:id="rId167" ref="Q24"/>
    <hyperlink r:id="rId168" ref="R24"/>
    <hyperlink r:id="rId169" ref="S24"/>
    <hyperlink r:id="rId170" ref="T24"/>
    <hyperlink r:id="rId171" ref="N25"/>
    <hyperlink r:id="rId172" ref="O25"/>
    <hyperlink r:id="rId173" ref="P25"/>
    <hyperlink r:id="rId174" ref="Q25"/>
    <hyperlink r:id="rId175" ref="R25"/>
    <hyperlink r:id="rId176" ref="S25"/>
    <hyperlink r:id="rId177" ref="T25"/>
    <hyperlink r:id="rId178" ref="N26"/>
    <hyperlink r:id="rId179" ref="O26"/>
    <hyperlink r:id="rId180" ref="P26"/>
    <hyperlink r:id="rId181" ref="Q26"/>
    <hyperlink r:id="rId182" ref="R26"/>
    <hyperlink r:id="rId183" ref="S26"/>
    <hyperlink r:id="rId184" ref="T26"/>
    <hyperlink r:id="rId185" ref="N27"/>
    <hyperlink r:id="rId186" ref="O27"/>
    <hyperlink r:id="rId187" ref="P27"/>
    <hyperlink r:id="rId188" ref="Q27"/>
    <hyperlink r:id="rId189" ref="R27"/>
    <hyperlink r:id="rId190" ref="S27"/>
    <hyperlink r:id="rId191" ref="N28"/>
    <hyperlink r:id="rId192" ref="O28"/>
    <hyperlink r:id="rId193" ref="P28"/>
    <hyperlink r:id="rId194" ref="R28"/>
    <hyperlink r:id="rId195" ref="S28"/>
    <hyperlink r:id="rId196" ref="T28"/>
    <hyperlink r:id="rId197" ref="N29"/>
    <hyperlink r:id="rId198" ref="O29"/>
    <hyperlink r:id="rId199" ref="P29"/>
    <hyperlink r:id="rId200" ref="R29"/>
    <hyperlink r:id="rId201" ref="S29"/>
    <hyperlink r:id="rId202" ref="N30"/>
    <hyperlink r:id="rId203" ref="O30"/>
    <hyperlink r:id="rId204" ref="P30"/>
    <hyperlink r:id="rId205" ref="R30"/>
    <hyperlink r:id="rId206" ref="S30"/>
    <hyperlink r:id="rId207" ref="T30"/>
    <hyperlink r:id="rId208" ref="N31"/>
    <hyperlink r:id="rId209" ref="O31"/>
    <hyperlink r:id="rId210" ref="P31"/>
    <hyperlink r:id="rId211" ref="R31"/>
    <hyperlink r:id="rId212" ref="S31"/>
    <hyperlink r:id="rId213" ref="N32"/>
    <hyperlink r:id="rId214" ref="O32"/>
    <hyperlink r:id="rId215" ref="P32"/>
    <hyperlink r:id="rId216" ref="R32"/>
    <hyperlink r:id="rId217" ref="S32"/>
    <hyperlink r:id="rId218" ref="T32"/>
    <hyperlink r:id="rId219" ref="N33"/>
    <hyperlink r:id="rId220" ref="O33"/>
    <hyperlink r:id="rId221" ref="P33"/>
    <hyperlink r:id="rId222" ref="Q33"/>
    <hyperlink r:id="rId223" ref="R33"/>
    <hyperlink r:id="rId224" ref="S33"/>
    <hyperlink r:id="rId225" ref="W33"/>
    <hyperlink r:id="rId226" ref="X33"/>
    <hyperlink r:id="rId227" ref="Y33"/>
    <hyperlink r:id="rId228" ref="Z33"/>
    <hyperlink r:id="rId229" ref="N34"/>
    <hyperlink r:id="rId230" ref="O34"/>
    <hyperlink r:id="rId231" ref="P34"/>
    <hyperlink r:id="rId232" ref="Q34"/>
    <hyperlink r:id="rId233" ref="R34"/>
    <hyperlink r:id="rId234" ref="S34"/>
    <hyperlink r:id="rId235" ref="T34"/>
    <hyperlink r:id="rId236" ref="N35"/>
    <hyperlink r:id="rId237" ref="O35"/>
    <hyperlink r:id="rId238" ref="P35"/>
    <hyperlink r:id="rId239" ref="R35"/>
    <hyperlink r:id="rId240" ref="S35"/>
    <hyperlink r:id="rId241" ref="T35"/>
    <hyperlink r:id="rId242" ref="U35"/>
    <hyperlink r:id="rId243" ref="N36"/>
    <hyperlink r:id="rId244" ref="O36"/>
    <hyperlink r:id="rId245" ref="P36"/>
    <hyperlink r:id="rId246" ref="Q36"/>
    <hyperlink r:id="rId247" ref="R36"/>
    <hyperlink r:id="rId248" ref="S36"/>
    <hyperlink r:id="rId249" ref="T36"/>
    <hyperlink r:id="rId250" ref="N37"/>
    <hyperlink r:id="rId251" ref="O37"/>
    <hyperlink r:id="rId252" ref="P37"/>
    <hyperlink r:id="rId253" ref="R37"/>
    <hyperlink r:id="rId254" ref="S37"/>
    <hyperlink r:id="rId255" ref="T37"/>
    <hyperlink r:id="rId256" ref="N38"/>
    <hyperlink r:id="rId257" ref="O38"/>
    <hyperlink r:id="rId258" ref="P38"/>
    <hyperlink r:id="rId259" ref="R38"/>
    <hyperlink r:id="rId260" ref="S38"/>
    <hyperlink r:id="rId261" ref="T38"/>
    <hyperlink r:id="rId262" ref="U38"/>
    <hyperlink r:id="rId263" ref="N39"/>
    <hyperlink r:id="rId264" ref="O39"/>
    <hyperlink r:id="rId265" ref="P39"/>
    <hyperlink r:id="rId266" ref="R39"/>
    <hyperlink r:id="rId267" ref="S39"/>
    <hyperlink r:id="rId268" ref="T39"/>
    <hyperlink r:id="rId269" ref="N40"/>
    <hyperlink r:id="rId270" ref="O40"/>
    <hyperlink r:id="rId271" ref="P40"/>
    <hyperlink r:id="rId272" ref="Q40"/>
    <hyperlink r:id="rId273" ref="R40"/>
    <hyperlink r:id="rId274" ref="S40"/>
    <hyperlink r:id="rId275" ref="T40"/>
    <hyperlink r:id="rId276" ref="N41"/>
    <hyperlink r:id="rId277" ref="O41"/>
    <hyperlink r:id="rId278" ref="P41"/>
    <hyperlink r:id="rId279" ref="R41"/>
    <hyperlink r:id="rId280" ref="S41"/>
    <hyperlink r:id="rId281" ref="T41"/>
    <hyperlink r:id="rId282" ref="W41"/>
    <hyperlink r:id="rId283" ref="X41"/>
    <hyperlink r:id="rId284" ref="Y41"/>
    <hyperlink r:id="rId285" ref="Z41"/>
    <hyperlink r:id="rId286" ref="N42"/>
    <hyperlink r:id="rId287" ref="O42"/>
    <hyperlink r:id="rId288" ref="P42"/>
    <hyperlink r:id="rId289" ref="Q42"/>
    <hyperlink r:id="rId290" ref="R42"/>
    <hyperlink r:id="rId291" ref="S42"/>
    <hyperlink r:id="rId292" ref="T42"/>
    <hyperlink r:id="rId293" ref="U42"/>
    <hyperlink r:id="rId294" ref="W42"/>
    <hyperlink r:id="rId295" ref="X42"/>
    <hyperlink r:id="rId296" ref="Y42"/>
    <hyperlink r:id="rId297" ref="Z42"/>
    <hyperlink r:id="rId298" ref="N43"/>
    <hyperlink r:id="rId299" ref="O43"/>
    <hyperlink r:id="rId300" ref="P43"/>
    <hyperlink r:id="rId301" ref="R43"/>
    <hyperlink r:id="rId302" ref="S43"/>
    <hyperlink r:id="rId303" ref="N44"/>
    <hyperlink r:id="rId304" ref="O44"/>
    <hyperlink r:id="rId305" ref="P44"/>
    <hyperlink r:id="rId306" ref="Q44"/>
    <hyperlink r:id="rId307" ref="R44"/>
    <hyperlink r:id="rId308" ref="S44"/>
    <hyperlink r:id="rId309" ref="T44"/>
    <hyperlink r:id="rId310" ref="N45"/>
    <hyperlink r:id="rId311" ref="O45"/>
    <hyperlink r:id="rId312" ref="P45"/>
    <hyperlink r:id="rId313" ref="Q45"/>
    <hyperlink r:id="rId314" ref="R45"/>
    <hyperlink r:id="rId315" ref="S45"/>
    <hyperlink r:id="rId316" ref="T45"/>
    <hyperlink r:id="rId317" ref="N46"/>
    <hyperlink r:id="rId318" ref="O46"/>
    <hyperlink r:id="rId319" ref="P46"/>
    <hyperlink r:id="rId320" ref="Q46"/>
    <hyperlink r:id="rId321" ref="R46"/>
    <hyperlink r:id="rId322" ref="S46"/>
    <hyperlink r:id="rId323" ref="T46"/>
    <hyperlink r:id="rId324" ref="N47"/>
    <hyperlink r:id="rId325" ref="O47"/>
    <hyperlink r:id="rId326" ref="P47"/>
    <hyperlink r:id="rId327" ref="R47"/>
    <hyperlink r:id="rId328" ref="S47"/>
    <hyperlink r:id="rId329" ref="T47"/>
    <hyperlink r:id="rId330" ref="U47"/>
    <hyperlink r:id="rId331" ref="N48"/>
    <hyperlink r:id="rId332" ref="O48"/>
    <hyperlink r:id="rId333" ref="P48"/>
    <hyperlink r:id="rId334" ref="R48"/>
    <hyperlink r:id="rId335" ref="S48"/>
    <hyperlink r:id="rId336" ref="T48"/>
    <hyperlink r:id="rId337" ref="N49"/>
    <hyperlink r:id="rId338" ref="O49"/>
    <hyperlink r:id="rId339" ref="P49"/>
    <hyperlink r:id="rId340" ref="R49"/>
    <hyperlink r:id="rId341" ref="S49"/>
    <hyperlink r:id="rId342" ref="T49"/>
    <hyperlink r:id="rId343" ref="N50"/>
    <hyperlink r:id="rId344" ref="O50"/>
    <hyperlink r:id="rId345" ref="P50"/>
    <hyperlink r:id="rId346" ref="Q50"/>
    <hyperlink r:id="rId347" ref="R50"/>
    <hyperlink r:id="rId348" ref="S50"/>
    <hyperlink r:id="rId349" ref="T50"/>
    <hyperlink r:id="rId350" ref="N51"/>
    <hyperlink r:id="rId351" ref="O51"/>
    <hyperlink r:id="rId352" ref="P51"/>
    <hyperlink r:id="rId353" ref="Q51"/>
    <hyperlink r:id="rId354" ref="R51"/>
    <hyperlink r:id="rId355" ref="S51"/>
    <hyperlink r:id="rId356" ref="T51"/>
    <hyperlink r:id="rId357" ref="N52"/>
    <hyperlink r:id="rId358" ref="O52"/>
    <hyperlink r:id="rId359" ref="P52"/>
    <hyperlink r:id="rId360" ref="R52"/>
    <hyperlink r:id="rId361" ref="S52"/>
    <hyperlink r:id="rId362" ref="T52"/>
    <hyperlink r:id="rId363" ref="N53"/>
    <hyperlink r:id="rId364" ref="O53"/>
    <hyperlink r:id="rId365" ref="P53"/>
    <hyperlink r:id="rId366" ref="Q53"/>
    <hyperlink r:id="rId367" ref="R53"/>
    <hyperlink r:id="rId368" ref="S53"/>
    <hyperlink r:id="rId369" ref="T53"/>
    <hyperlink r:id="rId370" ref="N54"/>
    <hyperlink r:id="rId371" ref="O54"/>
    <hyperlink r:id="rId372" ref="P54"/>
    <hyperlink r:id="rId373" ref="Q54"/>
    <hyperlink r:id="rId374" ref="R54"/>
    <hyperlink r:id="rId375" ref="S54"/>
    <hyperlink r:id="rId376" ref="T54"/>
    <hyperlink r:id="rId377" ref="N55"/>
    <hyperlink r:id="rId378" ref="O55"/>
    <hyperlink r:id="rId379" ref="P55"/>
    <hyperlink r:id="rId380" ref="Q55"/>
    <hyperlink r:id="rId381" ref="R55"/>
    <hyperlink r:id="rId382" ref="S55"/>
    <hyperlink r:id="rId383" ref="T55"/>
    <hyperlink r:id="rId384" ref="N56"/>
    <hyperlink r:id="rId385" ref="O56"/>
    <hyperlink r:id="rId386" ref="P56"/>
    <hyperlink r:id="rId387" ref="Q56"/>
    <hyperlink r:id="rId388" ref="R56"/>
    <hyperlink r:id="rId389" ref="S56"/>
    <hyperlink r:id="rId390" ref="T56"/>
    <hyperlink r:id="rId391" ref="N57"/>
    <hyperlink r:id="rId392" ref="O57"/>
    <hyperlink r:id="rId393" ref="P57"/>
    <hyperlink r:id="rId394" ref="Q57"/>
    <hyperlink r:id="rId395" ref="R57"/>
    <hyperlink r:id="rId396" ref="S57"/>
    <hyperlink r:id="rId397" ref="T57"/>
    <hyperlink r:id="rId398" ref="N58"/>
    <hyperlink r:id="rId399" ref="O58"/>
    <hyperlink r:id="rId400" ref="P58"/>
    <hyperlink r:id="rId401" ref="Q58"/>
    <hyperlink r:id="rId402" ref="R58"/>
    <hyperlink r:id="rId403" ref="S58"/>
    <hyperlink r:id="rId404" ref="T58"/>
    <hyperlink r:id="rId405" ref="N59"/>
    <hyperlink r:id="rId406" ref="O59"/>
    <hyperlink r:id="rId407" ref="P59"/>
    <hyperlink r:id="rId408" ref="R59"/>
    <hyperlink r:id="rId409" ref="S59"/>
    <hyperlink r:id="rId410" ref="T59"/>
    <hyperlink r:id="rId411" ref="N60"/>
    <hyperlink r:id="rId412" ref="O60"/>
    <hyperlink r:id="rId413" ref="P60"/>
    <hyperlink r:id="rId414" ref="Q60"/>
    <hyperlink r:id="rId415" ref="R60"/>
    <hyperlink r:id="rId416" ref="S60"/>
    <hyperlink r:id="rId417" ref="T60"/>
    <hyperlink r:id="rId418" ref="N61"/>
    <hyperlink r:id="rId419" ref="O61"/>
    <hyperlink r:id="rId420" ref="P61"/>
    <hyperlink r:id="rId421" ref="R61"/>
    <hyperlink r:id="rId422" ref="S61"/>
    <hyperlink r:id="rId423" ref="T61"/>
    <hyperlink r:id="rId424" ref="N62"/>
    <hyperlink r:id="rId425" ref="O62"/>
    <hyperlink r:id="rId426" ref="P62"/>
    <hyperlink r:id="rId427" ref="Q62"/>
    <hyperlink r:id="rId428" ref="R62"/>
    <hyperlink r:id="rId429" ref="S62"/>
    <hyperlink r:id="rId430" ref="T62"/>
    <hyperlink r:id="rId431" ref="N63"/>
    <hyperlink r:id="rId432" ref="O63"/>
    <hyperlink r:id="rId433" ref="P63"/>
    <hyperlink r:id="rId434" ref="Q63"/>
    <hyperlink r:id="rId435" ref="R63"/>
    <hyperlink r:id="rId436" ref="S63"/>
    <hyperlink r:id="rId437" ref="T63"/>
    <hyperlink r:id="rId438" ref="N64"/>
    <hyperlink r:id="rId439" ref="O64"/>
    <hyperlink r:id="rId440" ref="P64"/>
    <hyperlink r:id="rId441" ref="Q64"/>
    <hyperlink r:id="rId442" ref="R64"/>
    <hyperlink r:id="rId443" ref="S64"/>
    <hyperlink r:id="rId444" ref="T64"/>
    <hyperlink r:id="rId445" ref="W64"/>
    <hyperlink r:id="rId446" ref="X64"/>
    <hyperlink r:id="rId447" ref="Y64"/>
    <hyperlink r:id="rId448" ref="Z64"/>
    <hyperlink r:id="rId449" ref="N65"/>
    <hyperlink r:id="rId450" ref="O65"/>
    <hyperlink r:id="rId451" ref="P65"/>
    <hyperlink r:id="rId452" ref="Q65"/>
    <hyperlink r:id="rId453" ref="R65"/>
    <hyperlink r:id="rId454" ref="S65"/>
    <hyperlink r:id="rId455" ref="T65"/>
    <hyperlink r:id="rId456" ref="W65"/>
    <hyperlink r:id="rId457" ref="X65"/>
    <hyperlink r:id="rId458" ref="Y65"/>
    <hyperlink r:id="rId459" ref="Z65"/>
    <hyperlink r:id="rId460" ref="N66"/>
    <hyperlink r:id="rId461" ref="O66"/>
    <hyperlink r:id="rId462" ref="P66"/>
    <hyperlink r:id="rId463" ref="R66"/>
    <hyperlink r:id="rId464" ref="S66"/>
    <hyperlink r:id="rId465" ref="N67"/>
    <hyperlink r:id="rId466" ref="O67"/>
    <hyperlink r:id="rId467" ref="P67"/>
    <hyperlink r:id="rId468" ref="Q67"/>
    <hyperlink r:id="rId469" ref="R67"/>
    <hyperlink r:id="rId470" ref="S67"/>
    <hyperlink r:id="rId471" ref="T67"/>
    <hyperlink r:id="rId472" ref="U67"/>
    <hyperlink r:id="rId473" ref="N68"/>
    <hyperlink r:id="rId474" ref="O68"/>
    <hyperlink r:id="rId475" ref="P68"/>
    <hyperlink r:id="rId476" ref="Q68"/>
    <hyperlink r:id="rId477" ref="R68"/>
    <hyperlink r:id="rId478" ref="S68"/>
    <hyperlink r:id="rId479" ref="T68"/>
    <hyperlink r:id="rId480" ref="N69"/>
    <hyperlink r:id="rId481" ref="O69"/>
    <hyperlink r:id="rId482" ref="P69"/>
    <hyperlink r:id="rId483" ref="Q69"/>
    <hyperlink r:id="rId484" ref="R69"/>
    <hyperlink r:id="rId485" ref="S69"/>
    <hyperlink r:id="rId486" ref="T69"/>
    <hyperlink r:id="rId487" ref="N70"/>
    <hyperlink r:id="rId488" ref="O70"/>
    <hyperlink r:id="rId489" ref="P70"/>
    <hyperlink r:id="rId490" ref="R70"/>
    <hyperlink r:id="rId491" ref="S70"/>
    <hyperlink r:id="rId492" ref="T70"/>
    <hyperlink r:id="rId493" ref="U70"/>
    <hyperlink r:id="rId494" ref="N71"/>
    <hyperlink r:id="rId495" ref="O71"/>
    <hyperlink r:id="rId496" ref="P71"/>
    <hyperlink r:id="rId497" ref="Q71"/>
    <hyperlink r:id="rId498" ref="R71"/>
    <hyperlink r:id="rId499" ref="S71"/>
    <hyperlink r:id="rId500" ref="T71"/>
    <hyperlink r:id="rId501" ref="W71"/>
    <hyperlink r:id="rId502" ref="X71"/>
    <hyperlink r:id="rId503" ref="Y71"/>
    <hyperlink r:id="rId504" ref="Z71"/>
    <hyperlink r:id="rId505" ref="N72"/>
    <hyperlink r:id="rId506" ref="O72"/>
    <hyperlink r:id="rId507" ref="P72"/>
    <hyperlink r:id="rId508" ref="Q72"/>
    <hyperlink r:id="rId509" ref="R72"/>
    <hyperlink r:id="rId510" ref="S72"/>
    <hyperlink r:id="rId511" ref="W72"/>
    <hyperlink r:id="rId512" ref="X72"/>
    <hyperlink r:id="rId513" ref="Y72"/>
    <hyperlink r:id="rId514" ref="Z72"/>
    <hyperlink r:id="rId515" ref="N73"/>
    <hyperlink r:id="rId516" ref="O73"/>
    <hyperlink r:id="rId517" ref="P73"/>
    <hyperlink r:id="rId518" ref="Q73"/>
    <hyperlink r:id="rId519" ref="R73"/>
    <hyperlink r:id="rId520" ref="S73"/>
    <hyperlink r:id="rId521" ref="W73"/>
    <hyperlink r:id="rId522" ref="X73"/>
    <hyperlink r:id="rId523" ref="Y73"/>
    <hyperlink r:id="rId524" ref="Z73"/>
    <hyperlink r:id="rId525" ref="N74"/>
    <hyperlink r:id="rId526" ref="O74"/>
    <hyperlink r:id="rId527" ref="P74"/>
    <hyperlink r:id="rId528" ref="R74"/>
    <hyperlink r:id="rId529" ref="S74"/>
    <hyperlink r:id="rId530" ref="T74"/>
    <hyperlink r:id="rId531" ref="W74"/>
    <hyperlink r:id="rId532" ref="X74"/>
    <hyperlink r:id="rId533" ref="Y74"/>
    <hyperlink r:id="rId534" ref="Z74"/>
    <hyperlink r:id="rId535" ref="N75"/>
    <hyperlink r:id="rId536" ref="O75"/>
    <hyperlink r:id="rId537" ref="P75"/>
    <hyperlink r:id="rId538" ref="R75"/>
    <hyperlink r:id="rId539" ref="S75"/>
    <hyperlink r:id="rId540" ref="W75"/>
    <hyperlink r:id="rId541" ref="X75"/>
    <hyperlink r:id="rId542" ref="Y75"/>
    <hyperlink r:id="rId543" ref="Z75"/>
    <hyperlink r:id="rId544" ref="N76"/>
    <hyperlink r:id="rId545" ref="O76"/>
    <hyperlink r:id="rId546" ref="P76"/>
    <hyperlink r:id="rId547" ref="Q76"/>
    <hyperlink r:id="rId548" ref="R76"/>
    <hyperlink r:id="rId549" ref="S76"/>
    <hyperlink r:id="rId550" ref="W76"/>
    <hyperlink r:id="rId551" ref="X76"/>
    <hyperlink r:id="rId552" ref="Y76"/>
    <hyperlink r:id="rId553" ref="Z76"/>
    <hyperlink r:id="rId554" ref="N77"/>
    <hyperlink r:id="rId555" ref="O77"/>
    <hyperlink r:id="rId556" ref="P77"/>
    <hyperlink r:id="rId557" ref="Q77"/>
    <hyperlink r:id="rId558" ref="R77"/>
    <hyperlink r:id="rId559" ref="S77"/>
    <hyperlink r:id="rId560" ref="T77"/>
    <hyperlink r:id="rId561" ref="W77"/>
    <hyperlink r:id="rId562" ref="X77"/>
    <hyperlink r:id="rId563" ref="Y77"/>
    <hyperlink r:id="rId564" ref="Z77"/>
    <hyperlink r:id="rId565" ref="N78"/>
    <hyperlink r:id="rId566" ref="O78"/>
    <hyperlink r:id="rId567" ref="P78"/>
    <hyperlink r:id="rId568" ref="Q78"/>
    <hyperlink r:id="rId569" ref="R78"/>
    <hyperlink r:id="rId570" ref="S78"/>
    <hyperlink r:id="rId571" ref="T78"/>
    <hyperlink r:id="rId572" ref="W78"/>
    <hyperlink r:id="rId573" ref="X78"/>
    <hyperlink r:id="rId574" ref="Y78"/>
    <hyperlink r:id="rId575" ref="Z78"/>
    <hyperlink r:id="rId576" ref="N79"/>
    <hyperlink r:id="rId577" ref="O79"/>
    <hyperlink r:id="rId578" ref="P79"/>
    <hyperlink r:id="rId579" ref="R79"/>
    <hyperlink r:id="rId580" ref="S79"/>
    <hyperlink r:id="rId581" ref="T79"/>
    <hyperlink r:id="rId582" ref="W79"/>
    <hyperlink r:id="rId583" ref="X79"/>
    <hyperlink r:id="rId584" ref="Y79"/>
    <hyperlink r:id="rId585" ref="Z79"/>
    <hyperlink r:id="rId586" ref="N80"/>
    <hyperlink r:id="rId587" ref="O80"/>
    <hyperlink r:id="rId588" ref="P80"/>
    <hyperlink r:id="rId589" ref="Q80"/>
    <hyperlink r:id="rId590" ref="R80"/>
    <hyperlink r:id="rId591" ref="S80"/>
    <hyperlink r:id="rId592" ref="T80"/>
    <hyperlink r:id="rId593" ref="W80"/>
    <hyperlink r:id="rId594" ref="X80"/>
    <hyperlink r:id="rId595" ref="Y80"/>
    <hyperlink r:id="rId596" ref="Z80"/>
    <hyperlink r:id="rId597" ref="N81"/>
    <hyperlink r:id="rId598" ref="O81"/>
    <hyperlink r:id="rId599" ref="P81"/>
    <hyperlink r:id="rId600" ref="Q81"/>
    <hyperlink r:id="rId601" ref="R81"/>
    <hyperlink r:id="rId602" ref="S81"/>
    <hyperlink r:id="rId603" ref="T81"/>
    <hyperlink r:id="rId604" ref="W81"/>
    <hyperlink r:id="rId605" ref="X81"/>
    <hyperlink r:id="rId606" ref="Y81"/>
    <hyperlink r:id="rId607" ref="Z81"/>
    <hyperlink r:id="rId608" ref="N82"/>
    <hyperlink r:id="rId609" ref="O82"/>
    <hyperlink r:id="rId610" ref="P82"/>
    <hyperlink r:id="rId611" ref="R82"/>
    <hyperlink r:id="rId612" ref="S82"/>
    <hyperlink r:id="rId613" ref="T82"/>
    <hyperlink r:id="rId614" ref="W82"/>
    <hyperlink r:id="rId615" ref="X82"/>
    <hyperlink r:id="rId616" ref="Y82"/>
    <hyperlink r:id="rId617" ref="Z82"/>
    <hyperlink r:id="rId618" ref="N83"/>
    <hyperlink r:id="rId619" ref="O83"/>
    <hyperlink r:id="rId620" ref="P83"/>
    <hyperlink r:id="rId621" ref="R83"/>
    <hyperlink r:id="rId622" ref="S83"/>
    <hyperlink r:id="rId623" ref="T83"/>
    <hyperlink r:id="rId624" ref="W83"/>
    <hyperlink r:id="rId625" ref="X83"/>
    <hyperlink r:id="rId626" ref="Y83"/>
    <hyperlink r:id="rId627" ref="Z83"/>
    <hyperlink r:id="rId628" ref="N84"/>
    <hyperlink r:id="rId629" ref="O84"/>
    <hyperlink r:id="rId630" ref="P84"/>
    <hyperlink r:id="rId631" ref="R84"/>
    <hyperlink r:id="rId632" ref="S84"/>
    <hyperlink r:id="rId633" ref="W84"/>
    <hyperlink r:id="rId634" ref="X84"/>
    <hyperlink r:id="rId635" ref="Y84"/>
    <hyperlink r:id="rId636" ref="Z84"/>
    <hyperlink r:id="rId637" ref="N85"/>
    <hyperlink r:id="rId638" ref="O85"/>
    <hyperlink r:id="rId639" ref="P85"/>
    <hyperlink r:id="rId640" ref="S85"/>
    <hyperlink r:id="rId641" ref="U85"/>
  </hyperlinks>
  <drawing r:id="rId64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33" width="3.25"/>
  </cols>
  <sheetData>
    <row r="1">
      <c r="A1" s="64" t="s">
        <v>176</v>
      </c>
      <c r="AF1" s="65"/>
      <c r="AG1" s="65"/>
      <c r="AH1" s="65"/>
    </row>
    <row r="2">
      <c r="A2" s="64" t="s">
        <v>177</v>
      </c>
      <c r="AF2" s="65"/>
      <c r="AG2" s="65"/>
      <c r="AH2" s="65"/>
    </row>
    <row r="3">
      <c r="A3" s="64" t="s">
        <v>179</v>
      </c>
      <c r="AF3" s="65"/>
      <c r="AG3" s="65"/>
      <c r="AH3" s="65"/>
    </row>
    <row r="4">
      <c r="A4" s="67"/>
      <c r="B4" s="69"/>
      <c r="C4" s="69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</row>
    <row r="5">
      <c r="A5" s="71"/>
      <c r="B5" s="72" t="s">
        <v>3</v>
      </c>
      <c r="C5" s="72" t="s">
        <v>185</v>
      </c>
      <c r="D5" s="73" t="s">
        <v>188</v>
      </c>
      <c r="E5" s="74" t="s">
        <v>189</v>
      </c>
      <c r="F5" s="74" t="s">
        <v>190</v>
      </c>
      <c r="G5" s="74" t="s">
        <v>191</v>
      </c>
      <c r="H5" s="75" t="s">
        <v>192</v>
      </c>
      <c r="I5" s="75" t="s">
        <v>193</v>
      </c>
      <c r="J5" s="74" t="s">
        <v>194</v>
      </c>
      <c r="K5" s="73" t="s">
        <v>188</v>
      </c>
      <c r="L5" s="74" t="s">
        <v>189</v>
      </c>
      <c r="M5" s="74" t="s">
        <v>190</v>
      </c>
      <c r="N5" s="74" t="s">
        <v>191</v>
      </c>
      <c r="O5" s="75" t="s">
        <v>192</v>
      </c>
      <c r="P5" s="75" t="s">
        <v>193</v>
      </c>
      <c r="Q5" s="74" t="s">
        <v>194</v>
      </c>
      <c r="R5" s="73" t="s">
        <v>188</v>
      </c>
      <c r="S5" s="74" t="s">
        <v>189</v>
      </c>
      <c r="T5" s="74" t="s">
        <v>190</v>
      </c>
      <c r="U5" s="74" t="s">
        <v>191</v>
      </c>
      <c r="V5" s="75" t="s">
        <v>192</v>
      </c>
      <c r="W5" s="75" t="s">
        <v>193</v>
      </c>
      <c r="X5" s="74" t="s">
        <v>194</v>
      </c>
      <c r="Y5" s="73" t="s">
        <v>188</v>
      </c>
      <c r="Z5" s="74" t="s">
        <v>189</v>
      </c>
      <c r="AA5" s="74" t="s">
        <v>190</v>
      </c>
      <c r="AB5" s="74" t="s">
        <v>191</v>
      </c>
      <c r="AC5" s="75" t="s">
        <v>192</v>
      </c>
      <c r="AD5" s="75" t="s">
        <v>193</v>
      </c>
      <c r="AE5" s="74" t="s">
        <v>194</v>
      </c>
      <c r="AF5" s="74" t="s">
        <v>188</v>
      </c>
      <c r="AG5" s="74" t="s">
        <v>189</v>
      </c>
      <c r="AH5" s="65"/>
    </row>
    <row r="6">
      <c r="B6" s="77"/>
      <c r="C6" s="77"/>
      <c r="D6" s="79">
        <v>1.0</v>
      </c>
      <c r="E6" s="81">
        <v>2.0</v>
      </c>
      <c r="F6" s="81">
        <v>3.0</v>
      </c>
      <c r="G6" s="81">
        <v>4.0</v>
      </c>
      <c r="H6" s="83">
        <v>5.0</v>
      </c>
      <c r="I6" s="83">
        <v>6.0</v>
      </c>
      <c r="J6" s="81">
        <v>7.0</v>
      </c>
      <c r="K6" s="81">
        <v>8.0</v>
      </c>
      <c r="L6" s="81">
        <v>9.0</v>
      </c>
      <c r="M6" s="81">
        <v>10.0</v>
      </c>
      <c r="N6" s="81">
        <v>11.0</v>
      </c>
      <c r="O6" s="83">
        <v>12.0</v>
      </c>
      <c r="P6" s="83">
        <v>13.0</v>
      </c>
      <c r="Q6" s="81">
        <v>14.0</v>
      </c>
      <c r="R6" s="81">
        <v>15.0</v>
      </c>
      <c r="S6" s="81">
        <v>16.0</v>
      </c>
      <c r="T6" s="81">
        <v>17.0</v>
      </c>
      <c r="U6" s="81">
        <v>18.0</v>
      </c>
      <c r="V6" s="83">
        <v>19.0</v>
      </c>
      <c r="W6" s="83">
        <v>20.0</v>
      </c>
      <c r="X6" s="81">
        <v>21.0</v>
      </c>
      <c r="Y6" s="81">
        <v>22.0</v>
      </c>
      <c r="Z6" s="81">
        <v>23.0</v>
      </c>
      <c r="AA6" s="81">
        <v>24.0</v>
      </c>
      <c r="AB6" s="81">
        <v>25.0</v>
      </c>
      <c r="AC6" s="83">
        <v>26.0</v>
      </c>
      <c r="AD6" s="83">
        <v>27.0</v>
      </c>
      <c r="AE6" s="81">
        <v>28.0</v>
      </c>
      <c r="AF6" s="81">
        <v>29.0</v>
      </c>
      <c r="AG6" s="81">
        <v>30.0</v>
      </c>
      <c r="AH6" s="65"/>
    </row>
    <row r="7">
      <c r="B7" s="87" t="s">
        <v>196</v>
      </c>
      <c r="C7" s="88">
        <v>24.0</v>
      </c>
      <c r="D7" s="89"/>
      <c r="E7" s="89"/>
      <c r="F7" s="89"/>
      <c r="G7" s="89"/>
      <c r="H7" s="90" t="s">
        <v>198</v>
      </c>
      <c r="I7" s="91"/>
      <c r="J7" s="89"/>
      <c r="K7" s="89"/>
      <c r="L7" s="89"/>
      <c r="M7" s="89"/>
      <c r="N7" s="89"/>
      <c r="O7" s="91"/>
      <c r="P7" s="91"/>
      <c r="Q7" s="89"/>
      <c r="R7" s="89"/>
      <c r="S7" s="89"/>
      <c r="T7" s="89"/>
      <c r="U7" s="89"/>
      <c r="V7" s="91"/>
      <c r="W7" s="91"/>
      <c r="X7" s="89"/>
      <c r="Y7" s="89"/>
      <c r="Z7" s="89"/>
      <c r="AA7" s="89"/>
      <c r="AB7" s="92" t="s">
        <v>198</v>
      </c>
      <c r="AC7" s="91"/>
      <c r="AD7" s="91"/>
      <c r="AE7" s="89"/>
      <c r="AF7" s="89"/>
      <c r="AG7" s="89"/>
      <c r="AH7" s="93">
        <f t="shared" ref="AH7:AH86" si="1">COUNTIF(D7:AG7,"OFF")</f>
        <v>2</v>
      </c>
    </row>
    <row r="8">
      <c r="B8" s="94" t="s">
        <v>202</v>
      </c>
      <c r="C8" s="95">
        <v>16.0</v>
      </c>
      <c r="D8" s="89"/>
      <c r="E8" s="89"/>
      <c r="F8" s="89"/>
      <c r="G8" s="89"/>
      <c r="H8" s="90" t="s">
        <v>198</v>
      </c>
      <c r="I8" s="91"/>
      <c r="J8" s="89"/>
      <c r="K8" s="89"/>
      <c r="L8" s="89"/>
      <c r="M8" s="89"/>
      <c r="N8" s="89"/>
      <c r="O8" s="91"/>
      <c r="P8" s="91"/>
      <c r="Q8" s="89"/>
      <c r="R8" s="92" t="s">
        <v>198</v>
      </c>
      <c r="S8" s="89"/>
      <c r="T8" s="89"/>
      <c r="U8" s="89"/>
      <c r="V8" s="91"/>
      <c r="W8" s="91"/>
      <c r="X8" s="89"/>
      <c r="Y8" s="89"/>
      <c r="Z8" s="89"/>
      <c r="AA8" s="89"/>
      <c r="AB8" s="89"/>
      <c r="AC8" s="91"/>
      <c r="AD8" s="91"/>
      <c r="AE8" s="89"/>
      <c r="AF8" s="89"/>
      <c r="AG8" s="89"/>
      <c r="AH8" s="93">
        <f t="shared" si="1"/>
        <v>2</v>
      </c>
    </row>
    <row r="9">
      <c r="A9" s="71"/>
      <c r="B9" s="97" t="s">
        <v>204</v>
      </c>
      <c r="C9" s="98">
        <v>24.0</v>
      </c>
      <c r="D9" s="89"/>
      <c r="E9" s="89"/>
      <c r="F9" s="89"/>
      <c r="G9" s="89"/>
      <c r="H9" s="91"/>
      <c r="I9" s="91"/>
      <c r="J9" s="89"/>
      <c r="K9" s="89"/>
      <c r="L9" s="89"/>
      <c r="M9" s="89"/>
      <c r="N9" s="92" t="s">
        <v>198</v>
      </c>
      <c r="O9" s="91"/>
      <c r="P9" s="91"/>
      <c r="Q9" s="89"/>
      <c r="R9" s="89"/>
      <c r="S9" s="89"/>
      <c r="T9" s="89"/>
      <c r="U9" s="89"/>
      <c r="V9" s="91"/>
      <c r="W9" s="91"/>
      <c r="X9" s="89"/>
      <c r="Y9" s="92" t="s">
        <v>198</v>
      </c>
      <c r="Z9" s="89"/>
      <c r="AA9" s="89"/>
      <c r="AB9" s="89"/>
      <c r="AC9" s="91"/>
      <c r="AD9" s="91"/>
      <c r="AE9" s="89"/>
      <c r="AF9" s="89"/>
      <c r="AG9" s="89"/>
      <c r="AH9" s="93">
        <f t="shared" si="1"/>
        <v>2</v>
      </c>
    </row>
    <row r="10">
      <c r="B10" s="97" t="s">
        <v>206</v>
      </c>
      <c r="C10" s="98">
        <v>24.0</v>
      </c>
      <c r="D10" s="89"/>
      <c r="E10" s="89"/>
      <c r="F10" s="89"/>
      <c r="G10" s="89"/>
      <c r="H10" s="91"/>
      <c r="I10" s="91"/>
      <c r="J10" s="89"/>
      <c r="K10" s="92" t="s">
        <v>198</v>
      </c>
      <c r="L10" s="89"/>
      <c r="M10" s="89"/>
      <c r="N10" s="89"/>
      <c r="O10" s="91"/>
      <c r="P10" s="91"/>
      <c r="Q10" s="89"/>
      <c r="R10" s="89"/>
      <c r="S10" s="89"/>
      <c r="T10" s="89"/>
      <c r="U10" s="92" t="s">
        <v>198</v>
      </c>
      <c r="V10" s="91"/>
      <c r="W10" s="91"/>
      <c r="X10" s="89"/>
      <c r="Y10" s="89"/>
      <c r="Z10" s="89"/>
      <c r="AA10" s="89"/>
      <c r="AB10" s="89"/>
      <c r="AC10" s="91"/>
      <c r="AD10" s="91"/>
      <c r="AE10" s="89"/>
      <c r="AF10" s="89"/>
      <c r="AG10" s="89"/>
      <c r="AH10" s="93">
        <f t="shared" si="1"/>
        <v>2</v>
      </c>
    </row>
    <row r="11">
      <c r="A11" s="71"/>
      <c r="B11" s="94" t="s">
        <v>207</v>
      </c>
      <c r="C11" s="95">
        <v>16.0</v>
      </c>
      <c r="D11" s="89"/>
      <c r="E11" s="89"/>
      <c r="F11" s="92" t="s">
        <v>198</v>
      </c>
      <c r="G11" s="89"/>
      <c r="H11" s="91"/>
      <c r="I11" s="91"/>
      <c r="J11" s="89"/>
      <c r="K11" s="89"/>
      <c r="L11" s="89"/>
      <c r="M11" s="89"/>
      <c r="N11" s="89"/>
      <c r="O11" s="90" t="s">
        <v>198</v>
      </c>
      <c r="P11" s="91"/>
      <c r="Q11" s="89"/>
      <c r="R11" s="89"/>
      <c r="S11" s="89"/>
      <c r="T11" s="89"/>
      <c r="U11" s="89"/>
      <c r="V11" s="91"/>
      <c r="W11" s="91"/>
      <c r="X11" s="89"/>
      <c r="Y11" s="89"/>
      <c r="Z11" s="89"/>
      <c r="AA11" s="89"/>
      <c r="AB11" s="89"/>
      <c r="AC11" s="91"/>
      <c r="AD11" s="91"/>
      <c r="AE11" s="89"/>
      <c r="AF11" s="89"/>
      <c r="AG11" s="89"/>
      <c r="AH11" s="93">
        <f t="shared" si="1"/>
        <v>2</v>
      </c>
    </row>
    <row r="12">
      <c r="B12" s="94" t="s">
        <v>208</v>
      </c>
      <c r="C12" s="103">
        <v>16.0</v>
      </c>
      <c r="D12" s="89"/>
      <c r="E12" s="89"/>
      <c r="F12" s="89"/>
      <c r="G12" s="89"/>
      <c r="H12" s="91"/>
      <c r="I12" s="91"/>
      <c r="J12" s="89"/>
      <c r="K12" s="89"/>
      <c r="L12" s="92" t="s">
        <v>198</v>
      </c>
      <c r="M12" s="89"/>
      <c r="N12" s="89"/>
      <c r="O12" s="91"/>
      <c r="P12" s="91"/>
      <c r="Q12" s="89"/>
      <c r="R12" s="89"/>
      <c r="S12" s="89"/>
      <c r="T12" s="89"/>
      <c r="U12" s="89"/>
      <c r="V12" s="90" t="s">
        <v>198</v>
      </c>
      <c r="W12" s="91"/>
      <c r="X12" s="89"/>
      <c r="Y12" s="89"/>
      <c r="Z12" s="89"/>
      <c r="AA12" s="89"/>
      <c r="AB12" s="89"/>
      <c r="AC12" s="91"/>
      <c r="AD12" s="91"/>
      <c r="AE12" s="89"/>
      <c r="AF12" s="89"/>
      <c r="AG12" s="89"/>
      <c r="AH12" s="93">
        <f t="shared" si="1"/>
        <v>2</v>
      </c>
    </row>
    <row r="13">
      <c r="A13" s="71"/>
      <c r="B13" s="94" t="s">
        <v>209</v>
      </c>
      <c r="C13" s="95">
        <v>24.0</v>
      </c>
      <c r="D13" s="89"/>
      <c r="E13" s="89"/>
      <c r="F13" s="89"/>
      <c r="G13" s="89"/>
      <c r="H13" s="90" t="s">
        <v>198</v>
      </c>
      <c r="I13" s="91"/>
      <c r="J13" s="89"/>
      <c r="K13" s="89"/>
      <c r="L13" s="89"/>
      <c r="M13" s="89"/>
      <c r="N13" s="89"/>
      <c r="O13" s="91"/>
      <c r="P13" s="91"/>
      <c r="Q13" s="89"/>
      <c r="R13" s="89"/>
      <c r="S13" s="89"/>
      <c r="T13" s="89"/>
      <c r="U13" s="89"/>
      <c r="V13" s="91"/>
      <c r="W13" s="91"/>
      <c r="X13" s="92" t="s">
        <v>198</v>
      </c>
      <c r="Y13" s="89"/>
      <c r="Z13" s="89"/>
      <c r="AA13" s="89"/>
      <c r="AB13" s="89"/>
      <c r="AC13" s="91"/>
      <c r="AD13" s="91"/>
      <c r="AE13" s="89"/>
      <c r="AF13" s="89"/>
      <c r="AG13" s="89"/>
      <c r="AH13" s="93">
        <f t="shared" si="1"/>
        <v>2</v>
      </c>
    </row>
    <row r="14">
      <c r="B14" s="94" t="s">
        <v>212</v>
      </c>
      <c r="C14" s="95">
        <v>24.0</v>
      </c>
      <c r="D14" s="89"/>
      <c r="E14" s="92" t="s">
        <v>198</v>
      </c>
      <c r="F14" s="89"/>
      <c r="G14" s="89"/>
      <c r="H14" s="91"/>
      <c r="I14" s="91"/>
      <c r="J14" s="89"/>
      <c r="K14" s="89"/>
      <c r="L14" s="89"/>
      <c r="M14" s="89"/>
      <c r="N14" s="89"/>
      <c r="O14" s="91"/>
      <c r="P14" s="91"/>
      <c r="Q14" s="89"/>
      <c r="R14" s="89"/>
      <c r="S14" s="89"/>
      <c r="T14" s="89"/>
      <c r="U14" s="92" t="s">
        <v>198</v>
      </c>
      <c r="V14" s="91"/>
      <c r="W14" s="91"/>
      <c r="X14" s="89"/>
      <c r="Y14" s="89"/>
      <c r="Z14" s="89"/>
      <c r="AA14" s="89"/>
      <c r="AB14" s="89"/>
      <c r="AC14" s="91"/>
      <c r="AD14" s="91"/>
      <c r="AE14" s="89"/>
      <c r="AF14" s="89"/>
      <c r="AG14" s="89"/>
      <c r="AH14" s="93">
        <f t="shared" si="1"/>
        <v>2</v>
      </c>
    </row>
    <row r="15">
      <c r="A15" s="71"/>
      <c r="B15" s="94" t="s">
        <v>213</v>
      </c>
      <c r="C15" s="103">
        <v>16.0</v>
      </c>
      <c r="D15" s="89"/>
      <c r="E15" s="89"/>
      <c r="F15" s="89"/>
      <c r="G15" s="89"/>
      <c r="H15" s="91"/>
      <c r="I15" s="91"/>
      <c r="J15" s="89"/>
      <c r="K15" s="89"/>
      <c r="L15" s="89"/>
      <c r="M15" s="89"/>
      <c r="N15" s="89"/>
      <c r="O15" s="91"/>
      <c r="P15" s="90" t="s">
        <v>198</v>
      </c>
      <c r="Q15" s="89"/>
      <c r="R15" s="89"/>
      <c r="S15" s="89"/>
      <c r="T15" s="89"/>
      <c r="U15" s="89"/>
      <c r="V15" s="91"/>
      <c r="W15" s="91"/>
      <c r="X15" s="89"/>
      <c r="Y15" s="89"/>
      <c r="Z15" s="89"/>
      <c r="AA15" s="92" t="s">
        <v>198</v>
      </c>
      <c r="AB15" s="89"/>
      <c r="AC15" s="91"/>
      <c r="AD15" s="91"/>
      <c r="AE15" s="89"/>
      <c r="AF15" s="89"/>
      <c r="AG15" s="89"/>
      <c r="AH15" s="93">
        <f t="shared" si="1"/>
        <v>2</v>
      </c>
    </row>
    <row r="16">
      <c r="B16" s="94" t="s">
        <v>214</v>
      </c>
      <c r="C16" s="95">
        <v>16.0</v>
      </c>
      <c r="D16" s="92" t="s">
        <v>198</v>
      </c>
      <c r="E16" s="89"/>
      <c r="F16" s="89"/>
      <c r="G16" s="89"/>
      <c r="H16" s="91"/>
      <c r="I16" s="91"/>
      <c r="J16" s="89"/>
      <c r="K16" s="89"/>
      <c r="L16" s="89"/>
      <c r="M16" s="89"/>
      <c r="N16" s="89"/>
      <c r="O16" s="91"/>
      <c r="P16" s="91"/>
      <c r="Q16" s="89"/>
      <c r="R16" s="92" t="s">
        <v>198</v>
      </c>
      <c r="S16" s="89"/>
      <c r="T16" s="89"/>
      <c r="U16" s="89"/>
      <c r="V16" s="91"/>
      <c r="W16" s="91"/>
      <c r="X16" s="89"/>
      <c r="Y16" s="89"/>
      <c r="Z16" s="89"/>
      <c r="AA16" s="89"/>
      <c r="AB16" s="89"/>
      <c r="AC16" s="91"/>
      <c r="AD16" s="91"/>
      <c r="AE16" s="89"/>
      <c r="AF16" s="89"/>
      <c r="AG16" s="89"/>
      <c r="AH16" s="93">
        <f t="shared" si="1"/>
        <v>2</v>
      </c>
    </row>
    <row r="17">
      <c r="A17" s="71"/>
      <c r="B17" s="94" t="s">
        <v>215</v>
      </c>
      <c r="C17" s="103">
        <v>16.0</v>
      </c>
      <c r="D17" s="92" t="s">
        <v>198</v>
      </c>
      <c r="E17" s="89"/>
      <c r="F17" s="89"/>
      <c r="G17" s="89"/>
      <c r="H17" s="91"/>
      <c r="I17" s="91"/>
      <c r="J17" s="89"/>
      <c r="K17" s="89"/>
      <c r="L17" s="89"/>
      <c r="M17" s="89"/>
      <c r="N17" s="89"/>
      <c r="O17" s="91"/>
      <c r="P17" s="91"/>
      <c r="Q17" s="89"/>
      <c r="R17" s="89"/>
      <c r="S17" s="89"/>
      <c r="T17" s="89"/>
      <c r="U17" s="89"/>
      <c r="V17" s="91"/>
      <c r="W17" s="91"/>
      <c r="X17" s="89"/>
      <c r="Y17" s="89"/>
      <c r="Z17" s="92" t="s">
        <v>198</v>
      </c>
      <c r="AA17" s="89"/>
      <c r="AB17" s="89"/>
      <c r="AC17" s="91"/>
      <c r="AD17" s="91"/>
      <c r="AE17" s="89"/>
      <c r="AF17" s="89"/>
      <c r="AG17" s="89"/>
      <c r="AH17" s="93">
        <f t="shared" si="1"/>
        <v>2</v>
      </c>
    </row>
    <row r="18">
      <c r="B18" s="94" t="s">
        <v>216</v>
      </c>
      <c r="C18" s="95">
        <v>24.0</v>
      </c>
      <c r="D18" s="89"/>
      <c r="E18" s="89"/>
      <c r="F18" s="92" t="s">
        <v>198</v>
      </c>
      <c r="G18" s="89"/>
      <c r="H18" s="91"/>
      <c r="I18" s="91"/>
      <c r="J18" s="89"/>
      <c r="K18" s="89"/>
      <c r="L18" s="89"/>
      <c r="M18" s="89"/>
      <c r="N18" s="89"/>
      <c r="O18" s="91"/>
      <c r="P18" s="91"/>
      <c r="Q18" s="89"/>
      <c r="R18" s="89"/>
      <c r="S18" s="89"/>
      <c r="T18" s="92" t="s">
        <v>198</v>
      </c>
      <c r="U18" s="89"/>
      <c r="V18" s="91"/>
      <c r="W18" s="91"/>
      <c r="X18" s="89"/>
      <c r="Y18" s="89"/>
      <c r="Z18" s="89"/>
      <c r="AA18" s="89"/>
      <c r="AB18" s="89"/>
      <c r="AC18" s="91"/>
      <c r="AD18" s="91"/>
      <c r="AE18" s="89"/>
      <c r="AF18" s="89"/>
      <c r="AG18" s="89"/>
      <c r="AH18" s="93">
        <f t="shared" si="1"/>
        <v>2</v>
      </c>
    </row>
    <row r="19">
      <c r="A19" s="71"/>
      <c r="B19" s="94" t="s">
        <v>217</v>
      </c>
      <c r="C19" s="95">
        <v>16.0</v>
      </c>
      <c r="D19" s="92" t="s">
        <v>198</v>
      </c>
      <c r="E19" s="89"/>
      <c r="F19" s="89"/>
      <c r="G19" s="89"/>
      <c r="H19" s="91"/>
      <c r="I19" s="91"/>
      <c r="J19" s="89"/>
      <c r="K19" s="89"/>
      <c r="L19" s="89"/>
      <c r="M19" s="89"/>
      <c r="N19" s="89"/>
      <c r="O19" s="91"/>
      <c r="P19" s="91"/>
      <c r="Q19" s="89"/>
      <c r="R19" s="89"/>
      <c r="S19" s="89"/>
      <c r="T19" s="92" t="s">
        <v>198</v>
      </c>
      <c r="U19" s="89"/>
      <c r="V19" s="91"/>
      <c r="W19" s="91"/>
      <c r="X19" s="89"/>
      <c r="Y19" s="89"/>
      <c r="Z19" s="89"/>
      <c r="AA19" s="89"/>
      <c r="AB19" s="89"/>
      <c r="AC19" s="91"/>
      <c r="AD19" s="91"/>
      <c r="AE19" s="89"/>
      <c r="AF19" s="89"/>
      <c r="AG19" s="89"/>
      <c r="AH19" s="93">
        <f t="shared" si="1"/>
        <v>2</v>
      </c>
    </row>
    <row r="20">
      <c r="B20" s="94" t="s">
        <v>218</v>
      </c>
      <c r="C20" s="95">
        <v>24.0</v>
      </c>
      <c r="D20" s="89"/>
      <c r="E20" s="89"/>
      <c r="F20" s="89"/>
      <c r="G20" s="89"/>
      <c r="H20" s="90" t="s">
        <v>198</v>
      </c>
      <c r="I20" s="91"/>
      <c r="J20" s="89"/>
      <c r="K20" s="89"/>
      <c r="L20" s="89"/>
      <c r="M20" s="89"/>
      <c r="N20" s="89"/>
      <c r="O20" s="91"/>
      <c r="P20" s="91"/>
      <c r="Q20" s="89"/>
      <c r="R20" s="89"/>
      <c r="S20" s="89"/>
      <c r="T20" s="89"/>
      <c r="U20" s="89"/>
      <c r="V20" s="91"/>
      <c r="W20" s="91"/>
      <c r="X20" s="89"/>
      <c r="Y20" s="89"/>
      <c r="Z20" s="89"/>
      <c r="AA20" s="89"/>
      <c r="AB20" s="92" t="s">
        <v>198</v>
      </c>
      <c r="AC20" s="91"/>
      <c r="AD20" s="91"/>
      <c r="AE20" s="89"/>
      <c r="AF20" s="89"/>
      <c r="AG20" s="89"/>
      <c r="AH20" s="93">
        <f t="shared" si="1"/>
        <v>2</v>
      </c>
    </row>
    <row r="21">
      <c r="A21" s="71"/>
      <c r="B21" s="94" t="s">
        <v>219</v>
      </c>
      <c r="C21" s="103">
        <v>16.0</v>
      </c>
      <c r="D21" s="89"/>
      <c r="E21" s="89"/>
      <c r="F21" s="92" t="s">
        <v>198</v>
      </c>
      <c r="G21" s="89"/>
      <c r="H21" s="91"/>
      <c r="I21" s="91"/>
      <c r="J21" s="89"/>
      <c r="K21" s="89"/>
      <c r="L21" s="89"/>
      <c r="M21" s="89"/>
      <c r="N21" s="89"/>
      <c r="O21" s="91"/>
      <c r="P21" s="91"/>
      <c r="Q21" s="89"/>
      <c r="R21" s="89"/>
      <c r="S21" s="89"/>
      <c r="T21" s="89"/>
      <c r="U21" s="89"/>
      <c r="V21" s="91"/>
      <c r="W21" s="90" t="s">
        <v>198</v>
      </c>
      <c r="X21" s="89"/>
      <c r="Y21" s="89"/>
      <c r="Z21" s="89"/>
      <c r="AA21" s="89"/>
      <c r="AB21" s="89"/>
      <c r="AC21" s="91"/>
      <c r="AD21" s="91"/>
      <c r="AE21" s="89"/>
      <c r="AF21" s="89"/>
      <c r="AG21" s="89"/>
      <c r="AH21" s="93">
        <f t="shared" si="1"/>
        <v>2</v>
      </c>
    </row>
    <row r="22">
      <c r="B22" s="94" t="s">
        <v>220</v>
      </c>
      <c r="C22" s="95">
        <v>16.0</v>
      </c>
      <c r="D22" s="89"/>
      <c r="E22" s="89"/>
      <c r="F22" s="89"/>
      <c r="G22" s="89"/>
      <c r="H22" s="91"/>
      <c r="I22" s="91"/>
      <c r="J22" s="89"/>
      <c r="K22" s="89"/>
      <c r="L22" s="89"/>
      <c r="M22" s="89"/>
      <c r="N22" s="89"/>
      <c r="O22" s="91"/>
      <c r="P22" s="90" t="s">
        <v>198</v>
      </c>
      <c r="Q22" s="89"/>
      <c r="R22" s="89"/>
      <c r="S22" s="89"/>
      <c r="T22" s="89"/>
      <c r="U22" s="89"/>
      <c r="V22" s="91"/>
      <c r="W22" s="91"/>
      <c r="X22" s="89"/>
      <c r="Y22" s="89"/>
      <c r="Z22" s="89"/>
      <c r="AA22" s="89"/>
      <c r="AB22" s="89"/>
      <c r="AC22" s="91"/>
      <c r="AD22" s="91"/>
      <c r="AE22" s="89"/>
      <c r="AF22" s="92" t="s">
        <v>198</v>
      </c>
      <c r="AG22" s="89"/>
      <c r="AH22" s="93">
        <f t="shared" si="1"/>
        <v>2</v>
      </c>
    </row>
    <row r="23">
      <c r="A23" s="71"/>
      <c r="B23" s="97" t="s">
        <v>222</v>
      </c>
      <c r="C23" s="95">
        <v>24.0</v>
      </c>
      <c r="D23" s="89"/>
      <c r="E23" s="89"/>
      <c r="F23" s="89"/>
      <c r="G23" s="92" t="s">
        <v>198</v>
      </c>
      <c r="H23" s="91"/>
      <c r="I23" s="91"/>
      <c r="J23" s="89"/>
      <c r="K23" s="89"/>
      <c r="L23" s="89"/>
      <c r="M23" s="89"/>
      <c r="N23" s="89"/>
      <c r="O23" s="91"/>
      <c r="P23" s="91"/>
      <c r="Q23" s="89"/>
      <c r="R23" s="89"/>
      <c r="S23" s="89"/>
      <c r="T23" s="89"/>
      <c r="U23" s="89"/>
      <c r="V23" s="91"/>
      <c r="W23" s="90" t="s">
        <v>198</v>
      </c>
      <c r="X23" s="89"/>
      <c r="Y23" s="89"/>
      <c r="Z23" s="89"/>
      <c r="AA23" s="89"/>
      <c r="AB23" s="89"/>
      <c r="AC23" s="91"/>
      <c r="AD23" s="91"/>
      <c r="AE23" s="89"/>
      <c r="AF23" s="89"/>
      <c r="AG23" s="89"/>
      <c r="AH23" s="93">
        <f t="shared" si="1"/>
        <v>2</v>
      </c>
    </row>
    <row r="24">
      <c r="B24" s="94" t="s">
        <v>223</v>
      </c>
      <c r="C24" s="95">
        <v>24.0</v>
      </c>
      <c r="D24" s="89"/>
      <c r="E24" s="89"/>
      <c r="F24" s="89"/>
      <c r="G24" s="89"/>
      <c r="H24" s="91"/>
      <c r="I24" s="91"/>
      <c r="J24" s="89"/>
      <c r="K24" s="89"/>
      <c r="L24" s="89"/>
      <c r="M24" s="89"/>
      <c r="N24" s="89"/>
      <c r="O24" s="91"/>
      <c r="P24" s="91"/>
      <c r="Q24" s="92" t="s">
        <v>198</v>
      </c>
      <c r="R24" s="89"/>
      <c r="S24" s="89"/>
      <c r="T24" s="89"/>
      <c r="U24" s="89"/>
      <c r="V24" s="91"/>
      <c r="W24" s="91"/>
      <c r="X24" s="89"/>
      <c r="Y24" s="89"/>
      <c r="Z24" s="89"/>
      <c r="AA24" s="89"/>
      <c r="AB24" s="89"/>
      <c r="AC24" s="91"/>
      <c r="AD24" s="91"/>
      <c r="AE24" s="89"/>
      <c r="AF24" s="89"/>
      <c r="AG24" s="92" t="s">
        <v>198</v>
      </c>
      <c r="AH24" s="93">
        <f t="shared" si="1"/>
        <v>2</v>
      </c>
    </row>
    <row r="25">
      <c r="A25" s="71"/>
      <c r="B25" s="97" t="s">
        <v>224</v>
      </c>
      <c r="C25" s="95">
        <v>24.0</v>
      </c>
      <c r="D25" s="89"/>
      <c r="E25" s="92" t="s">
        <v>198</v>
      </c>
      <c r="F25" s="89"/>
      <c r="G25" s="89"/>
      <c r="H25" s="91"/>
      <c r="I25" s="91"/>
      <c r="J25" s="89"/>
      <c r="K25" s="89"/>
      <c r="L25" s="89"/>
      <c r="M25" s="89"/>
      <c r="N25" s="89"/>
      <c r="O25" s="91"/>
      <c r="P25" s="91"/>
      <c r="Q25" s="89"/>
      <c r="R25" s="89"/>
      <c r="S25" s="92" t="s">
        <v>198</v>
      </c>
      <c r="T25" s="89"/>
      <c r="U25" s="89"/>
      <c r="V25" s="91"/>
      <c r="W25" s="91"/>
      <c r="X25" s="89"/>
      <c r="Y25" s="89"/>
      <c r="Z25" s="89"/>
      <c r="AA25" s="89"/>
      <c r="AB25" s="89"/>
      <c r="AC25" s="91"/>
      <c r="AD25" s="91"/>
      <c r="AE25" s="89"/>
      <c r="AF25" s="89"/>
      <c r="AG25" s="89"/>
      <c r="AH25" s="93">
        <f t="shared" si="1"/>
        <v>2</v>
      </c>
    </row>
    <row r="26">
      <c r="B26" s="94" t="s">
        <v>225</v>
      </c>
      <c r="C26" s="95">
        <v>24.0</v>
      </c>
      <c r="D26" s="89"/>
      <c r="E26" s="89"/>
      <c r="F26" s="89"/>
      <c r="G26" s="92" t="s">
        <v>198</v>
      </c>
      <c r="H26" s="91"/>
      <c r="I26" s="91"/>
      <c r="J26" s="89"/>
      <c r="K26" s="89"/>
      <c r="L26" s="89"/>
      <c r="M26" s="89"/>
      <c r="N26" s="89"/>
      <c r="O26" s="91"/>
      <c r="P26" s="91"/>
      <c r="Q26" s="89"/>
      <c r="R26" s="89"/>
      <c r="S26" s="89"/>
      <c r="T26" s="89"/>
      <c r="U26" s="89"/>
      <c r="V26" s="91"/>
      <c r="W26" s="90" t="s">
        <v>198</v>
      </c>
      <c r="X26" s="89"/>
      <c r="Y26" s="89"/>
      <c r="Z26" s="89"/>
      <c r="AA26" s="89"/>
      <c r="AB26" s="89"/>
      <c r="AC26" s="91"/>
      <c r="AD26" s="91"/>
      <c r="AE26" s="89"/>
      <c r="AF26" s="89"/>
      <c r="AG26" s="89"/>
      <c r="AH26" s="93">
        <f t="shared" si="1"/>
        <v>2</v>
      </c>
    </row>
    <row r="27">
      <c r="A27" s="71"/>
      <c r="B27" s="94" t="s">
        <v>227</v>
      </c>
      <c r="C27" s="103">
        <v>8.0</v>
      </c>
      <c r="D27" s="89"/>
      <c r="E27" s="89"/>
      <c r="F27" s="89"/>
      <c r="G27" s="89"/>
      <c r="H27" s="91"/>
      <c r="I27" s="91"/>
      <c r="J27" s="89"/>
      <c r="K27" s="89"/>
      <c r="L27" s="89"/>
      <c r="M27" s="89"/>
      <c r="N27" s="92" t="s">
        <v>198</v>
      </c>
      <c r="O27" s="91"/>
      <c r="P27" s="91"/>
      <c r="Q27" s="89"/>
      <c r="R27" s="89"/>
      <c r="S27" s="89"/>
      <c r="T27" s="89"/>
      <c r="U27" s="89"/>
      <c r="V27" s="91"/>
      <c r="W27" s="91"/>
      <c r="X27" s="92" t="s">
        <v>198</v>
      </c>
      <c r="Y27" s="89"/>
      <c r="Z27" s="89"/>
      <c r="AA27" s="89"/>
      <c r="AB27" s="89"/>
      <c r="AC27" s="91"/>
      <c r="AD27" s="91"/>
      <c r="AE27" s="89"/>
      <c r="AF27" s="89"/>
      <c r="AG27" s="89"/>
      <c r="AH27" s="93">
        <f t="shared" si="1"/>
        <v>2</v>
      </c>
    </row>
    <row r="28">
      <c r="B28" s="94" t="s">
        <v>229</v>
      </c>
      <c r="C28" s="103">
        <v>16.0</v>
      </c>
      <c r="D28" s="89"/>
      <c r="E28" s="89"/>
      <c r="F28" s="89"/>
      <c r="G28" s="89"/>
      <c r="H28" s="91"/>
      <c r="I28" s="91"/>
      <c r="J28" s="89"/>
      <c r="K28" s="89"/>
      <c r="L28" s="92" t="s">
        <v>198</v>
      </c>
      <c r="M28" s="89"/>
      <c r="N28" s="89"/>
      <c r="O28" s="91"/>
      <c r="P28" s="91"/>
      <c r="Q28" s="89"/>
      <c r="R28" s="89"/>
      <c r="S28" s="89"/>
      <c r="T28" s="89"/>
      <c r="U28" s="89"/>
      <c r="V28" s="91"/>
      <c r="W28" s="91"/>
      <c r="X28" s="89"/>
      <c r="Y28" s="89"/>
      <c r="Z28" s="89"/>
      <c r="AA28" s="89"/>
      <c r="AB28" s="89"/>
      <c r="AC28" s="91"/>
      <c r="AD28" s="91"/>
      <c r="AE28" s="89"/>
      <c r="AF28" s="92" t="s">
        <v>198</v>
      </c>
      <c r="AG28" s="89"/>
      <c r="AH28" s="93">
        <f t="shared" si="1"/>
        <v>2</v>
      </c>
    </row>
    <row r="29">
      <c r="A29" s="71"/>
      <c r="B29" s="94" t="s">
        <v>230</v>
      </c>
      <c r="C29" s="95">
        <v>16.0</v>
      </c>
      <c r="D29" s="89"/>
      <c r="E29" s="89"/>
      <c r="F29" s="89"/>
      <c r="G29" s="89"/>
      <c r="H29" s="91"/>
      <c r="I29" s="91"/>
      <c r="J29" s="89"/>
      <c r="K29" s="89"/>
      <c r="L29" s="89"/>
      <c r="M29" s="92" t="s">
        <v>198</v>
      </c>
      <c r="N29" s="89"/>
      <c r="O29" s="91"/>
      <c r="P29" s="91"/>
      <c r="Q29" s="89"/>
      <c r="R29" s="89"/>
      <c r="S29" s="89"/>
      <c r="T29" s="89"/>
      <c r="U29" s="89"/>
      <c r="V29" s="91"/>
      <c r="W29" s="91"/>
      <c r="X29" s="89"/>
      <c r="Y29" s="89"/>
      <c r="Z29" s="89"/>
      <c r="AA29" s="89"/>
      <c r="AB29" s="89"/>
      <c r="AC29" s="91"/>
      <c r="AD29" s="91"/>
      <c r="AE29" s="89"/>
      <c r="AF29" s="89"/>
      <c r="AG29" s="92" t="s">
        <v>198</v>
      </c>
      <c r="AH29" s="93">
        <f t="shared" si="1"/>
        <v>2</v>
      </c>
    </row>
    <row r="30">
      <c r="B30" s="87" t="s">
        <v>231</v>
      </c>
      <c r="C30" s="104">
        <v>24.0</v>
      </c>
      <c r="D30" s="89"/>
      <c r="E30" s="89"/>
      <c r="F30" s="89"/>
      <c r="G30" s="89"/>
      <c r="H30" s="91"/>
      <c r="I30" s="90" t="s">
        <v>198</v>
      </c>
      <c r="J30" s="89"/>
      <c r="K30" s="89"/>
      <c r="L30" s="89"/>
      <c r="M30" s="89"/>
      <c r="N30" s="89"/>
      <c r="O30" s="91"/>
      <c r="P30" s="91"/>
      <c r="Q30" s="89"/>
      <c r="R30" s="89"/>
      <c r="S30" s="89"/>
      <c r="T30" s="89"/>
      <c r="U30" s="89"/>
      <c r="V30" s="91"/>
      <c r="W30" s="91"/>
      <c r="X30" s="89"/>
      <c r="Y30" s="92" t="s">
        <v>198</v>
      </c>
      <c r="Z30" s="89"/>
      <c r="AA30" s="89"/>
      <c r="AB30" s="89"/>
      <c r="AC30" s="91"/>
      <c r="AD30" s="91"/>
      <c r="AE30" s="89"/>
      <c r="AF30" s="89"/>
      <c r="AG30" s="89"/>
      <c r="AH30" s="93">
        <f t="shared" si="1"/>
        <v>2</v>
      </c>
    </row>
    <row r="31">
      <c r="A31" s="71"/>
      <c r="B31" s="94" t="s">
        <v>232</v>
      </c>
      <c r="C31" s="95">
        <v>24.0</v>
      </c>
      <c r="D31" s="92" t="s">
        <v>198</v>
      </c>
      <c r="E31" s="89"/>
      <c r="F31" s="89"/>
      <c r="G31" s="89"/>
      <c r="H31" s="91"/>
      <c r="I31" s="91"/>
      <c r="J31" s="89"/>
      <c r="K31" s="89"/>
      <c r="L31" s="89"/>
      <c r="M31" s="89"/>
      <c r="N31" s="89"/>
      <c r="O31" s="91"/>
      <c r="P31" s="91"/>
      <c r="Q31" s="89"/>
      <c r="R31" s="89"/>
      <c r="S31" s="89"/>
      <c r="T31" s="89"/>
      <c r="U31" s="89"/>
      <c r="V31" s="91"/>
      <c r="W31" s="91"/>
      <c r="X31" s="92" t="s">
        <v>198</v>
      </c>
      <c r="Y31" s="89"/>
      <c r="Z31" s="89"/>
      <c r="AA31" s="89"/>
      <c r="AB31" s="89"/>
      <c r="AC31" s="91"/>
      <c r="AD31" s="91"/>
      <c r="AE31" s="89"/>
      <c r="AF31" s="89"/>
      <c r="AG31" s="89"/>
      <c r="AH31" s="93">
        <f t="shared" si="1"/>
        <v>2</v>
      </c>
    </row>
    <row r="32">
      <c r="B32" s="94" t="s">
        <v>233</v>
      </c>
      <c r="C32" s="95">
        <v>24.0</v>
      </c>
      <c r="D32" s="89"/>
      <c r="E32" s="89"/>
      <c r="F32" s="89"/>
      <c r="G32" s="89"/>
      <c r="H32" s="91"/>
      <c r="I32" s="91"/>
      <c r="J32" s="89"/>
      <c r="K32" s="89"/>
      <c r="L32" s="92" t="s">
        <v>198</v>
      </c>
      <c r="M32" s="89"/>
      <c r="N32" s="89"/>
      <c r="O32" s="91"/>
      <c r="P32" s="91"/>
      <c r="Q32" s="89"/>
      <c r="R32" s="89"/>
      <c r="S32" s="89"/>
      <c r="T32" s="89"/>
      <c r="U32" s="89"/>
      <c r="V32" s="91"/>
      <c r="W32" s="91"/>
      <c r="X32" s="89"/>
      <c r="Y32" s="89"/>
      <c r="Z32" s="92" t="s">
        <v>198</v>
      </c>
      <c r="AA32" s="89"/>
      <c r="AB32" s="89"/>
      <c r="AC32" s="91"/>
      <c r="AD32" s="91"/>
      <c r="AE32" s="89"/>
      <c r="AF32" s="89"/>
      <c r="AG32" s="89"/>
      <c r="AH32" s="93">
        <f t="shared" si="1"/>
        <v>2</v>
      </c>
    </row>
    <row r="33">
      <c r="A33" s="71"/>
      <c r="B33" s="94" t="s">
        <v>234</v>
      </c>
      <c r="C33" s="95">
        <v>24.0</v>
      </c>
      <c r="D33" s="89"/>
      <c r="E33" s="89"/>
      <c r="F33" s="89"/>
      <c r="G33" s="89"/>
      <c r="H33" s="91"/>
      <c r="I33" s="91"/>
      <c r="J33" s="89"/>
      <c r="K33" s="89"/>
      <c r="L33" s="89"/>
      <c r="M33" s="89"/>
      <c r="N33" s="89"/>
      <c r="O33" s="90" t="s">
        <v>198</v>
      </c>
      <c r="P33" s="91"/>
      <c r="Q33" s="89"/>
      <c r="R33" s="89"/>
      <c r="S33" s="89"/>
      <c r="T33" s="89"/>
      <c r="U33" s="89"/>
      <c r="V33" s="91"/>
      <c r="W33" s="91"/>
      <c r="X33" s="89"/>
      <c r="Y33" s="89"/>
      <c r="Z33" s="89"/>
      <c r="AA33" s="89"/>
      <c r="AB33" s="89"/>
      <c r="AC33" s="91"/>
      <c r="AD33" s="91"/>
      <c r="AE33" s="92" t="s">
        <v>198</v>
      </c>
      <c r="AF33" s="89"/>
      <c r="AG33" s="89"/>
      <c r="AH33" s="93">
        <f t="shared" si="1"/>
        <v>2</v>
      </c>
    </row>
    <row r="34">
      <c r="B34" s="94" t="s">
        <v>235</v>
      </c>
      <c r="C34" s="95">
        <v>24.0</v>
      </c>
      <c r="D34" s="89"/>
      <c r="E34" s="89"/>
      <c r="F34" s="89"/>
      <c r="G34" s="92" t="s">
        <v>198</v>
      </c>
      <c r="H34" s="91"/>
      <c r="I34" s="91"/>
      <c r="J34" s="89"/>
      <c r="K34" s="89"/>
      <c r="L34" s="89"/>
      <c r="M34" s="89"/>
      <c r="N34" s="89"/>
      <c r="O34" s="91"/>
      <c r="P34" s="91"/>
      <c r="Q34" s="89"/>
      <c r="R34" s="89"/>
      <c r="S34" s="89"/>
      <c r="T34" s="89"/>
      <c r="U34" s="89"/>
      <c r="V34" s="91"/>
      <c r="W34" s="91"/>
      <c r="X34" s="89"/>
      <c r="Y34" s="89"/>
      <c r="Z34" s="89"/>
      <c r="AA34" s="92" t="s">
        <v>198</v>
      </c>
      <c r="AB34" s="89"/>
      <c r="AC34" s="91"/>
      <c r="AD34" s="91"/>
      <c r="AE34" s="89"/>
      <c r="AF34" s="89"/>
      <c r="AG34" s="89"/>
      <c r="AH34" s="93">
        <f t="shared" si="1"/>
        <v>2</v>
      </c>
    </row>
    <row r="35">
      <c r="A35" s="71"/>
      <c r="B35" s="94" t="s">
        <v>236</v>
      </c>
      <c r="C35" s="95">
        <v>24.0</v>
      </c>
      <c r="D35" s="89"/>
      <c r="E35" s="89"/>
      <c r="F35" s="92" t="s">
        <v>198</v>
      </c>
      <c r="G35" s="89"/>
      <c r="H35" s="91"/>
      <c r="I35" s="91"/>
      <c r="J35" s="89"/>
      <c r="K35" s="89"/>
      <c r="L35" s="89"/>
      <c r="M35" s="89"/>
      <c r="N35" s="89"/>
      <c r="O35" s="91"/>
      <c r="P35" s="91"/>
      <c r="Q35" s="89"/>
      <c r="R35" s="89"/>
      <c r="S35" s="89"/>
      <c r="T35" s="89"/>
      <c r="U35" s="89"/>
      <c r="V35" s="90" t="s">
        <v>198</v>
      </c>
      <c r="W35" s="91"/>
      <c r="X35" s="89"/>
      <c r="Y35" s="89"/>
      <c r="Z35" s="89"/>
      <c r="AA35" s="89"/>
      <c r="AB35" s="89"/>
      <c r="AC35" s="91"/>
      <c r="AD35" s="91"/>
      <c r="AE35" s="89"/>
      <c r="AF35" s="89"/>
      <c r="AG35" s="89"/>
      <c r="AH35" s="93">
        <f t="shared" si="1"/>
        <v>2</v>
      </c>
    </row>
    <row r="36">
      <c r="B36" s="105" t="s">
        <v>238</v>
      </c>
      <c r="C36" s="103">
        <v>24.0</v>
      </c>
      <c r="D36" s="89"/>
      <c r="E36" s="89"/>
      <c r="F36" s="89"/>
      <c r="G36" s="89"/>
      <c r="H36" s="91"/>
      <c r="I36" s="91"/>
      <c r="J36" s="92" t="s">
        <v>198</v>
      </c>
      <c r="K36" s="89"/>
      <c r="L36" s="89"/>
      <c r="M36" s="89"/>
      <c r="N36" s="89"/>
      <c r="O36" s="91"/>
      <c r="P36" s="91"/>
      <c r="Q36" s="89"/>
      <c r="R36" s="89"/>
      <c r="S36" s="89"/>
      <c r="T36" s="89"/>
      <c r="U36" s="89"/>
      <c r="V36" s="91"/>
      <c r="W36" s="91"/>
      <c r="X36" s="89"/>
      <c r="Y36" s="89"/>
      <c r="Z36" s="92" t="s">
        <v>198</v>
      </c>
      <c r="AA36" s="89"/>
      <c r="AB36" s="89"/>
      <c r="AC36" s="91"/>
      <c r="AD36" s="91"/>
      <c r="AE36" s="89"/>
      <c r="AF36" s="89"/>
      <c r="AG36" s="89"/>
      <c r="AH36" s="93">
        <f t="shared" si="1"/>
        <v>2</v>
      </c>
    </row>
    <row r="37">
      <c r="A37" s="71"/>
      <c r="B37" s="106" t="s">
        <v>239</v>
      </c>
      <c r="C37" s="107">
        <v>24.0</v>
      </c>
      <c r="D37" s="89"/>
      <c r="E37" s="89"/>
      <c r="F37" s="89"/>
      <c r="G37" s="89"/>
      <c r="H37" s="91"/>
      <c r="I37" s="91"/>
      <c r="J37" s="89"/>
      <c r="K37" s="92" t="s">
        <v>198</v>
      </c>
      <c r="L37" s="89"/>
      <c r="M37" s="89"/>
      <c r="N37" s="89"/>
      <c r="O37" s="91"/>
      <c r="P37" s="91"/>
      <c r="Q37" s="89"/>
      <c r="R37" s="89"/>
      <c r="S37" s="89"/>
      <c r="T37" s="89"/>
      <c r="U37" s="89"/>
      <c r="V37" s="91"/>
      <c r="W37" s="91"/>
      <c r="X37" s="89"/>
      <c r="Y37" s="89"/>
      <c r="Z37" s="89"/>
      <c r="AA37" s="89"/>
      <c r="AB37" s="89"/>
      <c r="AC37" s="91"/>
      <c r="AD37" s="91"/>
      <c r="AE37" s="89"/>
      <c r="AF37" s="89"/>
      <c r="AG37" s="92" t="s">
        <v>198</v>
      </c>
      <c r="AH37" s="93">
        <f t="shared" si="1"/>
        <v>2</v>
      </c>
    </row>
    <row r="38">
      <c r="A38" s="71"/>
      <c r="B38" s="94" t="s">
        <v>241</v>
      </c>
      <c r="C38" s="95">
        <v>24.0</v>
      </c>
      <c r="D38" s="89"/>
      <c r="E38" s="89"/>
      <c r="F38" s="89"/>
      <c r="G38" s="89"/>
      <c r="H38" s="91"/>
      <c r="I38" s="90" t="s">
        <v>198</v>
      </c>
      <c r="J38" s="89"/>
      <c r="K38" s="89"/>
      <c r="L38" s="89"/>
      <c r="M38" s="89"/>
      <c r="N38" s="89"/>
      <c r="O38" s="91"/>
      <c r="P38" s="91"/>
      <c r="Q38" s="89"/>
      <c r="R38" s="89"/>
      <c r="S38" s="92" t="s">
        <v>198</v>
      </c>
      <c r="T38" s="89"/>
      <c r="U38" s="89"/>
      <c r="V38" s="91"/>
      <c r="W38" s="91"/>
      <c r="X38" s="89"/>
      <c r="Y38" s="89"/>
      <c r="Z38" s="89"/>
      <c r="AA38" s="89"/>
      <c r="AB38" s="89"/>
      <c r="AC38" s="91"/>
      <c r="AD38" s="91"/>
      <c r="AE38" s="89"/>
      <c r="AF38" s="89"/>
      <c r="AG38" s="89"/>
      <c r="AH38" s="93">
        <f t="shared" si="1"/>
        <v>2</v>
      </c>
    </row>
    <row r="39">
      <c r="B39" s="105" t="s">
        <v>244</v>
      </c>
      <c r="C39" s="103">
        <v>24.0</v>
      </c>
      <c r="D39" s="89"/>
      <c r="E39" s="92" t="s">
        <v>198</v>
      </c>
      <c r="F39" s="89"/>
      <c r="G39" s="89"/>
      <c r="H39" s="91"/>
      <c r="I39" s="91"/>
      <c r="J39" s="89"/>
      <c r="K39" s="89"/>
      <c r="L39" s="89"/>
      <c r="M39" s="89"/>
      <c r="N39" s="89"/>
      <c r="O39" s="91"/>
      <c r="P39" s="91"/>
      <c r="Q39" s="89"/>
      <c r="R39" s="89"/>
      <c r="S39" s="89"/>
      <c r="T39" s="89"/>
      <c r="U39" s="89"/>
      <c r="V39" s="91"/>
      <c r="W39" s="91"/>
      <c r="X39" s="89"/>
      <c r="Y39" s="89"/>
      <c r="Z39" s="89"/>
      <c r="AA39" s="92" t="s">
        <v>198</v>
      </c>
      <c r="AB39" s="89"/>
      <c r="AC39" s="91"/>
      <c r="AD39" s="91"/>
      <c r="AE39" s="89"/>
      <c r="AF39" s="89"/>
      <c r="AG39" s="89"/>
      <c r="AH39" s="93">
        <f t="shared" si="1"/>
        <v>2</v>
      </c>
    </row>
    <row r="40">
      <c r="A40" s="71"/>
      <c r="B40" s="94" t="s">
        <v>247</v>
      </c>
      <c r="C40" s="95">
        <v>24.0</v>
      </c>
      <c r="D40" s="89"/>
      <c r="E40" s="92" t="s">
        <v>198</v>
      </c>
      <c r="F40" s="89"/>
      <c r="G40" s="89"/>
      <c r="H40" s="91"/>
      <c r="I40" s="91"/>
      <c r="J40" s="89"/>
      <c r="K40" s="89"/>
      <c r="L40" s="89"/>
      <c r="M40" s="89"/>
      <c r="N40" s="89"/>
      <c r="O40" s="91"/>
      <c r="P40" s="91"/>
      <c r="Q40" s="89"/>
      <c r="R40" s="89"/>
      <c r="S40" s="92" t="s">
        <v>198</v>
      </c>
      <c r="T40" s="89"/>
      <c r="U40" s="89"/>
      <c r="V40" s="91"/>
      <c r="W40" s="91"/>
      <c r="X40" s="89"/>
      <c r="Y40" s="89"/>
      <c r="Z40" s="89"/>
      <c r="AA40" s="89"/>
      <c r="AB40" s="89"/>
      <c r="AC40" s="91"/>
      <c r="AD40" s="91"/>
      <c r="AE40" s="89"/>
      <c r="AF40" s="89"/>
      <c r="AG40" s="89"/>
      <c r="AH40" s="93">
        <f t="shared" si="1"/>
        <v>2</v>
      </c>
    </row>
    <row r="41">
      <c r="B41" s="97" t="s">
        <v>249</v>
      </c>
      <c r="C41" s="95">
        <v>24.0</v>
      </c>
      <c r="D41" s="89"/>
      <c r="E41" s="89"/>
      <c r="F41" s="89"/>
      <c r="G41" s="89"/>
      <c r="H41" s="91"/>
      <c r="I41" s="91"/>
      <c r="J41" s="89"/>
      <c r="K41" s="89"/>
      <c r="L41" s="89"/>
      <c r="M41" s="89"/>
      <c r="N41" s="89"/>
      <c r="O41" s="90" t="s">
        <v>198</v>
      </c>
      <c r="P41" s="91"/>
      <c r="Q41" s="89"/>
      <c r="R41" s="89"/>
      <c r="S41" s="89"/>
      <c r="T41" s="89"/>
      <c r="U41" s="89"/>
      <c r="V41" s="91"/>
      <c r="W41" s="91"/>
      <c r="X41" s="89"/>
      <c r="Y41" s="89"/>
      <c r="Z41" s="89"/>
      <c r="AA41" s="89"/>
      <c r="AB41" s="89"/>
      <c r="AC41" s="91"/>
      <c r="AD41" s="91"/>
      <c r="AE41" s="92" t="s">
        <v>198</v>
      </c>
      <c r="AF41" s="89"/>
      <c r="AG41" s="89"/>
      <c r="AH41" s="93">
        <f t="shared" si="1"/>
        <v>2</v>
      </c>
    </row>
    <row r="42">
      <c r="A42" s="71"/>
      <c r="B42" s="94" t="s">
        <v>250</v>
      </c>
      <c r="C42" s="95">
        <v>24.0</v>
      </c>
      <c r="D42" s="89"/>
      <c r="E42" s="89"/>
      <c r="F42" s="89"/>
      <c r="G42" s="89"/>
      <c r="H42" s="91"/>
      <c r="I42" s="91"/>
      <c r="J42" s="89"/>
      <c r="K42" s="89"/>
      <c r="L42" s="89"/>
      <c r="M42" s="89"/>
      <c r="N42" s="89"/>
      <c r="O42" s="90" t="s">
        <v>198</v>
      </c>
      <c r="P42" s="91"/>
      <c r="Q42" s="89"/>
      <c r="R42" s="89"/>
      <c r="S42" s="89"/>
      <c r="T42" s="89"/>
      <c r="U42" s="89"/>
      <c r="V42" s="91"/>
      <c r="W42" s="91"/>
      <c r="X42" s="89"/>
      <c r="Y42" s="89"/>
      <c r="Z42" s="89"/>
      <c r="AA42" s="89"/>
      <c r="AB42" s="89"/>
      <c r="AC42" s="91"/>
      <c r="AD42" s="91"/>
      <c r="AE42" s="92" t="s">
        <v>198</v>
      </c>
      <c r="AF42" s="89"/>
      <c r="AG42" s="89"/>
      <c r="AH42" s="93">
        <f t="shared" si="1"/>
        <v>2</v>
      </c>
    </row>
    <row r="43">
      <c r="B43" s="94" t="s">
        <v>251</v>
      </c>
      <c r="C43" s="95">
        <v>24.0</v>
      </c>
      <c r="D43" s="89"/>
      <c r="E43" s="89"/>
      <c r="F43" s="89"/>
      <c r="G43" s="89"/>
      <c r="H43" s="91"/>
      <c r="I43" s="91"/>
      <c r="J43" s="89"/>
      <c r="K43" s="89"/>
      <c r="L43" s="89"/>
      <c r="M43" s="92" t="s">
        <v>198</v>
      </c>
      <c r="N43" s="89"/>
      <c r="O43" s="91"/>
      <c r="P43" s="91"/>
      <c r="Q43" s="89"/>
      <c r="R43" s="89"/>
      <c r="S43" s="89"/>
      <c r="T43" s="89"/>
      <c r="U43" s="89"/>
      <c r="V43" s="91"/>
      <c r="W43" s="91"/>
      <c r="X43" s="89"/>
      <c r="Y43" s="89"/>
      <c r="Z43" s="89"/>
      <c r="AA43" s="89"/>
      <c r="AB43" s="89"/>
      <c r="AC43" s="90" t="s">
        <v>198</v>
      </c>
      <c r="AD43" s="91"/>
      <c r="AE43" s="89"/>
      <c r="AF43" s="89"/>
      <c r="AG43" s="89"/>
      <c r="AH43" s="93">
        <f t="shared" si="1"/>
        <v>2</v>
      </c>
    </row>
    <row r="44">
      <c r="A44" s="71"/>
      <c r="B44" s="108" t="s">
        <v>252</v>
      </c>
      <c r="C44" s="88">
        <v>24.0</v>
      </c>
      <c r="D44" s="89"/>
      <c r="E44" s="89"/>
      <c r="F44" s="89"/>
      <c r="G44" s="89"/>
      <c r="H44" s="91"/>
      <c r="I44" s="90" t="s">
        <v>198</v>
      </c>
      <c r="J44" s="89"/>
      <c r="K44" s="89"/>
      <c r="L44" s="89"/>
      <c r="M44" s="89"/>
      <c r="N44" s="89"/>
      <c r="O44" s="91"/>
      <c r="P44" s="91"/>
      <c r="Q44" s="89"/>
      <c r="R44" s="89"/>
      <c r="S44" s="89"/>
      <c r="T44" s="89"/>
      <c r="U44" s="89"/>
      <c r="V44" s="91"/>
      <c r="W44" s="91"/>
      <c r="X44" s="89"/>
      <c r="Y44" s="92" t="s">
        <v>198</v>
      </c>
      <c r="Z44" s="89"/>
      <c r="AA44" s="89"/>
      <c r="AB44" s="89"/>
      <c r="AC44" s="91"/>
      <c r="AD44" s="91"/>
      <c r="AE44" s="89"/>
      <c r="AF44" s="89"/>
      <c r="AG44" s="89"/>
      <c r="AH44" s="93">
        <f t="shared" si="1"/>
        <v>2</v>
      </c>
    </row>
    <row r="45">
      <c r="B45" s="94" t="s">
        <v>253</v>
      </c>
      <c r="C45" s="95">
        <v>24.0</v>
      </c>
      <c r="D45" s="89"/>
      <c r="E45" s="89"/>
      <c r="F45" s="89"/>
      <c r="G45" s="89"/>
      <c r="H45" s="91"/>
      <c r="I45" s="91"/>
      <c r="J45" s="89"/>
      <c r="K45" s="89"/>
      <c r="L45" s="92" t="s">
        <v>198</v>
      </c>
      <c r="M45" s="89"/>
      <c r="N45" s="89"/>
      <c r="O45" s="91"/>
      <c r="P45" s="91"/>
      <c r="Q45" s="89"/>
      <c r="R45" s="89"/>
      <c r="S45" s="89"/>
      <c r="T45" s="89"/>
      <c r="U45" s="89"/>
      <c r="V45" s="91"/>
      <c r="W45" s="91"/>
      <c r="X45" s="89"/>
      <c r="Y45" s="89"/>
      <c r="Z45" s="89"/>
      <c r="AA45" s="89"/>
      <c r="AB45" s="92" t="s">
        <v>198</v>
      </c>
      <c r="AC45" s="91"/>
      <c r="AD45" s="91"/>
      <c r="AE45" s="89"/>
      <c r="AF45" s="89"/>
      <c r="AG45" s="89"/>
      <c r="AH45" s="93">
        <f t="shared" si="1"/>
        <v>2</v>
      </c>
    </row>
    <row r="46">
      <c r="A46" s="109"/>
      <c r="B46" s="110" t="s">
        <v>254</v>
      </c>
      <c r="C46" s="88">
        <v>24.0</v>
      </c>
      <c r="D46" s="92" t="s">
        <v>198</v>
      </c>
      <c r="E46" s="89"/>
      <c r="F46" s="89"/>
      <c r="G46" s="89"/>
      <c r="H46" s="91"/>
      <c r="I46" s="91"/>
      <c r="J46" s="89"/>
      <c r="K46" s="89"/>
      <c r="L46" s="89"/>
      <c r="M46" s="89"/>
      <c r="N46" s="89"/>
      <c r="O46" s="91"/>
      <c r="P46" s="91"/>
      <c r="Q46" s="89"/>
      <c r="R46" s="89"/>
      <c r="S46" s="89"/>
      <c r="T46" s="92" t="s">
        <v>198</v>
      </c>
      <c r="U46" s="89"/>
      <c r="V46" s="91"/>
      <c r="W46" s="91"/>
      <c r="X46" s="89"/>
      <c r="Y46" s="89"/>
      <c r="Z46" s="89"/>
      <c r="AA46" s="89"/>
      <c r="AB46" s="89"/>
      <c r="AC46" s="91"/>
      <c r="AD46" s="91"/>
      <c r="AE46" s="89"/>
      <c r="AF46" s="89"/>
      <c r="AG46" s="89"/>
      <c r="AH46" s="93">
        <f t="shared" si="1"/>
        <v>2</v>
      </c>
    </row>
    <row r="47">
      <c r="A47" s="111"/>
      <c r="B47" s="112" t="s">
        <v>255</v>
      </c>
      <c r="C47" s="95">
        <v>24.0</v>
      </c>
      <c r="D47" s="89"/>
      <c r="E47" s="89"/>
      <c r="F47" s="89"/>
      <c r="G47" s="89"/>
      <c r="H47" s="91"/>
      <c r="I47" s="91"/>
      <c r="J47" s="89"/>
      <c r="K47" s="92" t="s">
        <v>198</v>
      </c>
      <c r="L47" s="89"/>
      <c r="M47" s="89"/>
      <c r="N47" s="89"/>
      <c r="O47" s="91"/>
      <c r="P47" s="91"/>
      <c r="Q47" s="89"/>
      <c r="R47" s="89"/>
      <c r="S47" s="89"/>
      <c r="T47" s="89"/>
      <c r="U47" s="89"/>
      <c r="V47" s="91"/>
      <c r="W47" s="91"/>
      <c r="X47" s="89"/>
      <c r="Y47" s="89"/>
      <c r="Z47" s="89"/>
      <c r="AA47" s="92" t="s">
        <v>198</v>
      </c>
      <c r="AB47" s="89"/>
      <c r="AC47" s="91"/>
      <c r="AD47" s="91"/>
      <c r="AE47" s="89"/>
      <c r="AF47" s="89"/>
      <c r="AG47" s="89"/>
      <c r="AH47" s="93">
        <f t="shared" si="1"/>
        <v>2</v>
      </c>
    </row>
    <row r="48">
      <c r="A48" s="109"/>
      <c r="B48" s="110" t="s">
        <v>256</v>
      </c>
      <c r="C48" s="88">
        <v>24.0</v>
      </c>
      <c r="D48" s="89"/>
      <c r="E48" s="89"/>
      <c r="F48" s="89"/>
      <c r="G48" s="89"/>
      <c r="H48" s="91"/>
      <c r="I48" s="91"/>
      <c r="J48" s="89"/>
      <c r="K48" s="89"/>
      <c r="L48" s="89"/>
      <c r="M48" s="92" t="s">
        <v>198</v>
      </c>
      <c r="N48" s="89"/>
      <c r="O48" s="91"/>
      <c r="P48" s="91"/>
      <c r="Q48" s="89"/>
      <c r="R48" s="89"/>
      <c r="S48" s="89"/>
      <c r="T48" s="89"/>
      <c r="U48" s="89"/>
      <c r="V48" s="91"/>
      <c r="W48" s="91"/>
      <c r="X48" s="89"/>
      <c r="Y48" s="89"/>
      <c r="Z48" s="89"/>
      <c r="AA48" s="89"/>
      <c r="AB48" s="89"/>
      <c r="AC48" s="90" t="s">
        <v>198</v>
      </c>
      <c r="AD48" s="91"/>
      <c r="AE48" s="89"/>
      <c r="AF48" s="89"/>
      <c r="AG48" s="89"/>
      <c r="AH48" s="93">
        <f t="shared" si="1"/>
        <v>2</v>
      </c>
    </row>
    <row r="49">
      <c r="A49" s="111"/>
      <c r="B49" s="112" t="s">
        <v>257</v>
      </c>
      <c r="C49" s="95">
        <v>24.0</v>
      </c>
      <c r="D49" s="89"/>
      <c r="E49" s="89"/>
      <c r="F49" s="89"/>
      <c r="G49" s="89"/>
      <c r="H49" s="91"/>
      <c r="I49" s="91"/>
      <c r="J49" s="92" t="s">
        <v>198</v>
      </c>
      <c r="K49" s="89"/>
      <c r="L49" s="89"/>
      <c r="M49" s="89"/>
      <c r="N49" s="89"/>
      <c r="O49" s="91"/>
      <c r="P49" s="91"/>
      <c r="Q49" s="89"/>
      <c r="R49" s="89"/>
      <c r="S49" s="89"/>
      <c r="T49" s="89"/>
      <c r="U49" s="89"/>
      <c r="V49" s="91"/>
      <c r="W49" s="91"/>
      <c r="X49" s="89"/>
      <c r="Y49" s="89"/>
      <c r="Z49" s="92" t="s">
        <v>198</v>
      </c>
      <c r="AA49" s="89"/>
      <c r="AB49" s="89"/>
      <c r="AC49" s="91"/>
      <c r="AD49" s="91"/>
      <c r="AE49" s="89"/>
      <c r="AF49" s="89"/>
      <c r="AG49" s="89"/>
      <c r="AH49" s="93">
        <f t="shared" si="1"/>
        <v>2</v>
      </c>
    </row>
    <row r="50">
      <c r="A50" s="109"/>
      <c r="B50" s="114" t="s">
        <v>258</v>
      </c>
      <c r="C50" s="104">
        <v>24.0</v>
      </c>
      <c r="D50" s="89"/>
      <c r="E50" s="89"/>
      <c r="F50" s="89"/>
      <c r="G50" s="89"/>
      <c r="H50" s="91"/>
      <c r="I50" s="91"/>
      <c r="J50" s="89"/>
      <c r="K50" s="89"/>
      <c r="L50" s="89"/>
      <c r="M50" s="89"/>
      <c r="N50" s="89"/>
      <c r="O50" s="91"/>
      <c r="P50" s="91"/>
      <c r="Q50" s="92" t="s">
        <v>198</v>
      </c>
      <c r="R50" s="89"/>
      <c r="S50" s="89"/>
      <c r="T50" s="89"/>
      <c r="U50" s="89"/>
      <c r="V50" s="91"/>
      <c r="W50" s="91"/>
      <c r="X50" s="89"/>
      <c r="Y50" s="89"/>
      <c r="Z50" s="89"/>
      <c r="AA50" s="89"/>
      <c r="AB50" s="89"/>
      <c r="AC50" s="91"/>
      <c r="AD50" s="91"/>
      <c r="AE50" s="89"/>
      <c r="AF50" s="89"/>
      <c r="AG50" s="92" t="s">
        <v>198</v>
      </c>
      <c r="AH50" s="93">
        <f t="shared" si="1"/>
        <v>2</v>
      </c>
    </row>
    <row r="51">
      <c r="A51" s="111"/>
      <c r="B51" s="112" t="s">
        <v>261</v>
      </c>
      <c r="C51" s="95">
        <v>24.0</v>
      </c>
      <c r="D51" s="89"/>
      <c r="E51" s="89"/>
      <c r="F51" s="89"/>
      <c r="G51" s="89"/>
      <c r="H51" s="91"/>
      <c r="I51" s="91"/>
      <c r="J51" s="89"/>
      <c r="K51" s="89"/>
      <c r="L51" s="89"/>
      <c r="M51" s="89"/>
      <c r="N51" s="89"/>
      <c r="O51" s="90" t="s">
        <v>198</v>
      </c>
      <c r="P51" s="91"/>
      <c r="Q51" s="89"/>
      <c r="R51" s="89"/>
      <c r="S51" s="89"/>
      <c r="T51" s="89"/>
      <c r="U51" s="89"/>
      <c r="V51" s="91"/>
      <c r="W51" s="91"/>
      <c r="X51" s="89"/>
      <c r="Y51" s="89"/>
      <c r="Z51" s="89"/>
      <c r="AA51" s="89"/>
      <c r="AB51" s="89"/>
      <c r="AC51" s="91"/>
      <c r="AD51" s="91"/>
      <c r="AE51" s="92" t="s">
        <v>198</v>
      </c>
      <c r="AF51" s="89"/>
      <c r="AG51" s="89"/>
      <c r="AH51" s="93">
        <f t="shared" si="1"/>
        <v>2</v>
      </c>
    </row>
    <row r="52">
      <c r="A52" s="109"/>
      <c r="B52" s="112" t="s">
        <v>262</v>
      </c>
      <c r="C52" s="95">
        <v>24.0</v>
      </c>
      <c r="D52" s="89"/>
      <c r="E52" s="89"/>
      <c r="F52" s="89"/>
      <c r="G52" s="89"/>
      <c r="H52" s="91"/>
      <c r="I52" s="91"/>
      <c r="J52" s="89"/>
      <c r="K52" s="89"/>
      <c r="L52" s="89"/>
      <c r="M52" s="89"/>
      <c r="N52" s="89"/>
      <c r="O52" s="91"/>
      <c r="P52" s="91"/>
      <c r="Q52" s="89"/>
      <c r="R52" s="89"/>
      <c r="S52" s="92" t="s">
        <v>198</v>
      </c>
      <c r="T52" s="89"/>
      <c r="U52" s="89"/>
      <c r="V52" s="91"/>
      <c r="W52" s="91"/>
      <c r="X52" s="89"/>
      <c r="Y52" s="89"/>
      <c r="Z52" s="89"/>
      <c r="AA52" s="89"/>
      <c r="AB52" s="89"/>
      <c r="AC52" s="91"/>
      <c r="AD52" s="91"/>
      <c r="AE52" s="89"/>
      <c r="AF52" s="89"/>
      <c r="AG52" s="92" t="s">
        <v>198</v>
      </c>
      <c r="AH52" s="93">
        <f t="shared" si="1"/>
        <v>2</v>
      </c>
    </row>
    <row r="53">
      <c r="A53" s="111"/>
      <c r="B53" s="112" t="s">
        <v>263</v>
      </c>
      <c r="C53" s="95">
        <v>24.0</v>
      </c>
      <c r="D53" s="89"/>
      <c r="E53" s="89"/>
      <c r="F53" s="89"/>
      <c r="G53" s="89"/>
      <c r="H53" s="91"/>
      <c r="I53" s="91"/>
      <c r="J53" s="89"/>
      <c r="K53" s="92" t="s">
        <v>198</v>
      </c>
      <c r="L53" s="89"/>
      <c r="M53" s="89"/>
      <c r="N53" s="89"/>
      <c r="O53" s="91"/>
      <c r="P53" s="91"/>
      <c r="Q53" s="89"/>
      <c r="R53" s="89"/>
      <c r="S53" s="89"/>
      <c r="T53" s="89"/>
      <c r="U53" s="92" t="s">
        <v>198</v>
      </c>
      <c r="V53" s="91"/>
      <c r="W53" s="91"/>
      <c r="X53" s="89"/>
      <c r="Y53" s="89"/>
      <c r="Z53" s="89"/>
      <c r="AA53" s="89"/>
      <c r="AB53" s="89"/>
      <c r="AC53" s="91"/>
      <c r="AD53" s="91"/>
      <c r="AE53" s="89"/>
      <c r="AF53" s="89"/>
      <c r="AG53" s="89"/>
      <c r="AH53" s="93">
        <f t="shared" si="1"/>
        <v>2</v>
      </c>
    </row>
    <row r="54">
      <c r="A54" s="71"/>
      <c r="B54" s="94" t="s">
        <v>264</v>
      </c>
      <c r="C54" s="95">
        <v>24.0</v>
      </c>
      <c r="D54" s="89"/>
      <c r="E54" s="89"/>
      <c r="F54" s="89"/>
      <c r="G54" s="89"/>
      <c r="H54" s="91"/>
      <c r="I54" s="91"/>
      <c r="J54" s="89"/>
      <c r="K54" s="89"/>
      <c r="L54" s="92" t="s">
        <v>198</v>
      </c>
      <c r="M54" s="89"/>
      <c r="N54" s="89"/>
      <c r="O54" s="91"/>
      <c r="P54" s="91"/>
      <c r="Q54" s="89"/>
      <c r="R54" s="89"/>
      <c r="S54" s="89"/>
      <c r="T54" s="89"/>
      <c r="U54" s="89"/>
      <c r="V54" s="91"/>
      <c r="W54" s="91"/>
      <c r="X54" s="89"/>
      <c r="Y54" s="89"/>
      <c r="Z54" s="89"/>
      <c r="AA54" s="89"/>
      <c r="AB54" s="89"/>
      <c r="AC54" s="91"/>
      <c r="AD54" s="91"/>
      <c r="AE54" s="89"/>
      <c r="AF54" s="92" t="s">
        <v>198</v>
      </c>
      <c r="AG54" s="89"/>
      <c r="AH54" s="93">
        <f t="shared" si="1"/>
        <v>2</v>
      </c>
    </row>
    <row r="55">
      <c r="B55" s="94" t="s">
        <v>268</v>
      </c>
      <c r="C55" s="95">
        <v>24.0</v>
      </c>
      <c r="D55" s="89"/>
      <c r="E55" s="89"/>
      <c r="F55" s="89"/>
      <c r="G55" s="89"/>
      <c r="H55" s="91"/>
      <c r="I55" s="91"/>
      <c r="J55" s="89"/>
      <c r="K55" s="89"/>
      <c r="L55" s="89"/>
      <c r="M55" s="89"/>
      <c r="N55" s="89"/>
      <c r="O55" s="91"/>
      <c r="P55" s="91"/>
      <c r="Q55" s="92" t="s">
        <v>198</v>
      </c>
      <c r="R55" s="89"/>
      <c r="S55" s="89"/>
      <c r="T55" s="89"/>
      <c r="U55" s="89"/>
      <c r="V55" s="91"/>
      <c r="W55" s="91"/>
      <c r="X55" s="89"/>
      <c r="Y55" s="89"/>
      <c r="Z55" s="89"/>
      <c r="AA55" s="89"/>
      <c r="AB55" s="89"/>
      <c r="AC55" s="91"/>
      <c r="AD55" s="90" t="s">
        <v>198</v>
      </c>
      <c r="AE55" s="89"/>
      <c r="AF55" s="89"/>
      <c r="AG55" s="89"/>
      <c r="AH55" s="93">
        <f t="shared" si="1"/>
        <v>2</v>
      </c>
    </row>
    <row r="56">
      <c r="A56" s="71"/>
      <c r="B56" s="108" t="s">
        <v>269</v>
      </c>
      <c r="C56" s="88">
        <v>8.0</v>
      </c>
      <c r="D56" s="89"/>
      <c r="E56" s="89"/>
      <c r="F56" s="89"/>
      <c r="G56" s="89"/>
      <c r="H56" s="91"/>
      <c r="I56" s="91"/>
      <c r="J56" s="89"/>
      <c r="K56" s="92" t="s">
        <v>198</v>
      </c>
      <c r="L56" s="89"/>
      <c r="M56" s="89"/>
      <c r="N56" s="89"/>
      <c r="O56" s="91"/>
      <c r="P56" s="91"/>
      <c r="Q56" s="89"/>
      <c r="R56" s="89"/>
      <c r="S56" s="89"/>
      <c r="T56" s="89"/>
      <c r="U56" s="89"/>
      <c r="V56" s="91"/>
      <c r="W56" s="91"/>
      <c r="X56" s="92" t="s">
        <v>198</v>
      </c>
      <c r="Y56" s="89"/>
      <c r="Z56" s="89"/>
      <c r="AA56" s="89"/>
      <c r="AB56" s="89"/>
      <c r="AC56" s="91"/>
      <c r="AD56" s="91"/>
      <c r="AE56" s="89"/>
      <c r="AF56" s="89"/>
      <c r="AG56" s="89"/>
      <c r="AH56" s="93">
        <f t="shared" si="1"/>
        <v>2</v>
      </c>
    </row>
    <row r="57">
      <c r="B57" s="94" t="s">
        <v>272</v>
      </c>
      <c r="C57" s="95">
        <v>16.0</v>
      </c>
      <c r="D57" s="89"/>
      <c r="E57" s="89"/>
      <c r="F57" s="89"/>
      <c r="G57" s="89"/>
      <c r="H57" s="91"/>
      <c r="I57" s="90" t="s">
        <v>198</v>
      </c>
      <c r="J57" s="89"/>
      <c r="K57" s="89"/>
      <c r="L57" s="89"/>
      <c r="M57" s="89"/>
      <c r="N57" s="89"/>
      <c r="O57" s="91"/>
      <c r="P57" s="91"/>
      <c r="Q57" s="89"/>
      <c r="R57" s="89"/>
      <c r="S57" s="89"/>
      <c r="T57" s="89"/>
      <c r="U57" s="89"/>
      <c r="V57" s="91"/>
      <c r="W57" s="91"/>
      <c r="X57" s="89"/>
      <c r="Y57" s="89"/>
      <c r="Z57" s="89"/>
      <c r="AA57" s="89"/>
      <c r="AB57" s="89"/>
      <c r="AC57" s="90" t="s">
        <v>198</v>
      </c>
      <c r="AD57" s="91"/>
      <c r="AE57" s="89"/>
      <c r="AF57" s="89"/>
      <c r="AG57" s="89"/>
      <c r="AH57" s="93">
        <f t="shared" si="1"/>
        <v>2</v>
      </c>
    </row>
    <row r="58">
      <c r="A58" s="71"/>
      <c r="B58" s="97" t="s">
        <v>274</v>
      </c>
      <c r="C58" s="103">
        <v>16.0</v>
      </c>
      <c r="D58" s="89"/>
      <c r="E58" s="89"/>
      <c r="F58" s="89"/>
      <c r="G58" s="89"/>
      <c r="H58" s="91"/>
      <c r="I58" s="91"/>
      <c r="J58" s="89"/>
      <c r="K58" s="92" t="s">
        <v>198</v>
      </c>
      <c r="L58" s="89"/>
      <c r="M58" s="89"/>
      <c r="N58" s="89"/>
      <c r="O58" s="91"/>
      <c r="P58" s="91"/>
      <c r="Q58" s="89"/>
      <c r="R58" s="89"/>
      <c r="S58" s="89"/>
      <c r="T58" s="89"/>
      <c r="U58" s="89"/>
      <c r="V58" s="91"/>
      <c r="W58" s="91"/>
      <c r="X58" s="89"/>
      <c r="Y58" s="89"/>
      <c r="Z58" s="89"/>
      <c r="AA58" s="89"/>
      <c r="AB58" s="89"/>
      <c r="AC58" s="91"/>
      <c r="AD58" s="91"/>
      <c r="AE58" s="92" t="s">
        <v>198</v>
      </c>
      <c r="AF58" s="89"/>
      <c r="AG58" s="89"/>
      <c r="AH58" s="93">
        <f t="shared" si="1"/>
        <v>2</v>
      </c>
    </row>
    <row r="59">
      <c r="B59" s="94" t="s">
        <v>275</v>
      </c>
      <c r="C59" s="95">
        <v>16.0</v>
      </c>
      <c r="D59" s="89"/>
      <c r="E59" s="89"/>
      <c r="F59" s="89"/>
      <c r="G59" s="89"/>
      <c r="H59" s="91"/>
      <c r="I59" s="91"/>
      <c r="J59" s="92" t="s">
        <v>198</v>
      </c>
      <c r="K59" s="89"/>
      <c r="L59" s="89"/>
      <c r="M59" s="89"/>
      <c r="N59" s="89"/>
      <c r="O59" s="91"/>
      <c r="P59" s="91"/>
      <c r="Q59" s="89"/>
      <c r="R59" s="89"/>
      <c r="S59" s="89"/>
      <c r="T59" s="89"/>
      <c r="U59" s="89"/>
      <c r="V59" s="91"/>
      <c r="W59" s="91"/>
      <c r="X59" s="89"/>
      <c r="Y59" s="89"/>
      <c r="Z59" s="89"/>
      <c r="AA59" s="89"/>
      <c r="AB59" s="89"/>
      <c r="AC59" s="91"/>
      <c r="AD59" s="91"/>
      <c r="AE59" s="89"/>
      <c r="AF59" s="92" t="s">
        <v>198</v>
      </c>
      <c r="AG59" s="89"/>
      <c r="AH59" s="93">
        <f t="shared" si="1"/>
        <v>2</v>
      </c>
    </row>
    <row r="60">
      <c r="A60" s="71"/>
      <c r="B60" s="94" t="s">
        <v>276</v>
      </c>
      <c r="C60" s="103">
        <v>16.0</v>
      </c>
      <c r="D60" s="89"/>
      <c r="E60" s="89"/>
      <c r="F60" s="89"/>
      <c r="G60" s="89"/>
      <c r="H60" s="91"/>
      <c r="I60" s="91"/>
      <c r="J60" s="89"/>
      <c r="K60" s="89"/>
      <c r="L60" s="89"/>
      <c r="M60" s="89"/>
      <c r="N60" s="89"/>
      <c r="O60" s="91"/>
      <c r="P60" s="91"/>
      <c r="Q60" s="89"/>
      <c r="R60" s="92" t="s">
        <v>198</v>
      </c>
      <c r="S60" s="89"/>
      <c r="T60" s="89"/>
      <c r="U60" s="89"/>
      <c r="V60" s="91"/>
      <c r="W60" s="91"/>
      <c r="X60" s="89"/>
      <c r="Y60" s="89"/>
      <c r="Z60" s="89"/>
      <c r="AA60" s="89"/>
      <c r="AB60" s="92" t="s">
        <v>198</v>
      </c>
      <c r="AC60" s="91"/>
      <c r="AD60" s="91"/>
      <c r="AE60" s="89"/>
      <c r="AF60" s="89"/>
      <c r="AG60" s="89"/>
      <c r="AH60" s="93">
        <f t="shared" si="1"/>
        <v>2</v>
      </c>
    </row>
    <row r="61">
      <c r="B61" s="94" t="s">
        <v>277</v>
      </c>
      <c r="C61" s="103">
        <v>16.0</v>
      </c>
      <c r="D61" s="89"/>
      <c r="E61" s="89"/>
      <c r="F61" s="89"/>
      <c r="G61" s="92" t="s">
        <v>198</v>
      </c>
      <c r="H61" s="91"/>
      <c r="I61" s="91"/>
      <c r="J61" s="89"/>
      <c r="K61" s="89"/>
      <c r="L61" s="89"/>
      <c r="M61" s="89"/>
      <c r="N61" s="89"/>
      <c r="O61" s="91"/>
      <c r="P61" s="91"/>
      <c r="Q61" s="89"/>
      <c r="R61" s="89"/>
      <c r="S61" s="89"/>
      <c r="T61" s="89"/>
      <c r="U61" s="92" t="s">
        <v>198</v>
      </c>
      <c r="V61" s="91"/>
      <c r="W61" s="91"/>
      <c r="X61" s="89"/>
      <c r="Y61" s="89"/>
      <c r="Z61" s="89"/>
      <c r="AA61" s="89"/>
      <c r="AB61" s="89"/>
      <c r="AC61" s="91"/>
      <c r="AD61" s="91"/>
      <c r="AE61" s="89"/>
      <c r="AF61" s="89"/>
      <c r="AG61" s="89"/>
      <c r="AH61" s="93">
        <f t="shared" si="1"/>
        <v>2</v>
      </c>
    </row>
    <row r="62">
      <c r="A62" s="71"/>
      <c r="B62" s="94" t="s">
        <v>278</v>
      </c>
      <c r="C62" s="95">
        <v>16.0</v>
      </c>
      <c r="D62" s="89"/>
      <c r="E62" s="89"/>
      <c r="F62" s="89"/>
      <c r="G62" s="89"/>
      <c r="H62" s="91"/>
      <c r="I62" s="91"/>
      <c r="J62" s="89"/>
      <c r="K62" s="89"/>
      <c r="L62" s="89"/>
      <c r="M62" s="89"/>
      <c r="N62" s="89"/>
      <c r="O62" s="91"/>
      <c r="P62" s="91"/>
      <c r="Q62" s="92" t="s">
        <v>198</v>
      </c>
      <c r="R62" s="89"/>
      <c r="S62" s="89"/>
      <c r="T62" s="89"/>
      <c r="U62" s="89"/>
      <c r="V62" s="91"/>
      <c r="W62" s="91"/>
      <c r="X62" s="89"/>
      <c r="Y62" s="89"/>
      <c r="Z62" s="89"/>
      <c r="AA62" s="89"/>
      <c r="AB62" s="89"/>
      <c r="AC62" s="90" t="s">
        <v>198</v>
      </c>
      <c r="AD62" s="91"/>
      <c r="AE62" s="89"/>
      <c r="AF62" s="89"/>
      <c r="AG62" s="89"/>
      <c r="AH62" s="93">
        <f t="shared" si="1"/>
        <v>2</v>
      </c>
    </row>
    <row r="63">
      <c r="B63" s="94" t="s">
        <v>279</v>
      </c>
      <c r="C63" s="95">
        <v>16.0</v>
      </c>
      <c r="D63" s="89"/>
      <c r="E63" s="89"/>
      <c r="F63" s="89"/>
      <c r="G63" s="89"/>
      <c r="H63" s="91"/>
      <c r="I63" s="91"/>
      <c r="J63" s="92" t="s">
        <v>198</v>
      </c>
      <c r="K63" s="89"/>
      <c r="L63" s="89"/>
      <c r="M63" s="89"/>
      <c r="N63" s="89"/>
      <c r="O63" s="91"/>
      <c r="P63" s="91"/>
      <c r="Q63" s="89"/>
      <c r="R63" s="89"/>
      <c r="S63" s="89"/>
      <c r="T63" s="89"/>
      <c r="U63" s="89"/>
      <c r="V63" s="91"/>
      <c r="W63" s="91"/>
      <c r="X63" s="89"/>
      <c r="Y63" s="89"/>
      <c r="Z63" s="89"/>
      <c r="AA63" s="89"/>
      <c r="AB63" s="89"/>
      <c r="AC63" s="91"/>
      <c r="AD63" s="90" t="s">
        <v>198</v>
      </c>
      <c r="AE63" s="89"/>
      <c r="AF63" s="89"/>
      <c r="AG63" s="89"/>
      <c r="AH63" s="93">
        <f t="shared" si="1"/>
        <v>2</v>
      </c>
    </row>
    <row r="64">
      <c r="A64" s="71"/>
      <c r="B64" s="94" t="s">
        <v>280</v>
      </c>
      <c r="C64" s="95">
        <v>24.0</v>
      </c>
      <c r="D64" s="89"/>
      <c r="E64" s="89"/>
      <c r="F64" s="89"/>
      <c r="G64" s="92" t="s">
        <v>198</v>
      </c>
      <c r="H64" s="91"/>
      <c r="I64" s="91"/>
      <c r="J64" s="89"/>
      <c r="K64" s="89"/>
      <c r="L64" s="89"/>
      <c r="M64" s="89"/>
      <c r="N64" s="89"/>
      <c r="O64" s="91"/>
      <c r="P64" s="91"/>
      <c r="Q64" s="89"/>
      <c r="R64" s="89"/>
      <c r="S64" s="89"/>
      <c r="T64" s="89"/>
      <c r="U64" s="89"/>
      <c r="V64" s="91"/>
      <c r="W64" s="90" t="s">
        <v>198</v>
      </c>
      <c r="X64" s="89"/>
      <c r="Y64" s="89"/>
      <c r="Z64" s="89"/>
      <c r="AA64" s="89"/>
      <c r="AB64" s="89"/>
      <c r="AC64" s="91"/>
      <c r="AD64" s="91"/>
      <c r="AE64" s="89"/>
      <c r="AF64" s="89"/>
      <c r="AG64" s="89"/>
      <c r="AH64" s="93">
        <f t="shared" si="1"/>
        <v>2</v>
      </c>
    </row>
    <row r="65">
      <c r="B65" s="105" t="s">
        <v>282</v>
      </c>
      <c r="C65" s="103">
        <v>24.0</v>
      </c>
      <c r="D65" s="89"/>
      <c r="E65" s="89"/>
      <c r="F65" s="89"/>
      <c r="G65" s="89"/>
      <c r="H65" s="91"/>
      <c r="I65" s="90" t="s">
        <v>198</v>
      </c>
      <c r="J65" s="89"/>
      <c r="K65" s="89"/>
      <c r="L65" s="89"/>
      <c r="M65" s="89"/>
      <c r="N65" s="89"/>
      <c r="O65" s="91"/>
      <c r="P65" s="91"/>
      <c r="Q65" s="89"/>
      <c r="R65" s="89"/>
      <c r="S65" s="89"/>
      <c r="T65" s="89"/>
      <c r="U65" s="89"/>
      <c r="V65" s="91"/>
      <c r="W65" s="91"/>
      <c r="X65" s="89"/>
      <c r="Y65" s="89"/>
      <c r="Z65" s="89"/>
      <c r="AA65" s="89"/>
      <c r="AB65" s="89"/>
      <c r="AC65" s="90" t="s">
        <v>198</v>
      </c>
      <c r="AD65" s="91"/>
      <c r="AE65" s="89"/>
      <c r="AF65" s="89"/>
      <c r="AG65" s="89"/>
      <c r="AH65" s="93">
        <f t="shared" si="1"/>
        <v>2</v>
      </c>
    </row>
    <row r="66">
      <c r="A66" s="71"/>
      <c r="B66" s="94" t="s">
        <v>283</v>
      </c>
      <c r="C66" s="95">
        <v>16.0</v>
      </c>
      <c r="D66" s="89"/>
      <c r="E66" s="89"/>
      <c r="F66" s="89"/>
      <c r="G66" s="89"/>
      <c r="H66" s="91"/>
      <c r="I66" s="91"/>
      <c r="J66" s="89"/>
      <c r="K66" s="89"/>
      <c r="L66" s="89"/>
      <c r="M66" s="89"/>
      <c r="N66" s="89"/>
      <c r="O66" s="90" t="s">
        <v>198</v>
      </c>
      <c r="P66" s="91"/>
      <c r="Q66" s="89"/>
      <c r="R66" s="89"/>
      <c r="S66" s="89"/>
      <c r="T66" s="89"/>
      <c r="U66" s="89"/>
      <c r="V66" s="91"/>
      <c r="W66" s="91"/>
      <c r="X66" s="89"/>
      <c r="Y66" s="89"/>
      <c r="Z66" s="89"/>
      <c r="AA66" s="89"/>
      <c r="AB66" s="89"/>
      <c r="AC66" s="91"/>
      <c r="AD66" s="91"/>
      <c r="AE66" s="92" t="s">
        <v>198</v>
      </c>
      <c r="AF66" s="89"/>
      <c r="AG66" s="89"/>
      <c r="AH66" s="93">
        <f t="shared" si="1"/>
        <v>2</v>
      </c>
    </row>
    <row r="67">
      <c r="B67" s="122" t="s">
        <v>285</v>
      </c>
      <c r="C67" s="95">
        <v>16.0</v>
      </c>
      <c r="D67" s="92" t="s">
        <v>198</v>
      </c>
      <c r="E67" s="89"/>
      <c r="F67" s="89"/>
      <c r="G67" s="89"/>
      <c r="H67" s="91"/>
      <c r="I67" s="91"/>
      <c r="J67" s="89"/>
      <c r="K67" s="89"/>
      <c r="L67" s="89"/>
      <c r="M67" s="89"/>
      <c r="N67" s="89"/>
      <c r="O67" s="91"/>
      <c r="P67" s="91"/>
      <c r="Q67" s="89"/>
      <c r="R67" s="89"/>
      <c r="S67" s="89"/>
      <c r="T67" s="92" t="s">
        <v>198</v>
      </c>
      <c r="U67" s="89"/>
      <c r="V67" s="91"/>
      <c r="W67" s="91"/>
      <c r="X67" s="89"/>
      <c r="Y67" s="89"/>
      <c r="Z67" s="89"/>
      <c r="AA67" s="89"/>
      <c r="AB67" s="89"/>
      <c r="AC67" s="91"/>
      <c r="AD67" s="91"/>
      <c r="AE67" s="89"/>
      <c r="AF67" s="89"/>
      <c r="AG67" s="89"/>
      <c r="AH67" s="93">
        <f t="shared" si="1"/>
        <v>2</v>
      </c>
    </row>
    <row r="68">
      <c r="A68" s="71"/>
      <c r="B68" s="94" t="s">
        <v>286</v>
      </c>
      <c r="C68" s="95">
        <v>16.0</v>
      </c>
      <c r="D68" s="89"/>
      <c r="E68" s="89"/>
      <c r="F68" s="89"/>
      <c r="G68" s="89"/>
      <c r="H68" s="90" t="s">
        <v>198</v>
      </c>
      <c r="I68" s="91"/>
      <c r="J68" s="89"/>
      <c r="K68" s="89"/>
      <c r="L68" s="89"/>
      <c r="M68" s="89"/>
      <c r="N68" s="89"/>
      <c r="O68" s="91"/>
      <c r="P68" s="91"/>
      <c r="Q68" s="89"/>
      <c r="R68" s="89"/>
      <c r="S68" s="89"/>
      <c r="T68" s="89"/>
      <c r="U68" s="89"/>
      <c r="V68" s="91"/>
      <c r="W68" s="91"/>
      <c r="X68" s="92" t="s">
        <v>198</v>
      </c>
      <c r="Y68" s="89"/>
      <c r="Z68" s="89"/>
      <c r="AA68" s="89"/>
      <c r="AB68" s="89"/>
      <c r="AC68" s="91"/>
      <c r="AD68" s="91"/>
      <c r="AE68" s="89"/>
      <c r="AF68" s="89"/>
      <c r="AG68" s="89"/>
      <c r="AH68" s="93">
        <f t="shared" si="1"/>
        <v>2</v>
      </c>
    </row>
    <row r="69">
      <c r="B69" s="94" t="s">
        <v>287</v>
      </c>
      <c r="C69" s="95">
        <v>16.0</v>
      </c>
      <c r="D69" s="89"/>
      <c r="E69" s="89"/>
      <c r="F69" s="89"/>
      <c r="G69" s="89"/>
      <c r="H69" s="91"/>
      <c r="I69" s="91"/>
      <c r="J69" s="92" t="s">
        <v>198</v>
      </c>
      <c r="K69" s="89"/>
      <c r="L69" s="89"/>
      <c r="M69" s="89"/>
      <c r="N69" s="89"/>
      <c r="O69" s="91"/>
      <c r="P69" s="91"/>
      <c r="Q69" s="89"/>
      <c r="R69" s="89"/>
      <c r="S69" s="89"/>
      <c r="T69" s="89"/>
      <c r="U69" s="89"/>
      <c r="V69" s="91"/>
      <c r="W69" s="91"/>
      <c r="X69" s="89"/>
      <c r="Y69" s="89"/>
      <c r="Z69" s="92" t="s">
        <v>198</v>
      </c>
      <c r="AA69" s="89"/>
      <c r="AB69" s="89"/>
      <c r="AC69" s="91"/>
      <c r="AD69" s="91"/>
      <c r="AE69" s="89"/>
      <c r="AF69" s="89"/>
      <c r="AG69" s="89"/>
      <c r="AH69" s="93">
        <f t="shared" si="1"/>
        <v>2</v>
      </c>
    </row>
    <row r="70">
      <c r="A70" s="71"/>
      <c r="B70" s="94" t="s">
        <v>288</v>
      </c>
      <c r="C70" s="95">
        <v>8.0</v>
      </c>
      <c r="D70" s="89"/>
      <c r="E70" s="89"/>
      <c r="F70" s="89"/>
      <c r="G70" s="89"/>
      <c r="H70" s="91"/>
      <c r="I70" s="91"/>
      <c r="J70" s="89"/>
      <c r="K70" s="89"/>
      <c r="L70" s="89"/>
      <c r="M70" s="89"/>
      <c r="N70" s="89"/>
      <c r="O70" s="91"/>
      <c r="P70" s="90" t="s">
        <v>198</v>
      </c>
      <c r="Q70" s="89"/>
      <c r="R70" s="89"/>
      <c r="S70" s="89"/>
      <c r="T70" s="89"/>
      <c r="U70" s="89"/>
      <c r="V70" s="90" t="s">
        <v>198</v>
      </c>
      <c r="W70" s="91"/>
      <c r="X70" s="89"/>
      <c r="Y70" s="89"/>
      <c r="Z70" s="89"/>
      <c r="AA70" s="89"/>
      <c r="AB70" s="89"/>
      <c r="AC70" s="91"/>
      <c r="AD70" s="91"/>
      <c r="AE70" s="89"/>
      <c r="AF70" s="89"/>
      <c r="AG70" s="89"/>
      <c r="AH70" s="93">
        <f t="shared" si="1"/>
        <v>2</v>
      </c>
    </row>
    <row r="71">
      <c r="B71" s="105" t="s">
        <v>289</v>
      </c>
      <c r="C71" s="103">
        <v>24.0</v>
      </c>
      <c r="D71" s="89"/>
      <c r="E71" s="89"/>
      <c r="F71" s="89"/>
      <c r="G71" s="89"/>
      <c r="H71" s="91"/>
      <c r="I71" s="90" t="s">
        <v>198</v>
      </c>
      <c r="J71" s="89"/>
      <c r="K71" s="89"/>
      <c r="L71" s="89"/>
      <c r="M71" s="89"/>
      <c r="N71" s="89"/>
      <c r="O71" s="91"/>
      <c r="P71" s="91"/>
      <c r="Q71" s="89"/>
      <c r="R71" s="89"/>
      <c r="S71" s="89"/>
      <c r="T71" s="89"/>
      <c r="U71" s="89"/>
      <c r="V71" s="91"/>
      <c r="W71" s="90" t="s">
        <v>198</v>
      </c>
      <c r="X71" s="89"/>
      <c r="Y71" s="89"/>
      <c r="Z71" s="89"/>
      <c r="AA71" s="89"/>
      <c r="AB71" s="89"/>
      <c r="AC71" s="91"/>
      <c r="AD71" s="91"/>
      <c r="AE71" s="89"/>
      <c r="AF71" s="89"/>
      <c r="AG71" s="89"/>
      <c r="AH71" s="93">
        <f t="shared" si="1"/>
        <v>2</v>
      </c>
    </row>
    <row r="72">
      <c r="A72" s="124"/>
      <c r="B72" s="94" t="s">
        <v>290</v>
      </c>
      <c r="C72" s="95">
        <v>24.0</v>
      </c>
      <c r="D72" s="89"/>
      <c r="E72" s="89"/>
      <c r="F72" s="89"/>
      <c r="G72" s="89"/>
      <c r="H72" s="91"/>
      <c r="I72" s="91"/>
      <c r="J72" s="89"/>
      <c r="K72" s="89"/>
      <c r="L72" s="89"/>
      <c r="M72" s="92" t="s">
        <v>198</v>
      </c>
      <c r="N72" s="89"/>
      <c r="O72" s="91"/>
      <c r="P72" s="91"/>
      <c r="Q72" s="89"/>
      <c r="R72" s="89"/>
      <c r="S72" s="89"/>
      <c r="T72" s="89"/>
      <c r="U72" s="89"/>
      <c r="V72" s="91"/>
      <c r="W72" s="91"/>
      <c r="X72" s="89"/>
      <c r="Y72" s="92" t="s">
        <v>198</v>
      </c>
      <c r="Z72" s="89"/>
      <c r="AA72" s="89"/>
      <c r="AB72" s="89"/>
      <c r="AC72" s="91"/>
      <c r="AD72" s="91"/>
      <c r="AE72" s="89"/>
      <c r="AF72" s="89"/>
      <c r="AG72" s="89"/>
      <c r="AH72" s="93">
        <f t="shared" si="1"/>
        <v>2</v>
      </c>
    </row>
    <row r="73">
      <c r="B73" s="105" t="s">
        <v>293</v>
      </c>
      <c r="C73" s="103">
        <v>16.0</v>
      </c>
      <c r="D73" s="89"/>
      <c r="E73" s="89"/>
      <c r="F73" s="89"/>
      <c r="G73" s="89"/>
      <c r="H73" s="91"/>
      <c r="I73" s="91"/>
      <c r="J73" s="89"/>
      <c r="K73" s="89"/>
      <c r="L73" s="89"/>
      <c r="M73" s="89"/>
      <c r="N73" s="89"/>
      <c r="O73" s="91"/>
      <c r="P73" s="91"/>
      <c r="Q73" s="92" t="s">
        <v>198</v>
      </c>
      <c r="R73" s="89"/>
      <c r="S73" s="89"/>
      <c r="T73" s="89"/>
      <c r="U73" s="89"/>
      <c r="V73" s="91"/>
      <c r="W73" s="91"/>
      <c r="X73" s="89"/>
      <c r="Y73" s="89"/>
      <c r="Z73" s="89"/>
      <c r="AA73" s="89"/>
      <c r="AB73" s="89"/>
      <c r="AC73" s="91"/>
      <c r="AD73" s="91"/>
      <c r="AE73" s="89"/>
      <c r="AF73" s="89"/>
      <c r="AG73" s="92" t="s">
        <v>198</v>
      </c>
      <c r="AH73" s="93">
        <f t="shared" si="1"/>
        <v>2</v>
      </c>
    </row>
    <row r="74">
      <c r="A74" s="125"/>
      <c r="B74" s="94" t="s">
        <v>294</v>
      </c>
      <c r="C74" s="95">
        <v>16.0</v>
      </c>
      <c r="D74" s="89"/>
      <c r="E74" s="92" t="s">
        <v>198</v>
      </c>
      <c r="F74" s="89"/>
      <c r="G74" s="89"/>
      <c r="H74" s="91"/>
      <c r="I74" s="91"/>
      <c r="J74" s="89"/>
      <c r="K74" s="89"/>
      <c r="L74" s="89"/>
      <c r="M74" s="89"/>
      <c r="N74" s="89"/>
      <c r="O74" s="91"/>
      <c r="P74" s="91"/>
      <c r="Q74" s="89"/>
      <c r="R74" s="89"/>
      <c r="S74" s="89"/>
      <c r="T74" s="89"/>
      <c r="U74" s="89"/>
      <c r="V74" s="91"/>
      <c r="W74" s="91"/>
      <c r="X74" s="89"/>
      <c r="Y74" s="92" t="s">
        <v>198</v>
      </c>
      <c r="Z74" s="89"/>
      <c r="AA74" s="89"/>
      <c r="AB74" s="89"/>
      <c r="AC74" s="91"/>
      <c r="AD74" s="91"/>
      <c r="AE74" s="89"/>
      <c r="AF74" s="89"/>
      <c r="AG74" s="89"/>
      <c r="AH74" s="93">
        <f t="shared" si="1"/>
        <v>2</v>
      </c>
    </row>
    <row r="75">
      <c r="B75" s="105" t="s">
        <v>295</v>
      </c>
      <c r="C75" s="103">
        <v>24.0</v>
      </c>
      <c r="D75" s="89"/>
      <c r="E75" s="89"/>
      <c r="F75" s="89"/>
      <c r="G75" s="92" t="s">
        <v>198</v>
      </c>
      <c r="H75" s="91"/>
      <c r="I75" s="91"/>
      <c r="J75" s="89"/>
      <c r="K75" s="89"/>
      <c r="L75" s="89"/>
      <c r="M75" s="89"/>
      <c r="N75" s="89"/>
      <c r="O75" s="91"/>
      <c r="P75" s="91"/>
      <c r="Q75" s="89"/>
      <c r="R75" s="89"/>
      <c r="S75" s="89"/>
      <c r="T75" s="89"/>
      <c r="U75" s="92" t="s">
        <v>198</v>
      </c>
      <c r="V75" s="91"/>
      <c r="W75" s="91"/>
      <c r="X75" s="89"/>
      <c r="Y75" s="89"/>
      <c r="Z75" s="89"/>
      <c r="AA75" s="89"/>
      <c r="AB75" s="89"/>
      <c r="AC75" s="91"/>
      <c r="AD75" s="91"/>
      <c r="AE75" s="89"/>
      <c r="AF75" s="89"/>
      <c r="AG75" s="89"/>
      <c r="AH75" s="93">
        <f t="shared" si="1"/>
        <v>2</v>
      </c>
    </row>
    <row r="76">
      <c r="A76" s="71"/>
      <c r="B76" s="108" t="s">
        <v>296</v>
      </c>
      <c r="C76" s="88">
        <v>16.0</v>
      </c>
      <c r="D76" s="89"/>
      <c r="E76" s="89"/>
      <c r="F76" s="89"/>
      <c r="G76" s="89"/>
      <c r="H76" s="91"/>
      <c r="I76" s="91"/>
      <c r="J76" s="89"/>
      <c r="K76" s="89"/>
      <c r="L76" s="89"/>
      <c r="M76" s="89"/>
      <c r="N76" s="92" t="s">
        <v>198</v>
      </c>
      <c r="O76" s="91"/>
      <c r="P76" s="91"/>
      <c r="Q76" s="89"/>
      <c r="R76" s="89"/>
      <c r="S76" s="89"/>
      <c r="T76" s="89"/>
      <c r="U76" s="89"/>
      <c r="V76" s="91"/>
      <c r="W76" s="91"/>
      <c r="X76" s="89"/>
      <c r="Y76" s="89"/>
      <c r="Z76" s="89"/>
      <c r="AA76" s="92" t="s">
        <v>198</v>
      </c>
      <c r="AB76" s="89"/>
      <c r="AC76" s="91"/>
      <c r="AD76" s="91"/>
      <c r="AE76" s="89"/>
      <c r="AF76" s="89"/>
      <c r="AG76" s="89"/>
      <c r="AH76" s="93">
        <f t="shared" si="1"/>
        <v>2</v>
      </c>
    </row>
    <row r="77">
      <c r="B77" s="94" t="s">
        <v>297</v>
      </c>
      <c r="C77" s="95">
        <v>24.0</v>
      </c>
      <c r="D77" s="89"/>
      <c r="E77" s="89"/>
      <c r="F77" s="89"/>
      <c r="G77" s="89"/>
      <c r="H77" s="91"/>
      <c r="I77" s="91"/>
      <c r="J77" s="89"/>
      <c r="K77" s="89"/>
      <c r="L77" s="89"/>
      <c r="M77" s="92" t="s">
        <v>198</v>
      </c>
      <c r="N77" s="89"/>
      <c r="O77" s="91"/>
      <c r="P77" s="91"/>
      <c r="Q77" s="89"/>
      <c r="R77" s="89"/>
      <c r="S77" s="89"/>
      <c r="T77" s="89"/>
      <c r="U77" s="89"/>
      <c r="V77" s="91"/>
      <c r="W77" s="90" t="s">
        <v>198</v>
      </c>
      <c r="X77" s="89"/>
      <c r="Y77" s="89"/>
      <c r="Z77" s="89"/>
      <c r="AA77" s="89"/>
      <c r="AB77" s="89"/>
      <c r="AC77" s="91"/>
      <c r="AD77" s="91"/>
      <c r="AE77" s="89"/>
      <c r="AF77" s="89"/>
      <c r="AG77" s="89"/>
      <c r="AH77" s="93">
        <f t="shared" si="1"/>
        <v>2</v>
      </c>
    </row>
    <row r="78">
      <c r="A78" s="126"/>
      <c r="B78" s="108" t="s">
        <v>298</v>
      </c>
      <c r="C78" s="88">
        <v>16.0</v>
      </c>
      <c r="D78" s="89"/>
      <c r="E78" s="89"/>
      <c r="F78" s="89"/>
      <c r="G78" s="89"/>
      <c r="H78" s="91"/>
      <c r="I78" s="91"/>
      <c r="J78" s="89"/>
      <c r="K78" s="89"/>
      <c r="L78" s="89"/>
      <c r="M78" s="89"/>
      <c r="N78" s="89"/>
      <c r="O78" s="91"/>
      <c r="P78" s="90" t="s">
        <v>198</v>
      </c>
      <c r="Q78" s="89"/>
      <c r="R78" s="89"/>
      <c r="S78" s="89"/>
      <c r="T78" s="89"/>
      <c r="U78" s="89"/>
      <c r="V78" s="91"/>
      <c r="W78" s="91"/>
      <c r="X78" s="89"/>
      <c r="Y78" s="89"/>
      <c r="Z78" s="89"/>
      <c r="AA78" s="89"/>
      <c r="AB78" s="89"/>
      <c r="AC78" s="91"/>
      <c r="AD78" s="90" t="s">
        <v>198</v>
      </c>
      <c r="AE78" s="89"/>
      <c r="AF78" s="89"/>
      <c r="AG78" s="89"/>
      <c r="AH78" s="93">
        <f t="shared" si="1"/>
        <v>2</v>
      </c>
    </row>
    <row r="79">
      <c r="B79" s="94" t="s">
        <v>299</v>
      </c>
      <c r="C79" s="95">
        <v>16.0</v>
      </c>
      <c r="D79" s="89"/>
      <c r="E79" s="89"/>
      <c r="F79" s="89"/>
      <c r="G79" s="89"/>
      <c r="H79" s="91"/>
      <c r="I79" s="91"/>
      <c r="J79" s="89"/>
      <c r="K79" s="89"/>
      <c r="L79" s="89"/>
      <c r="M79" s="89"/>
      <c r="N79" s="92" t="s">
        <v>198</v>
      </c>
      <c r="O79" s="91"/>
      <c r="P79" s="91"/>
      <c r="Q79" s="89"/>
      <c r="R79" s="89"/>
      <c r="S79" s="89"/>
      <c r="T79" s="89"/>
      <c r="U79" s="89"/>
      <c r="V79" s="91"/>
      <c r="W79" s="91"/>
      <c r="X79" s="89"/>
      <c r="Y79" s="89"/>
      <c r="Z79" s="89"/>
      <c r="AA79" s="89"/>
      <c r="AB79" s="89"/>
      <c r="AC79" s="91"/>
      <c r="AD79" s="90" t="s">
        <v>198</v>
      </c>
      <c r="AE79" s="89"/>
      <c r="AF79" s="89"/>
      <c r="AG79" s="89"/>
      <c r="AH79" s="93">
        <f t="shared" si="1"/>
        <v>2</v>
      </c>
    </row>
    <row r="80">
      <c r="A80" s="127"/>
      <c r="B80" s="112" t="s">
        <v>300</v>
      </c>
      <c r="C80" s="95">
        <v>24.0</v>
      </c>
      <c r="D80" s="89"/>
      <c r="E80" s="89"/>
      <c r="F80" s="89"/>
      <c r="G80" s="89"/>
      <c r="H80" s="91"/>
      <c r="I80" s="91"/>
      <c r="J80" s="89"/>
      <c r="K80" s="89"/>
      <c r="L80" s="89"/>
      <c r="M80" s="89"/>
      <c r="N80" s="89"/>
      <c r="O80" s="91"/>
      <c r="P80" s="91"/>
      <c r="Q80" s="89"/>
      <c r="R80" s="92" t="s">
        <v>198</v>
      </c>
      <c r="S80" s="89"/>
      <c r="T80" s="89"/>
      <c r="U80" s="89"/>
      <c r="V80" s="91"/>
      <c r="W80" s="91"/>
      <c r="X80" s="89"/>
      <c r="Y80" s="89"/>
      <c r="Z80" s="89"/>
      <c r="AA80" s="89"/>
      <c r="AB80" s="89"/>
      <c r="AC80" s="91"/>
      <c r="AD80" s="91"/>
      <c r="AE80" s="89"/>
      <c r="AF80" s="92" t="s">
        <v>198</v>
      </c>
      <c r="AG80" s="89"/>
      <c r="AH80" s="93">
        <f t="shared" si="1"/>
        <v>2</v>
      </c>
    </row>
    <row r="81">
      <c r="A81" s="111"/>
      <c r="B81" s="128" t="s">
        <v>301</v>
      </c>
      <c r="C81" s="103">
        <v>24.0</v>
      </c>
      <c r="D81" s="89"/>
      <c r="E81" s="89"/>
      <c r="F81" s="89"/>
      <c r="G81" s="89"/>
      <c r="H81" s="91"/>
      <c r="I81" s="91"/>
      <c r="J81" s="89"/>
      <c r="K81" s="89"/>
      <c r="L81" s="89"/>
      <c r="M81" s="89"/>
      <c r="N81" s="92" t="s">
        <v>198</v>
      </c>
      <c r="O81" s="91"/>
      <c r="P81" s="91"/>
      <c r="Q81" s="89"/>
      <c r="R81" s="89"/>
      <c r="S81" s="89"/>
      <c r="T81" s="89"/>
      <c r="U81" s="89"/>
      <c r="V81" s="91"/>
      <c r="W81" s="91"/>
      <c r="X81" s="89"/>
      <c r="Y81" s="89"/>
      <c r="Z81" s="89"/>
      <c r="AA81" s="89"/>
      <c r="AB81" s="89"/>
      <c r="AC81" s="91"/>
      <c r="AD81" s="90" t="s">
        <v>198</v>
      </c>
      <c r="AE81" s="89"/>
      <c r="AF81" s="89"/>
      <c r="AG81" s="89"/>
      <c r="AH81" s="93">
        <f t="shared" si="1"/>
        <v>2</v>
      </c>
    </row>
    <row r="82">
      <c r="A82" s="130"/>
      <c r="B82" s="128" t="s">
        <v>303</v>
      </c>
      <c r="C82" s="103">
        <v>24.0</v>
      </c>
      <c r="D82" s="89"/>
      <c r="E82" s="89"/>
      <c r="F82" s="92" t="s">
        <v>198</v>
      </c>
      <c r="G82" s="89"/>
      <c r="H82" s="91"/>
      <c r="I82" s="91"/>
      <c r="J82" s="89"/>
      <c r="K82" s="89"/>
      <c r="L82" s="89"/>
      <c r="M82" s="89"/>
      <c r="N82" s="89"/>
      <c r="O82" s="91"/>
      <c r="P82" s="91"/>
      <c r="Q82" s="89"/>
      <c r="R82" s="89"/>
      <c r="S82" s="89"/>
      <c r="T82" s="89"/>
      <c r="U82" s="89"/>
      <c r="V82" s="90" t="s">
        <v>198</v>
      </c>
      <c r="W82" s="91"/>
      <c r="X82" s="89"/>
      <c r="Y82" s="89"/>
      <c r="Z82" s="89"/>
      <c r="AA82" s="89"/>
      <c r="AB82" s="89"/>
      <c r="AC82" s="91"/>
      <c r="AD82" s="91"/>
      <c r="AE82" s="89"/>
      <c r="AF82" s="89"/>
      <c r="AG82" s="89"/>
      <c r="AH82" s="93">
        <f t="shared" si="1"/>
        <v>2</v>
      </c>
    </row>
    <row r="83">
      <c r="A83" s="111"/>
      <c r="B83" s="128" t="s">
        <v>305</v>
      </c>
      <c r="C83" s="98">
        <v>24.0</v>
      </c>
      <c r="D83" s="89"/>
      <c r="E83" s="92" t="s">
        <v>198</v>
      </c>
      <c r="F83" s="89"/>
      <c r="G83" s="89"/>
      <c r="H83" s="91"/>
      <c r="I83" s="91"/>
      <c r="J83" s="89"/>
      <c r="K83" s="89"/>
      <c r="L83" s="89"/>
      <c r="M83" s="89"/>
      <c r="N83" s="89"/>
      <c r="O83" s="91"/>
      <c r="P83" s="91"/>
      <c r="Q83" s="89"/>
      <c r="R83" s="89"/>
      <c r="S83" s="89"/>
      <c r="T83" s="89"/>
      <c r="U83" s="92" t="s">
        <v>198</v>
      </c>
      <c r="V83" s="91"/>
      <c r="W83" s="91"/>
      <c r="X83" s="89"/>
      <c r="Y83" s="89"/>
      <c r="Z83" s="89"/>
      <c r="AA83" s="89"/>
      <c r="AB83" s="89"/>
      <c r="AC83" s="91"/>
      <c r="AD83" s="91"/>
      <c r="AE83" s="89"/>
      <c r="AF83" s="89"/>
      <c r="AG83" s="89"/>
      <c r="AH83" s="93">
        <f t="shared" si="1"/>
        <v>2</v>
      </c>
    </row>
    <row r="84">
      <c r="A84" s="126"/>
      <c r="B84" s="94" t="s">
        <v>306</v>
      </c>
      <c r="C84" s="103">
        <v>16.0</v>
      </c>
      <c r="D84" s="89"/>
      <c r="E84" s="89"/>
      <c r="F84" s="89"/>
      <c r="G84" s="89"/>
      <c r="H84" s="91"/>
      <c r="I84" s="91"/>
      <c r="J84" s="92" t="s">
        <v>198</v>
      </c>
      <c r="K84" s="89"/>
      <c r="L84" s="89"/>
      <c r="M84" s="89"/>
      <c r="N84" s="89"/>
      <c r="O84" s="91"/>
      <c r="P84" s="91"/>
      <c r="Q84" s="89"/>
      <c r="R84" s="89"/>
      <c r="S84" s="89"/>
      <c r="T84" s="89"/>
      <c r="U84" s="89"/>
      <c r="V84" s="91"/>
      <c r="W84" s="91"/>
      <c r="X84" s="89"/>
      <c r="Y84" s="89"/>
      <c r="Z84" s="89"/>
      <c r="AA84" s="89"/>
      <c r="AB84" s="89"/>
      <c r="AC84" s="91"/>
      <c r="AD84" s="90" t="s">
        <v>198</v>
      </c>
      <c r="AE84" s="89"/>
      <c r="AF84" s="89"/>
      <c r="AG84" s="89"/>
      <c r="AH84" s="93">
        <f t="shared" si="1"/>
        <v>2</v>
      </c>
    </row>
    <row r="85">
      <c r="A85" s="126"/>
      <c r="B85" s="94" t="s">
        <v>307</v>
      </c>
      <c r="C85" s="95">
        <v>16.0</v>
      </c>
      <c r="D85" s="89"/>
      <c r="E85" s="89"/>
      <c r="F85" s="89"/>
      <c r="G85" s="89"/>
      <c r="H85" s="91"/>
      <c r="I85" s="91"/>
      <c r="J85" s="89"/>
      <c r="K85" s="89"/>
      <c r="L85" s="89"/>
      <c r="M85" s="89"/>
      <c r="N85" s="92" t="s">
        <v>198</v>
      </c>
      <c r="O85" s="91"/>
      <c r="P85" s="91"/>
      <c r="Q85" s="89"/>
      <c r="R85" s="89"/>
      <c r="S85" s="89"/>
      <c r="T85" s="89"/>
      <c r="U85" s="89"/>
      <c r="V85" s="91"/>
      <c r="W85" s="91"/>
      <c r="X85" s="89"/>
      <c r="Y85" s="89"/>
      <c r="Z85" s="89"/>
      <c r="AA85" s="89"/>
      <c r="AB85" s="89"/>
      <c r="AC85" s="91"/>
      <c r="AD85" s="91"/>
      <c r="AE85" s="89"/>
      <c r="AF85" s="92" t="s">
        <v>198</v>
      </c>
      <c r="AG85" s="89"/>
      <c r="AH85" s="93">
        <f t="shared" si="1"/>
        <v>2</v>
      </c>
    </row>
    <row r="86">
      <c r="A86" s="71"/>
      <c r="B86" s="94" t="s">
        <v>308</v>
      </c>
      <c r="C86" s="95">
        <v>16.0</v>
      </c>
      <c r="D86" s="89"/>
      <c r="E86" s="89"/>
      <c r="F86" s="89"/>
      <c r="G86" s="89"/>
      <c r="H86" s="91"/>
      <c r="I86" s="91"/>
      <c r="J86" s="89"/>
      <c r="K86" s="89"/>
      <c r="L86" s="89"/>
      <c r="M86" s="92" t="s">
        <v>198</v>
      </c>
      <c r="N86" s="89"/>
      <c r="O86" s="91"/>
      <c r="P86" s="91"/>
      <c r="Q86" s="89"/>
      <c r="R86" s="89"/>
      <c r="S86" s="89"/>
      <c r="T86" s="89"/>
      <c r="U86" s="89"/>
      <c r="V86" s="91"/>
      <c r="W86" s="91"/>
      <c r="X86" s="89"/>
      <c r="Y86" s="89"/>
      <c r="Z86" s="89"/>
      <c r="AA86" s="92" t="s">
        <v>198</v>
      </c>
      <c r="AB86" s="89"/>
      <c r="AC86" s="91"/>
      <c r="AD86" s="91"/>
      <c r="AE86" s="89"/>
      <c r="AF86" s="89"/>
      <c r="AG86" s="89"/>
      <c r="AH86" s="93">
        <f t="shared" si="1"/>
        <v>2</v>
      </c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</row>
    <row r="88">
      <c r="A88" s="65"/>
      <c r="B88" s="65"/>
      <c r="C88" s="65"/>
      <c r="D88" s="93">
        <f t="shared" ref="D88:AG88" si="2">COUNTIF(D7:D86,"OFF")</f>
        <v>6</v>
      </c>
      <c r="E88" s="93">
        <f t="shared" si="2"/>
        <v>6</v>
      </c>
      <c r="F88" s="93">
        <f t="shared" si="2"/>
        <v>5</v>
      </c>
      <c r="G88" s="93">
        <f t="shared" si="2"/>
        <v>6</v>
      </c>
      <c r="H88" s="93">
        <f t="shared" si="2"/>
        <v>5</v>
      </c>
      <c r="I88" s="93">
        <f t="shared" si="2"/>
        <v>6</v>
      </c>
      <c r="J88" s="93">
        <f t="shared" si="2"/>
        <v>6</v>
      </c>
      <c r="K88" s="93">
        <f t="shared" si="2"/>
        <v>6</v>
      </c>
      <c r="L88" s="93">
        <f t="shared" si="2"/>
        <v>5</v>
      </c>
      <c r="M88" s="93">
        <f t="shared" si="2"/>
        <v>6</v>
      </c>
      <c r="N88" s="93">
        <f t="shared" si="2"/>
        <v>6</v>
      </c>
      <c r="O88" s="93">
        <f t="shared" si="2"/>
        <v>6</v>
      </c>
      <c r="P88" s="93">
        <f t="shared" si="2"/>
        <v>4</v>
      </c>
      <c r="Q88" s="93">
        <f t="shared" si="2"/>
        <v>5</v>
      </c>
      <c r="R88" s="93">
        <f t="shared" si="2"/>
        <v>4</v>
      </c>
      <c r="S88" s="93">
        <f t="shared" si="2"/>
        <v>4</v>
      </c>
      <c r="T88" s="93">
        <f t="shared" si="2"/>
        <v>4</v>
      </c>
      <c r="U88" s="93">
        <f t="shared" si="2"/>
        <v>6</v>
      </c>
      <c r="V88" s="93">
        <f t="shared" si="2"/>
        <v>4</v>
      </c>
      <c r="W88" s="93">
        <f t="shared" si="2"/>
        <v>6</v>
      </c>
      <c r="X88" s="93">
        <f t="shared" si="2"/>
        <v>5</v>
      </c>
      <c r="Y88" s="93">
        <f t="shared" si="2"/>
        <v>5</v>
      </c>
      <c r="Z88" s="93">
        <f t="shared" si="2"/>
        <v>5</v>
      </c>
      <c r="AA88" s="93">
        <f t="shared" si="2"/>
        <v>6</v>
      </c>
      <c r="AB88" s="93">
        <f t="shared" si="2"/>
        <v>4</v>
      </c>
      <c r="AC88" s="93">
        <f t="shared" si="2"/>
        <v>5</v>
      </c>
      <c r="AD88" s="93">
        <f t="shared" si="2"/>
        <v>6</v>
      </c>
      <c r="AE88" s="93">
        <f t="shared" si="2"/>
        <v>6</v>
      </c>
      <c r="AF88" s="93">
        <f t="shared" si="2"/>
        <v>6</v>
      </c>
      <c r="AG88" s="93">
        <f t="shared" si="2"/>
        <v>6</v>
      </c>
      <c r="AH88" s="65"/>
    </row>
  </sheetData>
  <autoFilter ref="$B$6:$AG$86">
    <sortState ref="B6:AG86">
      <sortCondition ref="B6:B86"/>
    </sortState>
  </autoFilter>
  <mergeCells count="41">
    <mergeCell ref="A1:AE1"/>
    <mergeCell ref="A2:AE2"/>
    <mergeCell ref="A3:AE3"/>
    <mergeCell ref="A5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72:A73"/>
    <mergeCell ref="A74:A75"/>
    <mergeCell ref="A76:A77"/>
    <mergeCell ref="A78:A79"/>
    <mergeCell ref="A80:A81"/>
    <mergeCell ref="A82:A83"/>
    <mergeCell ref="A58:A59"/>
    <mergeCell ref="A60:A61"/>
    <mergeCell ref="A62:A63"/>
    <mergeCell ref="A64:A65"/>
    <mergeCell ref="A66:A67"/>
    <mergeCell ref="A68:A69"/>
    <mergeCell ref="A70:A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5.88"/>
    <col customWidth="1" min="4" max="4" width="34.75"/>
    <col customWidth="1" min="5" max="5" width="18.63"/>
    <col customWidth="1" min="7" max="7" width="3.0"/>
    <col customWidth="1" min="8" max="8" width="25.0"/>
  </cols>
  <sheetData>
    <row r="1">
      <c r="A1" s="149" t="s">
        <v>2</v>
      </c>
      <c r="B1" s="150" t="s">
        <v>351</v>
      </c>
      <c r="C1" s="150" t="s">
        <v>352</v>
      </c>
      <c r="D1" s="150" t="s">
        <v>353</v>
      </c>
      <c r="E1" s="150" t="s">
        <v>354</v>
      </c>
    </row>
    <row r="2">
      <c r="A2" s="149">
        <v>1.0</v>
      </c>
      <c r="B2" s="150" t="s">
        <v>106</v>
      </c>
      <c r="C2" s="150">
        <v>24.0</v>
      </c>
      <c r="D2" s="150" t="s">
        <v>105</v>
      </c>
      <c r="E2" s="151" t="b">
        <v>1</v>
      </c>
    </row>
    <row r="3">
      <c r="A3" s="149">
        <v>2.0</v>
      </c>
      <c r="B3" s="150" t="s">
        <v>104</v>
      </c>
      <c r="C3" s="150">
        <v>16.0</v>
      </c>
      <c r="D3" s="150" t="s">
        <v>105</v>
      </c>
      <c r="E3" s="151" t="b">
        <v>1</v>
      </c>
    </row>
    <row r="4">
      <c r="A4" s="149">
        <v>3.0</v>
      </c>
      <c r="B4" s="150" t="s">
        <v>129</v>
      </c>
      <c r="C4" s="150">
        <v>24.0</v>
      </c>
      <c r="D4" s="150" t="s">
        <v>133</v>
      </c>
      <c r="E4" s="151" t="b">
        <v>1</v>
      </c>
    </row>
    <row r="5">
      <c r="A5" s="149">
        <v>4.0</v>
      </c>
      <c r="B5" s="150" t="s">
        <v>134</v>
      </c>
      <c r="C5" s="150">
        <v>24.0</v>
      </c>
      <c r="D5" s="150" t="s">
        <v>133</v>
      </c>
      <c r="E5" s="151" t="b">
        <v>1</v>
      </c>
    </row>
    <row r="6">
      <c r="A6" s="149">
        <v>5.0</v>
      </c>
      <c r="B6" s="150" t="s">
        <v>135</v>
      </c>
      <c r="C6" s="150">
        <v>16.0</v>
      </c>
      <c r="D6" s="150" t="s">
        <v>142</v>
      </c>
      <c r="E6" s="151" t="b">
        <v>1</v>
      </c>
    </row>
    <row r="7">
      <c r="A7" s="149">
        <v>6.0</v>
      </c>
      <c r="B7" s="150" t="s">
        <v>44</v>
      </c>
      <c r="C7" s="150">
        <v>16.0</v>
      </c>
      <c r="D7" s="150" t="s">
        <v>39</v>
      </c>
      <c r="E7" s="151" t="b">
        <v>1</v>
      </c>
    </row>
    <row r="8">
      <c r="A8" s="149">
        <v>7.0</v>
      </c>
      <c r="B8" s="150" t="s">
        <v>145</v>
      </c>
      <c r="C8" s="150">
        <v>24.0</v>
      </c>
      <c r="D8" s="150" t="s">
        <v>142</v>
      </c>
      <c r="E8" s="151" t="b">
        <v>1</v>
      </c>
    </row>
    <row r="9">
      <c r="A9" s="149">
        <v>8.0</v>
      </c>
      <c r="B9" s="150" t="s">
        <v>149</v>
      </c>
      <c r="C9" s="150">
        <v>24.0</v>
      </c>
      <c r="D9" s="150" t="s">
        <v>142</v>
      </c>
      <c r="E9" s="151" t="b">
        <v>1</v>
      </c>
    </row>
    <row r="10">
      <c r="A10" s="149">
        <v>9.0</v>
      </c>
      <c r="B10" s="150" t="s">
        <v>147</v>
      </c>
      <c r="C10" s="150">
        <v>16.0</v>
      </c>
      <c r="D10" s="150" t="s">
        <v>142</v>
      </c>
      <c r="E10" s="151" t="b">
        <v>1</v>
      </c>
    </row>
    <row r="11">
      <c r="A11" s="149">
        <v>10.0</v>
      </c>
      <c r="B11" s="150" t="s">
        <v>150</v>
      </c>
      <c r="C11" s="150">
        <v>16.0</v>
      </c>
      <c r="D11" s="150" t="s">
        <v>142</v>
      </c>
      <c r="E11" s="151" t="b">
        <v>1</v>
      </c>
    </row>
    <row r="12">
      <c r="A12" s="149">
        <v>11.0</v>
      </c>
      <c r="B12" s="150" t="s">
        <v>152</v>
      </c>
      <c r="C12" s="150">
        <v>16.0</v>
      </c>
      <c r="D12" s="150" t="s">
        <v>142</v>
      </c>
      <c r="E12" s="151" t="b">
        <v>1</v>
      </c>
    </row>
    <row r="13">
      <c r="A13" s="149">
        <v>12.0</v>
      </c>
      <c r="B13" s="150" t="s">
        <v>31</v>
      </c>
      <c r="C13" s="150">
        <v>24.0</v>
      </c>
      <c r="D13" s="150" t="s">
        <v>8</v>
      </c>
      <c r="E13" s="151" t="b">
        <v>1</v>
      </c>
    </row>
    <row r="14">
      <c r="A14" s="149">
        <v>13.0</v>
      </c>
      <c r="B14" s="150" t="s">
        <v>24</v>
      </c>
      <c r="C14" s="150">
        <v>16.0</v>
      </c>
      <c r="D14" s="150" t="s">
        <v>8</v>
      </c>
      <c r="E14" s="151" t="b">
        <v>1</v>
      </c>
    </row>
    <row r="15">
      <c r="A15" s="149">
        <v>14.0</v>
      </c>
      <c r="B15" s="150" t="s">
        <v>33</v>
      </c>
      <c r="C15" s="150">
        <v>24.0</v>
      </c>
      <c r="D15" s="150" t="s">
        <v>8</v>
      </c>
      <c r="E15" s="151" t="b">
        <v>1</v>
      </c>
    </row>
    <row r="16">
      <c r="A16" s="149">
        <v>15.0</v>
      </c>
      <c r="B16" s="150" t="s">
        <v>28</v>
      </c>
      <c r="C16" s="150">
        <v>16.0</v>
      </c>
      <c r="D16" s="150" t="s">
        <v>8</v>
      </c>
      <c r="E16" s="151" t="b">
        <v>1</v>
      </c>
    </row>
    <row r="17">
      <c r="A17" s="149">
        <v>16.0</v>
      </c>
      <c r="B17" s="150" t="s">
        <v>26</v>
      </c>
      <c r="C17" s="150">
        <v>16.0</v>
      </c>
      <c r="D17" s="150" t="s">
        <v>8</v>
      </c>
      <c r="E17" s="151" t="b">
        <v>1</v>
      </c>
    </row>
    <row r="18">
      <c r="A18" s="149">
        <v>17.0</v>
      </c>
      <c r="B18" s="150" t="s">
        <v>6</v>
      </c>
      <c r="C18" s="150">
        <v>24.0</v>
      </c>
      <c r="D18" s="150" t="s">
        <v>8</v>
      </c>
      <c r="E18" s="151" t="b">
        <v>1</v>
      </c>
    </row>
    <row r="19">
      <c r="A19" s="149">
        <v>18.0</v>
      </c>
      <c r="B19" s="150" t="s">
        <v>12</v>
      </c>
      <c r="C19" s="150">
        <v>24.0</v>
      </c>
      <c r="D19" s="150" t="s">
        <v>8</v>
      </c>
      <c r="E19" s="151" t="b">
        <v>1</v>
      </c>
    </row>
    <row r="20">
      <c r="A20" s="149">
        <v>19.0</v>
      </c>
      <c r="B20" s="150" t="s">
        <v>14</v>
      </c>
      <c r="C20" s="150">
        <v>24.0</v>
      </c>
      <c r="D20" s="150" t="s">
        <v>8</v>
      </c>
      <c r="E20" s="151" t="b">
        <v>1</v>
      </c>
    </row>
    <row r="21">
      <c r="A21" s="149">
        <v>20.0</v>
      </c>
      <c r="B21" s="150" t="s">
        <v>38</v>
      </c>
      <c r="C21" s="150">
        <v>24.0</v>
      </c>
      <c r="D21" s="150" t="s">
        <v>39</v>
      </c>
      <c r="E21" s="151" t="b">
        <v>1</v>
      </c>
    </row>
    <row r="22">
      <c r="A22" s="149">
        <v>21.0</v>
      </c>
      <c r="B22" s="150" t="s">
        <v>41</v>
      </c>
      <c r="C22" s="150">
        <v>8.0</v>
      </c>
      <c r="D22" s="150" t="s">
        <v>39</v>
      </c>
      <c r="E22" s="151" t="b">
        <v>1</v>
      </c>
    </row>
    <row r="23">
      <c r="A23" s="149">
        <v>22.0</v>
      </c>
      <c r="B23" s="150" t="s">
        <v>358</v>
      </c>
      <c r="C23" s="150">
        <v>16.0</v>
      </c>
      <c r="D23" s="150" t="s">
        <v>142</v>
      </c>
      <c r="E23" s="151" t="b">
        <v>1</v>
      </c>
    </row>
    <row r="24">
      <c r="A24" s="149">
        <v>23.0</v>
      </c>
      <c r="B24" s="150" t="s">
        <v>359</v>
      </c>
      <c r="C24" s="150">
        <v>16.0</v>
      </c>
      <c r="D24" s="150" t="s">
        <v>142</v>
      </c>
      <c r="E24" s="151" t="b">
        <v>1</v>
      </c>
    </row>
    <row r="25">
      <c r="A25" s="149">
        <v>24.0</v>
      </c>
      <c r="B25" s="150" t="s">
        <v>17</v>
      </c>
      <c r="C25" s="150">
        <v>24.0</v>
      </c>
      <c r="D25" s="150" t="s">
        <v>8</v>
      </c>
      <c r="E25" s="151" t="b">
        <v>1</v>
      </c>
    </row>
    <row r="26">
      <c r="A26" s="149">
        <v>25.0</v>
      </c>
      <c r="B26" s="150" t="s">
        <v>20</v>
      </c>
      <c r="C26" s="150">
        <v>24.0</v>
      </c>
      <c r="D26" s="150" t="s">
        <v>8</v>
      </c>
      <c r="E26" s="151" t="b">
        <v>1</v>
      </c>
    </row>
    <row r="27">
      <c r="A27" s="149">
        <v>26.0</v>
      </c>
      <c r="B27" s="150" t="s">
        <v>22</v>
      </c>
      <c r="C27" s="150">
        <v>24.0</v>
      </c>
      <c r="D27" s="150" t="s">
        <v>8</v>
      </c>
      <c r="E27" s="151" t="b">
        <v>1</v>
      </c>
    </row>
    <row r="28">
      <c r="A28" s="149">
        <v>27.0</v>
      </c>
      <c r="B28" s="150" t="s">
        <v>46</v>
      </c>
      <c r="C28" s="150">
        <v>24.0</v>
      </c>
      <c r="D28" s="150" t="s">
        <v>47</v>
      </c>
      <c r="E28" s="151" t="b">
        <v>1</v>
      </c>
    </row>
    <row r="29">
      <c r="A29" s="149">
        <v>28.0</v>
      </c>
      <c r="B29" s="150" t="s">
        <v>51</v>
      </c>
      <c r="C29" s="150">
        <v>24.0</v>
      </c>
      <c r="D29" s="150" t="s">
        <v>47</v>
      </c>
      <c r="E29" s="151" t="b">
        <v>1</v>
      </c>
    </row>
    <row r="30">
      <c r="A30" s="149">
        <v>29.0</v>
      </c>
      <c r="B30" s="150" t="s">
        <v>53</v>
      </c>
      <c r="C30" s="150">
        <v>24.0</v>
      </c>
      <c r="D30" s="150" t="s">
        <v>47</v>
      </c>
      <c r="E30" s="151" t="b">
        <v>1</v>
      </c>
    </row>
    <row r="31">
      <c r="A31" s="149">
        <v>30.0</v>
      </c>
      <c r="B31" s="150" t="s">
        <v>54</v>
      </c>
      <c r="C31" s="150">
        <v>24.0</v>
      </c>
      <c r="D31" s="150" t="s">
        <v>47</v>
      </c>
      <c r="E31" s="151" t="b">
        <v>1</v>
      </c>
    </row>
    <row r="32">
      <c r="A32" s="149">
        <v>31.0</v>
      </c>
      <c r="B32" s="150" t="s">
        <v>55</v>
      </c>
      <c r="C32" s="150">
        <v>24.0</v>
      </c>
      <c r="D32" s="150" t="s">
        <v>47</v>
      </c>
      <c r="E32" s="151" t="b">
        <v>1</v>
      </c>
    </row>
    <row r="33">
      <c r="A33" s="149">
        <v>32.0</v>
      </c>
      <c r="B33" s="150" t="s">
        <v>58</v>
      </c>
      <c r="C33" s="150">
        <v>24.0</v>
      </c>
      <c r="D33" s="150" t="s">
        <v>47</v>
      </c>
      <c r="E33" s="151" t="b">
        <v>1</v>
      </c>
    </row>
    <row r="34">
      <c r="A34" s="149">
        <v>33.0</v>
      </c>
      <c r="B34" s="150" t="s">
        <v>57</v>
      </c>
      <c r="C34" s="150">
        <v>24.0</v>
      </c>
      <c r="D34" s="150" t="s">
        <v>47</v>
      </c>
      <c r="E34" s="151" t="b">
        <v>1</v>
      </c>
    </row>
    <row r="35">
      <c r="A35" s="149">
        <v>34.0</v>
      </c>
      <c r="B35" s="150" t="s">
        <v>56</v>
      </c>
      <c r="C35" s="150">
        <v>24.0</v>
      </c>
      <c r="D35" s="150" t="s">
        <v>47</v>
      </c>
      <c r="E35" s="151" t="b">
        <v>1</v>
      </c>
    </row>
    <row r="36">
      <c r="A36" s="149">
        <v>35.0</v>
      </c>
      <c r="B36" s="150" t="s">
        <v>66</v>
      </c>
      <c r="C36" s="150">
        <v>24.0</v>
      </c>
      <c r="D36" s="150" t="s">
        <v>47</v>
      </c>
      <c r="E36" s="151" t="b">
        <v>1</v>
      </c>
    </row>
    <row r="37">
      <c r="A37" s="149">
        <v>36.0</v>
      </c>
      <c r="B37" s="150" t="s">
        <v>68</v>
      </c>
      <c r="C37" s="150">
        <v>24.0</v>
      </c>
      <c r="D37" s="150" t="s">
        <v>47</v>
      </c>
      <c r="E37" s="151" t="b">
        <v>1</v>
      </c>
    </row>
    <row r="38">
      <c r="A38" s="149">
        <v>37.0</v>
      </c>
      <c r="B38" s="150" t="s">
        <v>69</v>
      </c>
      <c r="C38" s="150">
        <v>24.0</v>
      </c>
      <c r="D38" s="150" t="s">
        <v>47</v>
      </c>
      <c r="E38" s="151" t="b">
        <v>1</v>
      </c>
    </row>
    <row r="39">
      <c r="A39" s="149">
        <v>38.0</v>
      </c>
      <c r="B39" s="150" t="s">
        <v>70</v>
      </c>
      <c r="C39" s="150">
        <v>24.0</v>
      </c>
      <c r="D39" s="150" t="s">
        <v>47</v>
      </c>
      <c r="E39" s="151" t="b">
        <v>1</v>
      </c>
    </row>
    <row r="40">
      <c r="A40" s="149">
        <v>39.0</v>
      </c>
      <c r="B40" s="150" t="s">
        <v>71</v>
      </c>
      <c r="C40" s="150">
        <v>24.0</v>
      </c>
      <c r="D40" s="150" t="s">
        <v>47</v>
      </c>
      <c r="E40" s="151" t="b">
        <v>1</v>
      </c>
    </row>
    <row r="41">
      <c r="A41" s="149">
        <v>40.0</v>
      </c>
      <c r="B41" s="150" t="s">
        <v>72</v>
      </c>
      <c r="C41" s="150">
        <v>24.0</v>
      </c>
      <c r="D41" s="150" t="s">
        <v>47</v>
      </c>
      <c r="E41" s="151" t="b">
        <v>1</v>
      </c>
    </row>
    <row r="42">
      <c r="A42" s="149">
        <v>41.0</v>
      </c>
      <c r="B42" s="150" t="s">
        <v>73</v>
      </c>
      <c r="C42" s="150">
        <v>24.0</v>
      </c>
      <c r="D42" s="150" t="s">
        <v>47</v>
      </c>
      <c r="E42" s="151" t="b">
        <v>1</v>
      </c>
    </row>
    <row r="43">
      <c r="A43" s="149">
        <v>42.0</v>
      </c>
      <c r="B43" s="150" t="s">
        <v>74</v>
      </c>
      <c r="C43" s="150">
        <v>24.0</v>
      </c>
      <c r="D43" s="150" t="s">
        <v>47</v>
      </c>
      <c r="E43" s="151" t="b">
        <v>1</v>
      </c>
    </row>
    <row r="44">
      <c r="A44" s="149">
        <v>43.0</v>
      </c>
      <c r="B44" s="150" t="s">
        <v>75</v>
      </c>
      <c r="C44" s="150">
        <v>24.0</v>
      </c>
      <c r="D44" s="150" t="s">
        <v>47</v>
      </c>
      <c r="E44" s="151" t="b">
        <v>1</v>
      </c>
    </row>
    <row r="45">
      <c r="A45" s="149">
        <v>44.0</v>
      </c>
      <c r="B45" s="150" t="s">
        <v>59</v>
      </c>
      <c r="C45" s="150">
        <v>24.0</v>
      </c>
      <c r="D45" s="150" t="s">
        <v>47</v>
      </c>
      <c r="E45" s="151" t="b">
        <v>1</v>
      </c>
    </row>
    <row r="46">
      <c r="A46" s="149">
        <v>45.0</v>
      </c>
      <c r="B46" s="150" t="s">
        <v>62</v>
      </c>
      <c r="C46" s="150">
        <v>24.0</v>
      </c>
      <c r="D46" s="150" t="s">
        <v>47</v>
      </c>
      <c r="E46" s="151" t="b">
        <v>1</v>
      </c>
    </row>
    <row r="47">
      <c r="A47" s="149">
        <v>46.0</v>
      </c>
      <c r="B47" s="150" t="s">
        <v>64</v>
      </c>
      <c r="C47" s="150">
        <v>24.0</v>
      </c>
      <c r="D47" s="150" t="s">
        <v>47</v>
      </c>
      <c r="E47" s="151" t="b">
        <v>1</v>
      </c>
    </row>
    <row r="48">
      <c r="A48" s="149">
        <v>47.0</v>
      </c>
      <c r="B48" s="150" t="s">
        <v>127</v>
      </c>
      <c r="C48" s="150">
        <v>24.0</v>
      </c>
      <c r="D48" s="150" t="s">
        <v>124</v>
      </c>
      <c r="E48" s="151" t="b">
        <v>1</v>
      </c>
    </row>
    <row r="49">
      <c r="A49" s="149">
        <v>48.0</v>
      </c>
      <c r="B49" s="150" t="s">
        <v>125</v>
      </c>
      <c r="C49" s="150">
        <v>24.0</v>
      </c>
      <c r="D49" s="150" t="s">
        <v>124</v>
      </c>
      <c r="E49" s="151" t="b">
        <v>1</v>
      </c>
    </row>
    <row r="50">
      <c r="A50" s="149">
        <v>49.0</v>
      </c>
      <c r="B50" s="150" t="s">
        <v>123</v>
      </c>
      <c r="C50" s="150">
        <v>24.0</v>
      </c>
      <c r="D50" s="150" t="s">
        <v>124</v>
      </c>
      <c r="E50" s="151" t="b">
        <v>1</v>
      </c>
    </row>
    <row r="51">
      <c r="A51" s="149">
        <v>50.0</v>
      </c>
      <c r="B51" s="150" t="s">
        <v>120</v>
      </c>
      <c r="C51" s="150">
        <v>8.0</v>
      </c>
      <c r="D51" s="150" t="s">
        <v>118</v>
      </c>
      <c r="E51" s="151" t="b">
        <v>1</v>
      </c>
    </row>
    <row r="52">
      <c r="A52" s="149">
        <v>51.0</v>
      </c>
      <c r="B52" s="150" t="s">
        <v>119</v>
      </c>
      <c r="C52" s="150">
        <v>16.0</v>
      </c>
      <c r="D52" s="150" t="s">
        <v>118</v>
      </c>
      <c r="E52" s="151" t="b">
        <v>1</v>
      </c>
    </row>
    <row r="53">
      <c r="A53" s="149">
        <v>52.0</v>
      </c>
      <c r="B53" s="150" t="s">
        <v>122</v>
      </c>
      <c r="C53" s="150">
        <v>16.0</v>
      </c>
      <c r="D53" s="150" t="s">
        <v>118</v>
      </c>
      <c r="E53" s="151" t="b">
        <v>1</v>
      </c>
    </row>
    <row r="54">
      <c r="A54" s="149">
        <v>53.0</v>
      </c>
      <c r="B54" s="150" t="s">
        <v>115</v>
      </c>
      <c r="C54" s="150">
        <v>16.0</v>
      </c>
      <c r="D54" s="150" t="s">
        <v>116</v>
      </c>
      <c r="E54" s="151" t="b">
        <v>1</v>
      </c>
    </row>
    <row r="55">
      <c r="A55" s="149">
        <v>54.0</v>
      </c>
      <c r="B55" s="150" t="s">
        <v>108</v>
      </c>
      <c r="C55" s="150">
        <v>16.0</v>
      </c>
      <c r="D55" s="150" t="s">
        <v>109</v>
      </c>
      <c r="E55" s="151" t="b">
        <v>1</v>
      </c>
    </row>
    <row r="56">
      <c r="A56" s="149">
        <v>55.0</v>
      </c>
      <c r="B56" s="150" t="s">
        <v>110</v>
      </c>
      <c r="C56" s="150">
        <v>16.0</v>
      </c>
      <c r="D56" s="150" t="s">
        <v>109</v>
      </c>
      <c r="E56" s="151" t="b">
        <v>1</v>
      </c>
    </row>
    <row r="57">
      <c r="A57" s="149">
        <v>56.0</v>
      </c>
      <c r="B57" s="150" t="s">
        <v>111</v>
      </c>
      <c r="C57" s="150">
        <v>16.0</v>
      </c>
      <c r="D57" s="150" t="s">
        <v>109</v>
      </c>
      <c r="E57" s="151" t="b">
        <v>1</v>
      </c>
    </row>
    <row r="58">
      <c r="A58" s="149">
        <v>57.0</v>
      </c>
      <c r="B58" s="150" t="s">
        <v>121</v>
      </c>
      <c r="C58" s="150">
        <v>16.0</v>
      </c>
      <c r="D58" s="150" t="s">
        <v>118</v>
      </c>
      <c r="E58" s="151" t="b">
        <v>1</v>
      </c>
    </row>
    <row r="59">
      <c r="A59" s="149">
        <v>58.0</v>
      </c>
      <c r="B59" s="150" t="s">
        <v>113</v>
      </c>
      <c r="C59" s="150">
        <v>24.0</v>
      </c>
      <c r="D59" s="150" t="s">
        <v>109</v>
      </c>
      <c r="E59" s="151" t="b">
        <v>1</v>
      </c>
    </row>
    <row r="60">
      <c r="A60" s="149">
        <v>59.0</v>
      </c>
      <c r="B60" s="150" t="s">
        <v>114</v>
      </c>
      <c r="C60" s="150">
        <v>24.0</v>
      </c>
      <c r="D60" s="150" t="s">
        <v>109</v>
      </c>
      <c r="E60" s="151" t="b">
        <v>1</v>
      </c>
    </row>
    <row r="61">
      <c r="A61" s="149">
        <v>60.0</v>
      </c>
      <c r="B61" s="150" t="s">
        <v>117</v>
      </c>
      <c r="C61" s="150">
        <v>16.0</v>
      </c>
      <c r="D61" s="150" t="s">
        <v>118</v>
      </c>
      <c r="E61" s="151" t="b">
        <v>1</v>
      </c>
    </row>
    <row r="62">
      <c r="A62" s="149">
        <v>61.0</v>
      </c>
      <c r="B62" s="150" t="s">
        <v>91</v>
      </c>
      <c r="C62" s="150">
        <v>16.0</v>
      </c>
      <c r="D62" s="150" t="s">
        <v>85</v>
      </c>
      <c r="E62" s="151" t="b">
        <v>1</v>
      </c>
    </row>
    <row r="63">
      <c r="A63" s="149">
        <v>62.0</v>
      </c>
      <c r="B63" s="150" t="s">
        <v>92</v>
      </c>
      <c r="C63" s="150">
        <v>16.0</v>
      </c>
      <c r="D63" s="150" t="s">
        <v>85</v>
      </c>
      <c r="E63" s="151" t="b">
        <v>1</v>
      </c>
    </row>
    <row r="64">
      <c r="A64" s="149">
        <v>63.0</v>
      </c>
      <c r="B64" s="150" t="s">
        <v>80</v>
      </c>
      <c r="C64" s="150">
        <v>16.0</v>
      </c>
      <c r="D64" s="150" t="s">
        <v>78</v>
      </c>
      <c r="E64" s="151" t="b">
        <v>1</v>
      </c>
    </row>
    <row r="65">
      <c r="A65" s="149">
        <v>64.0</v>
      </c>
      <c r="B65" s="150" t="s">
        <v>88</v>
      </c>
      <c r="C65" s="150">
        <v>8.0</v>
      </c>
      <c r="D65" s="150" t="s">
        <v>85</v>
      </c>
      <c r="E65" s="151" t="b">
        <v>1</v>
      </c>
    </row>
    <row r="66">
      <c r="A66" s="149">
        <v>65.0</v>
      </c>
      <c r="B66" s="150" t="s">
        <v>87</v>
      </c>
      <c r="C66" s="150">
        <v>24.0</v>
      </c>
      <c r="D66" s="150" t="s">
        <v>85</v>
      </c>
      <c r="E66" s="151" t="b">
        <v>1</v>
      </c>
    </row>
    <row r="67">
      <c r="A67" s="149">
        <v>66.0</v>
      </c>
      <c r="B67" s="150" t="s">
        <v>89</v>
      </c>
      <c r="C67" s="150">
        <v>24.0</v>
      </c>
      <c r="D67" s="150" t="s">
        <v>85</v>
      </c>
      <c r="E67" s="151" t="b">
        <v>1</v>
      </c>
    </row>
    <row r="68">
      <c r="A68" s="149">
        <v>67.0</v>
      </c>
      <c r="B68" s="150" t="s">
        <v>77</v>
      </c>
      <c r="C68" s="150">
        <v>16.0</v>
      </c>
      <c r="D68" s="150" t="s">
        <v>78</v>
      </c>
      <c r="E68" s="151" t="b">
        <v>1</v>
      </c>
    </row>
    <row r="69">
      <c r="A69" s="149">
        <v>68.0</v>
      </c>
      <c r="B69" s="150" t="s">
        <v>79</v>
      </c>
      <c r="C69" s="150">
        <v>16.0</v>
      </c>
      <c r="D69" s="150" t="s">
        <v>78</v>
      </c>
      <c r="E69" s="151" t="b">
        <v>1</v>
      </c>
    </row>
    <row r="70">
      <c r="A70" s="149">
        <v>69.0</v>
      </c>
      <c r="B70" s="150" t="s">
        <v>81</v>
      </c>
      <c r="C70" s="150">
        <v>24.0</v>
      </c>
      <c r="D70" s="150" t="s">
        <v>78</v>
      </c>
      <c r="E70" s="151" t="b">
        <v>1</v>
      </c>
    </row>
    <row r="71">
      <c r="A71" s="149">
        <v>70.0</v>
      </c>
      <c r="B71" s="150" t="s">
        <v>84</v>
      </c>
      <c r="C71" s="150">
        <v>16.0</v>
      </c>
      <c r="D71" s="150" t="s">
        <v>85</v>
      </c>
      <c r="E71" s="151" t="b">
        <v>1</v>
      </c>
    </row>
    <row r="72">
      <c r="A72" s="149">
        <v>71.0</v>
      </c>
      <c r="B72" s="150" t="s">
        <v>83</v>
      </c>
      <c r="C72" s="150">
        <v>24.0</v>
      </c>
      <c r="D72" s="150" t="s">
        <v>78</v>
      </c>
      <c r="E72" s="151" t="b">
        <v>1</v>
      </c>
    </row>
    <row r="73">
      <c r="A73" s="149">
        <v>72.0</v>
      </c>
      <c r="B73" s="150" t="s">
        <v>86</v>
      </c>
      <c r="C73" s="150">
        <v>16.0</v>
      </c>
      <c r="D73" s="150" t="s">
        <v>85</v>
      </c>
      <c r="E73" s="151" t="b">
        <v>1</v>
      </c>
    </row>
    <row r="74">
      <c r="A74" s="149">
        <v>73.0</v>
      </c>
      <c r="B74" s="150" t="s">
        <v>102</v>
      </c>
      <c r="C74" s="150">
        <v>16.0</v>
      </c>
      <c r="D74" s="150" t="s">
        <v>100</v>
      </c>
      <c r="E74" s="151" t="b">
        <v>1</v>
      </c>
    </row>
    <row r="75">
      <c r="A75" s="149">
        <v>74.0</v>
      </c>
      <c r="B75" s="150" t="s">
        <v>35</v>
      </c>
      <c r="C75" s="150">
        <v>24.0</v>
      </c>
      <c r="D75" s="150" t="s">
        <v>36</v>
      </c>
      <c r="E75" s="151" t="b">
        <v>1</v>
      </c>
    </row>
    <row r="76">
      <c r="A76" s="149">
        <v>75.0</v>
      </c>
      <c r="B76" s="150" t="s">
        <v>97</v>
      </c>
      <c r="C76" s="150">
        <v>24.0</v>
      </c>
      <c r="D76" s="150" t="s">
        <v>94</v>
      </c>
      <c r="E76" s="151" t="b">
        <v>1</v>
      </c>
    </row>
    <row r="77">
      <c r="A77" s="149">
        <v>76.0</v>
      </c>
      <c r="B77" s="150" t="s">
        <v>95</v>
      </c>
      <c r="C77" s="150">
        <v>24.0</v>
      </c>
      <c r="D77" s="150" t="s">
        <v>94</v>
      </c>
      <c r="E77" s="151" t="b">
        <v>1</v>
      </c>
    </row>
    <row r="78">
      <c r="A78" s="149">
        <v>77.0</v>
      </c>
      <c r="B78" s="150" t="s">
        <v>103</v>
      </c>
      <c r="C78" s="150">
        <v>24.0</v>
      </c>
      <c r="D78" s="150" t="s">
        <v>100</v>
      </c>
      <c r="E78" s="151" t="b">
        <v>1</v>
      </c>
    </row>
    <row r="79">
      <c r="A79" s="149">
        <v>78.0</v>
      </c>
      <c r="B79" s="150" t="s">
        <v>98</v>
      </c>
      <c r="C79" s="150">
        <v>16.0</v>
      </c>
      <c r="D79" s="150" t="s">
        <v>100</v>
      </c>
      <c r="E79" s="151" t="b">
        <v>1</v>
      </c>
    </row>
    <row r="80">
      <c r="A80" s="149">
        <v>79.0</v>
      </c>
      <c r="B80" s="150" t="s">
        <v>101</v>
      </c>
      <c r="C80" s="150">
        <v>16.0</v>
      </c>
      <c r="D80" s="150" t="s">
        <v>100</v>
      </c>
      <c r="E80" s="151" t="b">
        <v>1</v>
      </c>
    </row>
    <row r="81">
      <c r="A81" s="149">
        <v>80.0</v>
      </c>
      <c r="B81" s="150" t="s">
        <v>93</v>
      </c>
      <c r="C81" s="150">
        <v>16.0</v>
      </c>
      <c r="D81" s="150" t="s">
        <v>94</v>
      </c>
      <c r="E81" s="151" t="b">
        <v>1</v>
      </c>
    </row>
    <row r="82">
      <c r="A82" s="152"/>
      <c r="B82" s="152"/>
      <c r="C82" s="152"/>
      <c r="D82" s="152"/>
    </row>
    <row r="83">
      <c r="A83" s="152"/>
      <c r="B83" s="152"/>
      <c r="C83" s="152"/>
      <c r="D83" s="152"/>
    </row>
    <row r="84">
      <c r="A84" s="152"/>
      <c r="B84" s="152"/>
      <c r="C84" s="152"/>
      <c r="D84" s="152"/>
    </row>
    <row r="85">
      <c r="A85" s="152"/>
      <c r="B85" s="152"/>
      <c r="C85" s="152"/>
      <c r="D85" s="152"/>
    </row>
    <row r="86">
      <c r="A86" s="152"/>
      <c r="B86" s="152"/>
      <c r="C86" s="152"/>
      <c r="D86" s="152"/>
    </row>
    <row r="87">
      <c r="A87" s="152"/>
      <c r="B87" s="152"/>
      <c r="C87" s="152"/>
      <c r="D87" s="152"/>
    </row>
    <row r="88">
      <c r="A88" s="152"/>
      <c r="B88" s="152"/>
      <c r="C88" s="152"/>
      <c r="D88" s="152"/>
    </row>
    <row r="89">
      <c r="A89" s="152"/>
      <c r="B89" s="152"/>
      <c r="C89" s="152"/>
      <c r="D89" s="152"/>
    </row>
    <row r="90">
      <c r="A90" s="152"/>
      <c r="B90" s="152"/>
      <c r="C90" s="152"/>
      <c r="D90" s="152"/>
    </row>
    <row r="91">
      <c r="A91" s="152"/>
      <c r="B91" s="152"/>
      <c r="C91" s="152"/>
      <c r="D91" s="152"/>
    </row>
    <row r="92">
      <c r="A92" s="152"/>
      <c r="B92" s="152"/>
      <c r="C92" s="152"/>
      <c r="D92" s="152"/>
    </row>
    <row r="93">
      <c r="A93" s="152"/>
      <c r="B93" s="152"/>
      <c r="C93" s="152"/>
      <c r="D93" s="152"/>
    </row>
    <row r="94">
      <c r="A94" s="152"/>
      <c r="B94" s="152"/>
      <c r="C94" s="152"/>
      <c r="D94" s="152"/>
    </row>
    <row r="95">
      <c r="A95" s="152"/>
      <c r="B95" s="152"/>
      <c r="C95" s="152"/>
      <c r="D95" s="152"/>
    </row>
    <row r="96">
      <c r="A96" s="152"/>
      <c r="B96" s="152"/>
      <c r="C96" s="152"/>
      <c r="D96" s="152"/>
    </row>
    <row r="97">
      <c r="A97" s="152"/>
      <c r="B97" s="152"/>
      <c r="C97" s="152"/>
      <c r="D97" s="152"/>
    </row>
    <row r="98">
      <c r="A98" s="152"/>
      <c r="B98" s="152"/>
      <c r="C98" s="152"/>
      <c r="D98" s="152"/>
    </row>
    <row r="99">
      <c r="A99" s="152"/>
      <c r="B99" s="152"/>
      <c r="C99" s="152"/>
      <c r="D99" s="152"/>
    </row>
    <row r="100">
      <c r="A100" s="152"/>
      <c r="B100" s="152"/>
      <c r="C100" s="152"/>
      <c r="D100" s="152"/>
    </row>
    <row r="101">
      <c r="A101" s="152"/>
      <c r="B101" s="152"/>
      <c r="C101" s="152"/>
      <c r="D101" s="152"/>
    </row>
    <row r="102">
      <c r="A102" s="152"/>
      <c r="B102" s="152"/>
      <c r="C102" s="152"/>
      <c r="D102" s="152"/>
    </row>
    <row r="103">
      <c r="A103" s="152"/>
      <c r="B103" s="152"/>
      <c r="C103" s="152"/>
      <c r="D103" s="152"/>
    </row>
    <row r="104">
      <c r="A104" s="152"/>
      <c r="B104" s="152"/>
      <c r="C104" s="152"/>
      <c r="D104" s="152"/>
    </row>
    <row r="105">
      <c r="A105" s="152"/>
      <c r="B105" s="152"/>
      <c r="C105" s="152"/>
      <c r="D105" s="152"/>
    </row>
    <row r="106">
      <c r="A106" s="152"/>
      <c r="B106" s="152"/>
      <c r="C106" s="152"/>
      <c r="D106" s="152"/>
    </row>
    <row r="107">
      <c r="A107" s="152"/>
      <c r="B107" s="152"/>
      <c r="C107" s="152"/>
      <c r="D107" s="152"/>
    </row>
    <row r="108">
      <c r="A108" s="152"/>
      <c r="B108" s="152"/>
      <c r="C108" s="152"/>
      <c r="D108" s="152"/>
    </row>
    <row r="109">
      <c r="A109" s="152"/>
      <c r="B109" s="152"/>
      <c r="C109" s="152"/>
      <c r="D109" s="152"/>
    </row>
    <row r="110">
      <c r="A110" s="152"/>
      <c r="B110" s="152"/>
      <c r="C110" s="152"/>
      <c r="D110" s="152"/>
    </row>
    <row r="111">
      <c r="A111" s="152"/>
      <c r="B111" s="152"/>
      <c r="C111" s="152"/>
      <c r="D111" s="152"/>
    </row>
    <row r="112">
      <c r="A112" s="152"/>
      <c r="B112" s="152"/>
      <c r="C112" s="152"/>
      <c r="D112" s="152"/>
    </row>
    <row r="113">
      <c r="A113" s="152"/>
      <c r="B113" s="152"/>
      <c r="C113" s="152"/>
      <c r="D113" s="152"/>
    </row>
    <row r="114">
      <c r="A114" s="152"/>
      <c r="B114" s="152"/>
      <c r="C114" s="152"/>
      <c r="D114" s="152"/>
    </row>
    <row r="115">
      <c r="A115" s="152"/>
      <c r="B115" s="152"/>
      <c r="C115" s="152"/>
      <c r="D115" s="152"/>
    </row>
    <row r="116">
      <c r="A116" s="152"/>
      <c r="B116" s="152"/>
      <c r="C116" s="152"/>
      <c r="D116" s="152"/>
    </row>
    <row r="117">
      <c r="A117" s="152"/>
      <c r="B117" s="152"/>
      <c r="C117" s="152"/>
      <c r="D117" s="152"/>
    </row>
    <row r="118">
      <c r="A118" s="152"/>
      <c r="B118" s="152"/>
      <c r="C118" s="152"/>
      <c r="D118" s="152"/>
    </row>
    <row r="119">
      <c r="A119" s="152"/>
      <c r="B119" s="152"/>
      <c r="C119" s="152"/>
      <c r="D119" s="152"/>
    </row>
    <row r="120">
      <c r="A120" s="152"/>
      <c r="B120" s="152"/>
      <c r="C120" s="152"/>
      <c r="D120" s="152"/>
    </row>
    <row r="121">
      <c r="A121" s="152"/>
      <c r="B121" s="152"/>
      <c r="C121" s="152"/>
      <c r="D121" s="152"/>
    </row>
    <row r="122">
      <c r="A122" s="152"/>
      <c r="B122" s="152"/>
      <c r="C122" s="152"/>
      <c r="D122" s="152"/>
    </row>
    <row r="123">
      <c r="A123" s="152"/>
      <c r="B123" s="152"/>
      <c r="C123" s="152"/>
      <c r="D123" s="152"/>
    </row>
    <row r="124">
      <c r="A124" s="152"/>
      <c r="B124" s="152"/>
      <c r="C124" s="152"/>
      <c r="D124" s="152"/>
    </row>
    <row r="125">
      <c r="A125" s="152"/>
      <c r="B125" s="152"/>
      <c r="C125" s="152"/>
      <c r="D125" s="152"/>
    </row>
    <row r="126">
      <c r="A126" s="152"/>
      <c r="B126" s="152"/>
      <c r="C126" s="152"/>
      <c r="D126" s="152"/>
    </row>
    <row r="127">
      <c r="A127" s="152"/>
      <c r="B127" s="152"/>
      <c r="C127" s="152"/>
      <c r="D127" s="152"/>
    </row>
    <row r="128">
      <c r="A128" s="152"/>
      <c r="B128" s="152"/>
      <c r="C128" s="152"/>
      <c r="D128" s="152"/>
    </row>
    <row r="129">
      <c r="A129" s="152"/>
      <c r="B129" s="152"/>
      <c r="C129" s="152"/>
      <c r="D129" s="152"/>
    </row>
    <row r="130">
      <c r="A130" s="152"/>
      <c r="B130" s="152"/>
      <c r="C130" s="152"/>
      <c r="D130" s="152"/>
    </row>
    <row r="131">
      <c r="A131" s="152"/>
      <c r="B131" s="152"/>
      <c r="C131" s="152"/>
      <c r="D131" s="152"/>
    </row>
    <row r="132">
      <c r="A132" s="152"/>
      <c r="B132" s="152"/>
      <c r="C132" s="152"/>
      <c r="D132" s="152"/>
    </row>
    <row r="133">
      <c r="A133" s="152"/>
      <c r="B133" s="152"/>
      <c r="C133" s="152"/>
      <c r="D133" s="152"/>
    </row>
    <row r="134">
      <c r="A134" s="152"/>
      <c r="B134" s="152"/>
      <c r="C134" s="152"/>
      <c r="D134" s="152"/>
    </row>
    <row r="135">
      <c r="A135" s="152"/>
      <c r="B135" s="152"/>
      <c r="C135" s="152"/>
      <c r="D135" s="152"/>
    </row>
    <row r="136">
      <c r="A136" s="152"/>
      <c r="B136" s="152"/>
      <c r="C136" s="152"/>
      <c r="D136" s="152"/>
    </row>
    <row r="137">
      <c r="A137" s="152"/>
      <c r="B137" s="152"/>
      <c r="C137" s="152"/>
      <c r="D137" s="152"/>
    </row>
    <row r="138">
      <c r="A138" s="152"/>
      <c r="B138" s="152"/>
      <c r="C138" s="152"/>
      <c r="D138" s="152"/>
    </row>
    <row r="139">
      <c r="A139" s="152"/>
      <c r="B139" s="152"/>
      <c r="C139" s="152"/>
      <c r="D139" s="152"/>
    </row>
    <row r="140">
      <c r="A140" s="152"/>
      <c r="B140" s="152"/>
      <c r="C140" s="152"/>
      <c r="D140" s="152"/>
    </row>
    <row r="141">
      <c r="A141" s="152"/>
      <c r="B141" s="152"/>
      <c r="C141" s="152"/>
      <c r="D141" s="152"/>
    </row>
    <row r="142">
      <c r="A142" s="152"/>
      <c r="B142" s="152"/>
      <c r="C142" s="152"/>
      <c r="D142" s="152"/>
    </row>
    <row r="143">
      <c r="A143" s="152"/>
      <c r="B143" s="152"/>
      <c r="C143" s="152"/>
      <c r="D143" s="152"/>
    </row>
    <row r="144">
      <c r="A144" s="152"/>
      <c r="B144" s="152"/>
      <c r="C144" s="152"/>
      <c r="D144" s="152"/>
    </row>
    <row r="145">
      <c r="A145" s="152"/>
      <c r="B145" s="152"/>
      <c r="C145" s="152"/>
      <c r="D145" s="152"/>
    </row>
    <row r="146">
      <c r="A146" s="152"/>
      <c r="B146" s="152"/>
      <c r="C146" s="152"/>
      <c r="D146" s="152"/>
    </row>
    <row r="147">
      <c r="A147" s="152"/>
      <c r="B147" s="152"/>
      <c r="C147" s="152"/>
      <c r="D147" s="152"/>
    </row>
    <row r="148">
      <c r="A148" s="152"/>
      <c r="B148" s="152"/>
      <c r="C148" s="152"/>
      <c r="D148" s="152"/>
    </row>
    <row r="149">
      <c r="A149" s="152"/>
      <c r="B149" s="152"/>
      <c r="C149" s="152"/>
      <c r="D149" s="152"/>
    </row>
    <row r="150">
      <c r="A150" s="152"/>
      <c r="B150" s="152"/>
      <c r="C150" s="152"/>
      <c r="D150" s="152"/>
    </row>
    <row r="151">
      <c r="A151" s="152"/>
      <c r="B151" s="152"/>
      <c r="C151" s="152"/>
      <c r="D151" s="152"/>
    </row>
    <row r="152">
      <c r="A152" s="152"/>
      <c r="B152" s="152"/>
      <c r="C152" s="152"/>
      <c r="D152" s="152"/>
    </row>
    <row r="153">
      <c r="A153" s="152"/>
      <c r="B153" s="152"/>
      <c r="C153" s="152"/>
      <c r="D153" s="152"/>
    </row>
    <row r="154">
      <c r="A154" s="152"/>
      <c r="B154" s="152"/>
      <c r="C154" s="152"/>
      <c r="D154" s="152"/>
    </row>
    <row r="155">
      <c r="A155" s="152"/>
      <c r="B155" s="152"/>
      <c r="C155" s="152"/>
      <c r="D155" s="152"/>
    </row>
    <row r="156">
      <c r="A156" s="152"/>
      <c r="B156" s="152"/>
      <c r="C156" s="152"/>
      <c r="D156" s="152"/>
    </row>
    <row r="157">
      <c r="A157" s="152"/>
      <c r="B157" s="152"/>
      <c r="C157" s="152"/>
      <c r="D157" s="152"/>
    </row>
    <row r="158">
      <c r="A158" s="152"/>
      <c r="B158" s="152"/>
      <c r="C158" s="152"/>
      <c r="D158" s="152"/>
    </row>
    <row r="159">
      <c r="A159" s="152"/>
      <c r="B159" s="152"/>
      <c r="C159" s="152"/>
      <c r="D159" s="152"/>
    </row>
    <row r="160">
      <c r="A160" s="152"/>
      <c r="B160" s="152"/>
      <c r="C160" s="152"/>
      <c r="D160" s="152"/>
    </row>
    <row r="161">
      <c r="A161" s="152"/>
      <c r="B161" s="152"/>
      <c r="C161" s="152"/>
      <c r="D161" s="152"/>
    </row>
    <row r="162">
      <c r="A162" s="152"/>
      <c r="B162" s="152"/>
      <c r="C162" s="152"/>
      <c r="D162" s="152"/>
    </row>
    <row r="163">
      <c r="A163" s="152"/>
      <c r="B163" s="152"/>
      <c r="C163" s="152"/>
      <c r="D163" s="152"/>
    </row>
    <row r="164">
      <c r="A164" s="152"/>
      <c r="B164" s="152"/>
      <c r="C164" s="152"/>
      <c r="D164" s="152"/>
    </row>
    <row r="165">
      <c r="A165" s="152"/>
      <c r="B165" s="152"/>
      <c r="C165" s="152"/>
      <c r="D165" s="152"/>
    </row>
    <row r="166">
      <c r="A166" s="152"/>
      <c r="B166" s="152"/>
      <c r="C166" s="152"/>
      <c r="D166" s="152"/>
    </row>
    <row r="167">
      <c r="A167" s="152"/>
      <c r="B167" s="152"/>
      <c r="C167" s="152"/>
      <c r="D167" s="152"/>
    </row>
    <row r="168">
      <c r="A168" s="152"/>
      <c r="B168" s="152"/>
      <c r="C168" s="152"/>
      <c r="D168" s="152"/>
    </row>
    <row r="169">
      <c r="A169" s="152"/>
      <c r="B169" s="152"/>
      <c r="C169" s="152"/>
      <c r="D169" s="152"/>
    </row>
    <row r="170">
      <c r="A170" s="152"/>
      <c r="B170" s="152"/>
      <c r="C170" s="152"/>
      <c r="D170" s="152"/>
    </row>
    <row r="171">
      <c r="A171" s="152"/>
      <c r="B171" s="152"/>
      <c r="C171" s="152"/>
      <c r="D171" s="152"/>
    </row>
    <row r="172">
      <c r="A172" s="152"/>
      <c r="B172" s="152"/>
      <c r="C172" s="152"/>
      <c r="D172" s="152"/>
    </row>
    <row r="173">
      <c r="A173" s="152"/>
      <c r="B173" s="152"/>
      <c r="C173" s="152"/>
      <c r="D173" s="152"/>
    </row>
    <row r="174">
      <c r="A174" s="152"/>
      <c r="B174" s="152"/>
      <c r="C174" s="152"/>
      <c r="D174" s="152"/>
    </row>
    <row r="175">
      <c r="A175" s="152"/>
      <c r="B175" s="152"/>
      <c r="C175" s="152"/>
      <c r="D175" s="152"/>
    </row>
    <row r="176">
      <c r="A176" s="152"/>
      <c r="B176" s="152"/>
      <c r="C176" s="152"/>
      <c r="D176" s="152"/>
    </row>
    <row r="177">
      <c r="A177" s="152"/>
      <c r="B177" s="152"/>
      <c r="C177" s="152"/>
      <c r="D177" s="152"/>
    </row>
    <row r="178">
      <c r="A178" s="152"/>
      <c r="B178" s="152"/>
      <c r="C178" s="152"/>
      <c r="D178" s="152"/>
    </row>
    <row r="179">
      <c r="A179" s="152"/>
      <c r="B179" s="152"/>
      <c r="C179" s="152"/>
      <c r="D179" s="152"/>
    </row>
    <row r="180">
      <c r="A180" s="152"/>
      <c r="B180" s="152"/>
      <c r="C180" s="152"/>
      <c r="D180" s="152"/>
    </row>
    <row r="181">
      <c r="A181" s="152"/>
      <c r="B181" s="152"/>
      <c r="C181" s="152"/>
      <c r="D181" s="152"/>
    </row>
    <row r="182">
      <c r="A182" s="152"/>
      <c r="B182" s="152"/>
      <c r="C182" s="152"/>
      <c r="D182" s="152"/>
    </row>
    <row r="183">
      <c r="A183" s="152"/>
      <c r="B183" s="152"/>
      <c r="C183" s="152"/>
      <c r="D183" s="152"/>
    </row>
    <row r="184">
      <c r="A184" s="152"/>
      <c r="B184" s="152"/>
      <c r="C184" s="152"/>
      <c r="D184" s="152"/>
    </row>
    <row r="185">
      <c r="A185" s="152"/>
      <c r="B185" s="152"/>
      <c r="C185" s="152"/>
      <c r="D185" s="152"/>
    </row>
    <row r="186">
      <c r="A186" s="152"/>
      <c r="B186" s="152"/>
      <c r="C186" s="152"/>
      <c r="D186" s="152"/>
    </row>
    <row r="187">
      <c r="A187" s="152"/>
      <c r="B187" s="152"/>
      <c r="C187" s="152"/>
      <c r="D187" s="152"/>
    </row>
    <row r="188">
      <c r="A188" s="152"/>
      <c r="B188" s="152"/>
      <c r="C188" s="152"/>
      <c r="D188" s="152"/>
    </row>
    <row r="189">
      <c r="A189" s="152"/>
      <c r="B189" s="152"/>
      <c r="C189" s="152"/>
      <c r="D189" s="152"/>
    </row>
    <row r="190">
      <c r="A190" s="152"/>
      <c r="B190" s="152"/>
      <c r="C190" s="152"/>
      <c r="D190" s="152"/>
    </row>
    <row r="191">
      <c r="A191" s="152"/>
      <c r="B191" s="152"/>
      <c r="C191" s="152"/>
      <c r="D191" s="152"/>
    </row>
    <row r="192">
      <c r="A192" s="152"/>
      <c r="B192" s="152"/>
      <c r="C192" s="152"/>
      <c r="D192" s="152"/>
    </row>
    <row r="193">
      <c r="A193" s="152"/>
      <c r="B193" s="152"/>
      <c r="C193" s="152"/>
      <c r="D193" s="152"/>
    </row>
    <row r="194">
      <c r="A194" s="152"/>
      <c r="B194" s="152"/>
      <c r="C194" s="152"/>
      <c r="D194" s="152"/>
    </row>
    <row r="195">
      <c r="A195" s="152"/>
      <c r="B195" s="152"/>
      <c r="C195" s="152"/>
      <c r="D195" s="152"/>
    </row>
    <row r="196">
      <c r="A196" s="152"/>
      <c r="B196" s="152"/>
      <c r="C196" s="152"/>
      <c r="D196" s="152"/>
    </row>
    <row r="197">
      <c r="A197" s="152"/>
      <c r="B197" s="152"/>
      <c r="C197" s="152"/>
      <c r="D197" s="152"/>
    </row>
    <row r="198">
      <c r="A198" s="152"/>
      <c r="B198" s="152"/>
      <c r="C198" s="152"/>
      <c r="D198" s="152"/>
    </row>
    <row r="199">
      <c r="A199" s="152"/>
      <c r="B199" s="152"/>
      <c r="C199" s="152"/>
      <c r="D199" s="152"/>
    </row>
    <row r="200">
      <c r="A200" s="152"/>
      <c r="B200" s="152"/>
      <c r="C200" s="152"/>
      <c r="D200" s="152"/>
    </row>
    <row r="201">
      <c r="A201" s="152"/>
      <c r="B201" s="152"/>
      <c r="C201" s="152"/>
      <c r="D201" s="152"/>
    </row>
    <row r="202">
      <c r="A202" s="152"/>
      <c r="B202" s="152"/>
      <c r="C202" s="152"/>
      <c r="D202" s="152"/>
    </row>
    <row r="203">
      <c r="A203" s="152"/>
      <c r="B203" s="152"/>
      <c r="C203" s="152"/>
      <c r="D203" s="152"/>
    </row>
    <row r="204">
      <c r="A204" s="152"/>
      <c r="B204" s="152"/>
      <c r="C204" s="152"/>
      <c r="D204" s="152"/>
    </row>
    <row r="205">
      <c r="A205" s="152"/>
      <c r="B205" s="152"/>
      <c r="C205" s="152"/>
      <c r="D205" s="152"/>
    </row>
    <row r="206">
      <c r="A206" s="152"/>
      <c r="B206" s="152"/>
      <c r="C206" s="152"/>
      <c r="D206" s="152"/>
    </row>
    <row r="207">
      <c r="A207" s="152"/>
      <c r="B207" s="152"/>
      <c r="C207" s="152"/>
      <c r="D207" s="152"/>
    </row>
    <row r="208">
      <c r="A208" s="152"/>
      <c r="B208" s="152"/>
      <c r="C208" s="152"/>
      <c r="D208" s="152"/>
    </row>
    <row r="209">
      <c r="A209" s="152"/>
      <c r="B209" s="152"/>
      <c r="C209" s="152"/>
      <c r="D209" s="152"/>
    </row>
    <row r="210">
      <c r="A210" s="152"/>
      <c r="B210" s="152"/>
      <c r="C210" s="152"/>
      <c r="D210" s="152"/>
    </row>
    <row r="211">
      <c r="A211" s="152"/>
      <c r="B211" s="152"/>
      <c r="C211" s="152"/>
      <c r="D211" s="152"/>
    </row>
    <row r="212">
      <c r="A212" s="152"/>
      <c r="B212" s="152"/>
      <c r="C212" s="152"/>
      <c r="D212" s="152"/>
    </row>
    <row r="213">
      <c r="A213" s="152"/>
      <c r="B213" s="152"/>
      <c r="C213" s="152"/>
      <c r="D213" s="152"/>
    </row>
    <row r="214">
      <c r="A214" s="152"/>
      <c r="B214" s="152"/>
      <c r="C214" s="152"/>
      <c r="D214" s="152"/>
    </row>
    <row r="215">
      <c r="A215" s="152"/>
      <c r="B215" s="152"/>
      <c r="C215" s="152"/>
      <c r="D215" s="152"/>
    </row>
    <row r="216">
      <c r="A216" s="152"/>
      <c r="B216" s="152"/>
      <c r="C216" s="152"/>
      <c r="D216" s="152"/>
    </row>
    <row r="217">
      <c r="A217" s="152"/>
      <c r="B217" s="152"/>
      <c r="C217" s="152"/>
      <c r="D217" s="152"/>
    </row>
    <row r="218">
      <c r="A218" s="152"/>
      <c r="B218" s="152"/>
      <c r="C218" s="152"/>
      <c r="D218" s="152"/>
    </row>
    <row r="219">
      <c r="A219" s="152"/>
      <c r="B219" s="152"/>
      <c r="C219" s="152"/>
      <c r="D219" s="152"/>
    </row>
    <row r="220">
      <c r="A220" s="152"/>
      <c r="B220" s="152"/>
      <c r="C220" s="152"/>
      <c r="D220" s="152"/>
    </row>
    <row r="221">
      <c r="A221" s="152"/>
      <c r="B221" s="152"/>
      <c r="C221" s="152"/>
      <c r="D221" s="152"/>
    </row>
    <row r="222">
      <c r="A222" s="152"/>
      <c r="B222" s="152"/>
      <c r="C222" s="152"/>
      <c r="D222" s="152"/>
    </row>
    <row r="223">
      <c r="A223" s="152"/>
      <c r="B223" s="152"/>
      <c r="C223" s="152"/>
      <c r="D223" s="152"/>
    </row>
    <row r="224">
      <c r="A224" s="152"/>
      <c r="B224" s="152"/>
      <c r="C224" s="152"/>
      <c r="D224" s="152"/>
    </row>
    <row r="225">
      <c r="A225" s="152"/>
      <c r="B225" s="152"/>
      <c r="C225" s="152"/>
      <c r="D225" s="152"/>
    </row>
    <row r="226">
      <c r="A226" s="152"/>
      <c r="B226" s="152"/>
      <c r="C226" s="152"/>
      <c r="D226" s="152"/>
    </row>
    <row r="227">
      <c r="A227" s="152"/>
      <c r="B227" s="152"/>
      <c r="C227" s="152"/>
      <c r="D227" s="152"/>
    </row>
    <row r="228">
      <c r="A228" s="152"/>
      <c r="B228" s="152"/>
      <c r="C228" s="152"/>
      <c r="D228" s="152"/>
    </row>
    <row r="229">
      <c r="A229" s="152"/>
      <c r="B229" s="152"/>
      <c r="C229" s="152"/>
      <c r="D229" s="152"/>
    </row>
    <row r="230">
      <c r="A230" s="152"/>
      <c r="B230" s="152"/>
      <c r="C230" s="152"/>
      <c r="D230" s="152"/>
    </row>
    <row r="231">
      <c r="A231" s="152"/>
      <c r="B231" s="152"/>
      <c r="C231" s="152"/>
      <c r="D231" s="152"/>
    </row>
    <row r="232">
      <c r="A232" s="152"/>
      <c r="B232" s="152"/>
      <c r="C232" s="152"/>
      <c r="D232" s="152"/>
    </row>
    <row r="233">
      <c r="A233" s="152"/>
      <c r="B233" s="152"/>
      <c r="C233" s="152"/>
      <c r="D233" s="152"/>
    </row>
    <row r="234">
      <c r="A234" s="152"/>
      <c r="B234" s="152"/>
      <c r="C234" s="152"/>
      <c r="D234" s="152"/>
    </row>
    <row r="235">
      <c r="A235" s="152"/>
      <c r="B235" s="152"/>
      <c r="C235" s="152"/>
      <c r="D235" s="152"/>
    </row>
    <row r="236">
      <c r="A236" s="152"/>
      <c r="B236" s="152"/>
      <c r="C236" s="152"/>
      <c r="D236" s="152"/>
    </row>
    <row r="237">
      <c r="A237" s="152"/>
      <c r="B237" s="152"/>
      <c r="C237" s="152"/>
      <c r="D237" s="152"/>
    </row>
    <row r="238">
      <c r="A238" s="152"/>
      <c r="B238" s="152"/>
      <c r="C238" s="152"/>
      <c r="D238" s="152"/>
    </row>
    <row r="239">
      <c r="A239" s="152"/>
      <c r="B239" s="152"/>
      <c r="C239" s="152"/>
      <c r="D239" s="152"/>
    </row>
    <row r="240">
      <c r="A240" s="152"/>
      <c r="B240" s="152"/>
      <c r="C240" s="152"/>
      <c r="D240" s="152"/>
    </row>
    <row r="241">
      <c r="A241" s="152"/>
      <c r="B241" s="152"/>
      <c r="C241" s="152"/>
      <c r="D241" s="152"/>
    </row>
    <row r="242">
      <c r="A242" s="152"/>
      <c r="B242" s="152"/>
      <c r="C242" s="152"/>
      <c r="D242" s="152"/>
    </row>
    <row r="243">
      <c r="A243" s="152"/>
      <c r="B243" s="152"/>
      <c r="C243" s="152"/>
      <c r="D243" s="152"/>
    </row>
    <row r="244">
      <c r="A244" s="152"/>
      <c r="B244" s="152"/>
      <c r="C244" s="152"/>
      <c r="D244" s="152"/>
    </row>
    <row r="245">
      <c r="A245" s="152"/>
      <c r="B245" s="152"/>
      <c r="C245" s="152"/>
      <c r="D245" s="152"/>
    </row>
    <row r="246">
      <c r="A246" s="152"/>
      <c r="B246" s="152"/>
      <c r="C246" s="152"/>
      <c r="D246" s="152"/>
    </row>
    <row r="247">
      <c r="A247" s="152"/>
      <c r="B247" s="152"/>
      <c r="C247" s="152"/>
      <c r="D247" s="152"/>
    </row>
    <row r="248">
      <c r="A248" s="152"/>
      <c r="B248" s="152"/>
      <c r="C248" s="152"/>
      <c r="D248" s="152"/>
    </row>
    <row r="249">
      <c r="A249" s="152"/>
      <c r="B249" s="152"/>
      <c r="C249" s="152"/>
      <c r="D249" s="152"/>
    </row>
    <row r="250">
      <c r="A250" s="152"/>
      <c r="B250" s="152"/>
      <c r="C250" s="152"/>
      <c r="D250" s="152"/>
    </row>
    <row r="251">
      <c r="A251" s="152"/>
      <c r="B251" s="152"/>
      <c r="C251" s="152"/>
      <c r="D251" s="152"/>
    </row>
    <row r="252">
      <c r="A252" s="152"/>
      <c r="B252" s="152"/>
      <c r="C252" s="152"/>
      <c r="D252" s="152"/>
    </row>
    <row r="253">
      <c r="A253" s="152"/>
      <c r="B253" s="152"/>
      <c r="C253" s="152"/>
      <c r="D253" s="152"/>
    </row>
    <row r="254">
      <c r="A254" s="152"/>
      <c r="B254" s="152"/>
      <c r="C254" s="152"/>
      <c r="D254" s="152"/>
    </row>
    <row r="255">
      <c r="A255" s="152"/>
      <c r="B255" s="152"/>
      <c r="C255" s="152"/>
      <c r="D255" s="152"/>
    </row>
    <row r="256">
      <c r="A256" s="152"/>
      <c r="B256" s="152"/>
      <c r="C256" s="152"/>
      <c r="D256" s="152"/>
    </row>
    <row r="257">
      <c r="A257" s="152"/>
      <c r="B257" s="152"/>
      <c r="C257" s="152"/>
      <c r="D257" s="152"/>
    </row>
    <row r="258">
      <c r="A258" s="152"/>
      <c r="B258" s="152"/>
      <c r="C258" s="152"/>
      <c r="D258" s="152"/>
    </row>
    <row r="259">
      <c r="A259" s="152"/>
      <c r="B259" s="152"/>
      <c r="C259" s="152"/>
      <c r="D259" s="152"/>
    </row>
    <row r="260">
      <c r="A260" s="152"/>
      <c r="B260" s="152"/>
      <c r="C260" s="152"/>
      <c r="D260" s="152"/>
    </row>
    <row r="261">
      <c r="A261" s="152"/>
      <c r="B261" s="152"/>
      <c r="C261" s="152"/>
      <c r="D261" s="152"/>
    </row>
    <row r="262">
      <c r="A262" s="152"/>
      <c r="B262" s="152"/>
      <c r="C262" s="152"/>
      <c r="D262" s="152"/>
    </row>
    <row r="263">
      <c r="A263" s="152"/>
      <c r="B263" s="152"/>
      <c r="C263" s="152"/>
      <c r="D263" s="152"/>
    </row>
    <row r="264">
      <c r="A264" s="152"/>
      <c r="B264" s="152"/>
      <c r="C264" s="152"/>
      <c r="D264" s="152"/>
    </row>
    <row r="265">
      <c r="A265" s="152"/>
      <c r="B265" s="152"/>
      <c r="C265" s="152"/>
      <c r="D265" s="152"/>
    </row>
    <row r="266">
      <c r="A266" s="152"/>
      <c r="B266" s="152"/>
      <c r="C266" s="152"/>
      <c r="D266" s="152"/>
    </row>
    <row r="267">
      <c r="A267" s="152"/>
      <c r="B267" s="152"/>
      <c r="C267" s="152"/>
      <c r="D267" s="152"/>
    </row>
    <row r="268">
      <c r="A268" s="152"/>
      <c r="B268" s="152"/>
      <c r="C268" s="152"/>
      <c r="D268" s="152"/>
    </row>
    <row r="269">
      <c r="A269" s="152"/>
      <c r="B269" s="152"/>
      <c r="C269" s="152"/>
      <c r="D269" s="152"/>
    </row>
    <row r="270">
      <c r="A270" s="152"/>
      <c r="B270" s="152"/>
      <c r="C270" s="152"/>
      <c r="D270" s="152"/>
    </row>
    <row r="271">
      <c r="A271" s="152"/>
      <c r="B271" s="152"/>
      <c r="C271" s="152"/>
      <c r="D271" s="152"/>
    </row>
    <row r="272">
      <c r="A272" s="152"/>
      <c r="B272" s="152"/>
      <c r="C272" s="152"/>
      <c r="D272" s="152"/>
    </row>
    <row r="273">
      <c r="A273" s="152"/>
      <c r="B273" s="152"/>
      <c r="C273" s="152"/>
      <c r="D273" s="152"/>
    </row>
    <row r="274">
      <c r="A274" s="152"/>
      <c r="B274" s="152"/>
      <c r="C274" s="152"/>
      <c r="D274" s="152"/>
    </row>
    <row r="275">
      <c r="A275" s="152"/>
      <c r="B275" s="152"/>
      <c r="C275" s="152"/>
      <c r="D275" s="152"/>
    </row>
    <row r="276">
      <c r="A276" s="152"/>
      <c r="B276" s="152"/>
      <c r="C276" s="152"/>
      <c r="D276" s="152"/>
    </row>
    <row r="277">
      <c r="A277" s="152"/>
      <c r="B277" s="152"/>
      <c r="C277" s="152"/>
      <c r="D277" s="152"/>
    </row>
    <row r="278">
      <c r="A278" s="152"/>
      <c r="B278" s="152"/>
      <c r="C278" s="152"/>
      <c r="D278" s="152"/>
    </row>
    <row r="279">
      <c r="A279" s="152"/>
      <c r="B279" s="152"/>
      <c r="C279" s="152"/>
      <c r="D279" s="152"/>
    </row>
    <row r="280">
      <c r="A280" s="152"/>
      <c r="B280" s="152"/>
      <c r="C280" s="152"/>
      <c r="D280" s="152"/>
    </row>
    <row r="281">
      <c r="A281" s="152"/>
      <c r="B281" s="152"/>
      <c r="C281" s="152"/>
      <c r="D281" s="152"/>
    </row>
    <row r="282">
      <c r="A282" s="152"/>
      <c r="B282" s="152"/>
      <c r="C282" s="152"/>
      <c r="D282" s="152"/>
    </row>
    <row r="283">
      <c r="A283" s="152"/>
      <c r="B283" s="152"/>
      <c r="C283" s="152"/>
      <c r="D283" s="152"/>
    </row>
    <row r="284">
      <c r="A284" s="152"/>
      <c r="B284" s="152"/>
      <c r="C284" s="152"/>
      <c r="D284" s="152"/>
    </row>
    <row r="285">
      <c r="A285" s="152"/>
      <c r="B285" s="152"/>
      <c r="C285" s="152"/>
      <c r="D285" s="152"/>
    </row>
    <row r="286">
      <c r="A286" s="152"/>
      <c r="B286" s="152"/>
      <c r="C286" s="152"/>
      <c r="D286" s="152"/>
    </row>
    <row r="287">
      <c r="A287" s="152"/>
      <c r="B287" s="152"/>
      <c r="C287" s="152"/>
      <c r="D287" s="152"/>
    </row>
    <row r="288">
      <c r="A288" s="152"/>
      <c r="B288" s="152"/>
      <c r="C288" s="152"/>
      <c r="D288" s="152"/>
    </row>
    <row r="289">
      <c r="A289" s="152"/>
      <c r="B289" s="152"/>
      <c r="C289" s="152"/>
      <c r="D289" s="152"/>
    </row>
    <row r="290">
      <c r="A290" s="152"/>
      <c r="B290" s="152"/>
      <c r="C290" s="152"/>
      <c r="D290" s="152"/>
    </row>
    <row r="291">
      <c r="A291" s="152"/>
      <c r="B291" s="152"/>
      <c r="C291" s="152"/>
      <c r="D291" s="152"/>
    </row>
    <row r="292">
      <c r="A292" s="152"/>
      <c r="B292" s="152"/>
      <c r="C292" s="152"/>
      <c r="D292" s="152"/>
    </row>
    <row r="293">
      <c r="A293" s="152"/>
      <c r="B293" s="152"/>
      <c r="C293" s="152"/>
      <c r="D293" s="152"/>
    </row>
    <row r="294">
      <c r="A294" s="152"/>
      <c r="B294" s="152"/>
      <c r="C294" s="152"/>
      <c r="D294" s="152"/>
    </row>
    <row r="295">
      <c r="A295" s="152"/>
      <c r="B295" s="152"/>
      <c r="C295" s="152"/>
      <c r="D295" s="152"/>
    </row>
    <row r="296">
      <c r="A296" s="152"/>
      <c r="B296" s="152"/>
      <c r="C296" s="152"/>
      <c r="D296" s="152"/>
    </row>
    <row r="297">
      <c r="A297" s="152"/>
      <c r="B297" s="152"/>
      <c r="C297" s="152"/>
      <c r="D297" s="152"/>
    </row>
    <row r="298">
      <c r="A298" s="152"/>
      <c r="B298" s="152"/>
      <c r="C298" s="152"/>
      <c r="D298" s="152"/>
    </row>
    <row r="299">
      <c r="A299" s="152"/>
      <c r="B299" s="152"/>
      <c r="C299" s="152"/>
      <c r="D299" s="152"/>
    </row>
    <row r="300">
      <c r="A300" s="152"/>
      <c r="B300" s="152"/>
      <c r="C300" s="152"/>
      <c r="D300" s="152"/>
    </row>
    <row r="301">
      <c r="A301" s="152"/>
      <c r="B301" s="152"/>
      <c r="C301" s="152"/>
      <c r="D301" s="152"/>
    </row>
    <row r="302">
      <c r="A302" s="152"/>
      <c r="B302" s="152"/>
      <c r="C302" s="152"/>
      <c r="D302" s="152"/>
    </row>
    <row r="303">
      <c r="A303" s="152"/>
      <c r="B303" s="152"/>
      <c r="C303" s="152"/>
      <c r="D303" s="152"/>
    </row>
    <row r="304">
      <c r="A304" s="152"/>
      <c r="B304" s="152"/>
      <c r="C304" s="152"/>
      <c r="D304" s="152"/>
    </row>
    <row r="305">
      <c r="A305" s="152"/>
      <c r="B305" s="152"/>
      <c r="C305" s="152"/>
      <c r="D305" s="152"/>
    </row>
    <row r="306">
      <c r="A306" s="152"/>
      <c r="B306" s="152"/>
      <c r="C306" s="152"/>
      <c r="D306" s="152"/>
    </row>
    <row r="307">
      <c r="A307" s="152"/>
      <c r="B307" s="152"/>
      <c r="C307" s="152"/>
      <c r="D307" s="152"/>
    </row>
    <row r="308">
      <c r="A308" s="152"/>
      <c r="B308" s="152"/>
      <c r="C308" s="152"/>
      <c r="D308" s="152"/>
    </row>
    <row r="309">
      <c r="A309" s="152"/>
      <c r="B309" s="152"/>
      <c r="C309" s="152"/>
      <c r="D309" s="152"/>
    </row>
    <row r="310">
      <c r="A310" s="152"/>
      <c r="B310" s="152"/>
      <c r="C310" s="152"/>
      <c r="D310" s="152"/>
    </row>
    <row r="311">
      <c r="A311" s="152"/>
      <c r="B311" s="152"/>
      <c r="C311" s="152"/>
      <c r="D311" s="152"/>
    </row>
    <row r="312">
      <c r="A312" s="152"/>
      <c r="B312" s="152"/>
      <c r="C312" s="152"/>
      <c r="D312" s="152"/>
    </row>
    <row r="313">
      <c r="A313" s="152"/>
      <c r="B313" s="152"/>
      <c r="C313" s="152"/>
      <c r="D313" s="152"/>
    </row>
    <row r="314">
      <c r="A314" s="152"/>
      <c r="B314" s="152"/>
      <c r="C314" s="152"/>
      <c r="D314" s="152"/>
    </row>
    <row r="315">
      <c r="A315" s="152"/>
      <c r="B315" s="152"/>
      <c r="C315" s="152"/>
      <c r="D315" s="152"/>
    </row>
    <row r="316">
      <c r="A316" s="152"/>
      <c r="B316" s="152"/>
      <c r="C316" s="152"/>
      <c r="D316" s="152"/>
    </row>
    <row r="317">
      <c r="A317" s="152"/>
      <c r="B317" s="152"/>
      <c r="C317" s="152"/>
      <c r="D317" s="152"/>
    </row>
    <row r="318">
      <c r="A318" s="152"/>
      <c r="B318" s="152"/>
      <c r="C318" s="152"/>
      <c r="D318" s="152"/>
    </row>
    <row r="319">
      <c r="A319" s="152"/>
      <c r="B319" s="152"/>
      <c r="C319" s="152"/>
      <c r="D319" s="152"/>
    </row>
    <row r="320">
      <c r="A320" s="152"/>
      <c r="B320" s="152"/>
      <c r="C320" s="152"/>
      <c r="D320" s="152"/>
    </row>
    <row r="321">
      <c r="A321" s="152"/>
      <c r="B321" s="152"/>
      <c r="C321" s="152"/>
      <c r="D321" s="152"/>
    </row>
    <row r="322">
      <c r="A322" s="152"/>
      <c r="B322" s="152"/>
      <c r="C322" s="152"/>
      <c r="D322" s="152"/>
    </row>
    <row r="323">
      <c r="A323" s="152"/>
      <c r="B323" s="152"/>
      <c r="C323" s="152"/>
      <c r="D323" s="152"/>
    </row>
    <row r="324">
      <c r="A324" s="152"/>
      <c r="B324" s="152"/>
      <c r="C324" s="152"/>
      <c r="D324" s="152"/>
    </row>
    <row r="325">
      <c r="A325" s="152"/>
      <c r="B325" s="152"/>
      <c r="C325" s="152"/>
      <c r="D325" s="152"/>
    </row>
    <row r="326">
      <c r="A326" s="152"/>
      <c r="B326" s="152"/>
      <c r="C326" s="152"/>
      <c r="D326" s="152"/>
    </row>
    <row r="327">
      <c r="A327" s="152"/>
      <c r="B327" s="152"/>
      <c r="C327" s="152"/>
      <c r="D327" s="152"/>
    </row>
    <row r="328">
      <c r="A328" s="152"/>
      <c r="B328" s="152"/>
      <c r="C328" s="152"/>
      <c r="D328" s="152"/>
    </row>
    <row r="329">
      <c r="A329" s="152"/>
      <c r="B329" s="152"/>
      <c r="C329" s="152"/>
      <c r="D329" s="152"/>
    </row>
    <row r="330">
      <c r="A330" s="152"/>
      <c r="B330" s="152"/>
      <c r="C330" s="152"/>
      <c r="D330" s="152"/>
    </row>
    <row r="331">
      <c r="A331" s="152"/>
      <c r="B331" s="152"/>
      <c r="C331" s="152"/>
      <c r="D331" s="152"/>
    </row>
    <row r="332">
      <c r="A332" s="152"/>
      <c r="B332" s="152"/>
      <c r="C332" s="152"/>
      <c r="D332" s="152"/>
    </row>
    <row r="333">
      <c r="A333" s="152"/>
      <c r="B333" s="152"/>
      <c r="C333" s="152"/>
      <c r="D333" s="152"/>
    </row>
    <row r="334">
      <c r="A334" s="152"/>
      <c r="B334" s="152"/>
      <c r="C334" s="152"/>
      <c r="D334" s="152"/>
    </row>
    <row r="335">
      <c r="A335" s="152"/>
      <c r="B335" s="152"/>
      <c r="C335" s="152"/>
      <c r="D335" s="152"/>
    </row>
    <row r="336">
      <c r="A336" s="152"/>
      <c r="B336" s="152"/>
      <c r="C336" s="152"/>
      <c r="D336" s="152"/>
    </row>
    <row r="337">
      <c r="A337" s="152"/>
      <c r="B337" s="152"/>
      <c r="C337" s="152"/>
      <c r="D337" s="152"/>
    </row>
    <row r="338">
      <c r="A338" s="152"/>
      <c r="B338" s="152"/>
      <c r="C338" s="152"/>
      <c r="D338" s="152"/>
    </row>
    <row r="339">
      <c r="A339" s="152"/>
      <c r="B339" s="152"/>
      <c r="C339" s="152"/>
      <c r="D339" s="152"/>
    </row>
    <row r="340">
      <c r="A340" s="152"/>
      <c r="B340" s="152"/>
      <c r="C340" s="152"/>
      <c r="D340" s="152"/>
    </row>
    <row r="341">
      <c r="A341" s="152"/>
      <c r="B341" s="152"/>
      <c r="C341" s="152"/>
      <c r="D341" s="152"/>
    </row>
    <row r="342">
      <c r="A342" s="152"/>
      <c r="B342" s="152"/>
      <c r="C342" s="152"/>
      <c r="D342" s="152"/>
    </row>
    <row r="343">
      <c r="A343" s="152"/>
      <c r="B343" s="152"/>
      <c r="C343" s="152"/>
      <c r="D343" s="152"/>
    </row>
    <row r="344">
      <c r="A344" s="152"/>
      <c r="B344" s="152"/>
      <c r="C344" s="152"/>
      <c r="D344" s="152"/>
    </row>
    <row r="345">
      <c r="A345" s="152"/>
      <c r="B345" s="152"/>
      <c r="C345" s="152"/>
      <c r="D345" s="152"/>
    </row>
    <row r="346">
      <c r="A346" s="152"/>
      <c r="B346" s="152"/>
      <c r="C346" s="152"/>
      <c r="D346" s="152"/>
    </row>
    <row r="347">
      <c r="A347" s="152"/>
      <c r="B347" s="152"/>
      <c r="C347" s="152"/>
      <c r="D347" s="152"/>
    </row>
    <row r="348">
      <c r="A348" s="152"/>
      <c r="B348" s="152"/>
      <c r="C348" s="152"/>
      <c r="D348" s="152"/>
    </row>
    <row r="349">
      <c r="A349" s="152"/>
      <c r="B349" s="152"/>
      <c r="C349" s="152"/>
      <c r="D349" s="152"/>
    </row>
    <row r="350">
      <c r="A350" s="152"/>
      <c r="B350" s="152"/>
      <c r="C350" s="152"/>
      <c r="D350" s="152"/>
    </row>
    <row r="351">
      <c r="A351" s="152"/>
      <c r="B351" s="152"/>
      <c r="C351" s="152"/>
      <c r="D351" s="152"/>
    </row>
    <row r="352">
      <c r="A352" s="152"/>
      <c r="B352" s="152"/>
      <c r="C352" s="152"/>
      <c r="D352" s="152"/>
    </row>
    <row r="353">
      <c r="A353" s="152"/>
      <c r="B353" s="152"/>
      <c r="C353" s="152"/>
      <c r="D353" s="152"/>
    </row>
    <row r="354">
      <c r="A354" s="152"/>
      <c r="B354" s="152"/>
      <c r="C354" s="152"/>
      <c r="D354" s="152"/>
    </row>
    <row r="355">
      <c r="A355" s="152"/>
      <c r="B355" s="152"/>
      <c r="C355" s="152"/>
      <c r="D355" s="152"/>
    </row>
    <row r="356">
      <c r="A356" s="152"/>
      <c r="B356" s="152"/>
      <c r="C356" s="152"/>
      <c r="D356" s="152"/>
    </row>
    <row r="357">
      <c r="A357" s="152"/>
      <c r="B357" s="152"/>
      <c r="C357" s="152"/>
      <c r="D357" s="152"/>
    </row>
    <row r="358">
      <c r="A358" s="152"/>
      <c r="B358" s="152"/>
      <c r="C358" s="152"/>
      <c r="D358" s="152"/>
    </row>
    <row r="359">
      <c r="A359" s="152"/>
      <c r="B359" s="152"/>
      <c r="C359" s="152"/>
      <c r="D359" s="152"/>
    </row>
    <row r="360">
      <c r="A360" s="152"/>
      <c r="B360" s="152"/>
      <c r="C360" s="152"/>
      <c r="D360" s="152"/>
    </row>
    <row r="361">
      <c r="A361" s="152"/>
      <c r="B361" s="152"/>
      <c r="C361" s="152"/>
      <c r="D361" s="152"/>
    </row>
    <row r="362">
      <c r="A362" s="152"/>
      <c r="B362" s="152"/>
      <c r="C362" s="152"/>
      <c r="D362" s="152"/>
    </row>
    <row r="363">
      <c r="A363" s="152"/>
      <c r="B363" s="152"/>
      <c r="C363" s="152"/>
      <c r="D363" s="152"/>
    </row>
    <row r="364">
      <c r="A364" s="152"/>
      <c r="B364" s="152"/>
      <c r="C364" s="152"/>
      <c r="D364" s="152"/>
    </row>
    <row r="365">
      <c r="A365" s="152"/>
      <c r="B365" s="152"/>
      <c r="C365" s="152"/>
      <c r="D365" s="152"/>
    </row>
    <row r="366">
      <c r="A366" s="152"/>
      <c r="B366" s="152"/>
      <c r="C366" s="152"/>
      <c r="D366" s="152"/>
    </row>
    <row r="367">
      <c r="A367" s="152"/>
      <c r="B367" s="152"/>
      <c r="C367" s="152"/>
      <c r="D367" s="152"/>
    </row>
    <row r="368">
      <c r="A368" s="152"/>
      <c r="B368" s="152"/>
      <c r="C368" s="152"/>
      <c r="D368" s="152"/>
    </row>
    <row r="369">
      <c r="A369" s="152"/>
      <c r="B369" s="152"/>
      <c r="C369" s="152"/>
      <c r="D369" s="152"/>
    </row>
    <row r="370">
      <c r="A370" s="152"/>
      <c r="B370" s="152"/>
      <c r="C370" s="152"/>
      <c r="D370" s="152"/>
    </row>
    <row r="371">
      <c r="A371" s="152"/>
      <c r="B371" s="152"/>
      <c r="C371" s="152"/>
      <c r="D371" s="152"/>
    </row>
    <row r="372">
      <c r="A372" s="152"/>
      <c r="B372" s="152"/>
      <c r="C372" s="152"/>
      <c r="D372" s="152"/>
    </row>
    <row r="373">
      <c r="A373" s="152"/>
      <c r="B373" s="152"/>
      <c r="C373" s="152"/>
      <c r="D373" s="152"/>
    </row>
    <row r="374">
      <c r="A374" s="152"/>
      <c r="B374" s="152"/>
      <c r="C374" s="152"/>
      <c r="D374" s="152"/>
    </row>
    <row r="375">
      <c r="A375" s="152"/>
      <c r="B375" s="152"/>
      <c r="C375" s="152"/>
      <c r="D375" s="152"/>
    </row>
    <row r="376">
      <c r="A376" s="152"/>
      <c r="B376" s="152"/>
      <c r="C376" s="152"/>
      <c r="D376" s="152"/>
    </row>
    <row r="377">
      <c r="A377" s="152"/>
      <c r="B377" s="152"/>
      <c r="C377" s="152"/>
      <c r="D377" s="152"/>
    </row>
    <row r="378">
      <c r="A378" s="152"/>
      <c r="B378" s="152"/>
      <c r="C378" s="152"/>
      <c r="D378" s="152"/>
    </row>
    <row r="379">
      <c r="A379" s="152"/>
      <c r="B379" s="152"/>
      <c r="C379" s="152"/>
      <c r="D379" s="152"/>
    </row>
    <row r="380">
      <c r="A380" s="152"/>
      <c r="B380" s="152"/>
      <c r="C380" s="152"/>
      <c r="D380" s="152"/>
    </row>
    <row r="381">
      <c r="A381" s="152"/>
      <c r="B381" s="152"/>
      <c r="C381" s="152"/>
      <c r="D381" s="152"/>
    </row>
    <row r="382">
      <c r="A382" s="152"/>
      <c r="B382" s="152"/>
      <c r="C382" s="152"/>
      <c r="D382" s="152"/>
    </row>
    <row r="383">
      <c r="A383" s="152"/>
      <c r="B383" s="152"/>
      <c r="C383" s="152"/>
      <c r="D383" s="152"/>
    </row>
    <row r="384">
      <c r="A384" s="152"/>
      <c r="B384" s="152"/>
      <c r="C384" s="152"/>
      <c r="D384" s="152"/>
    </row>
    <row r="385">
      <c r="A385" s="152"/>
      <c r="B385" s="152"/>
      <c r="C385" s="152"/>
      <c r="D385" s="152"/>
    </row>
    <row r="386">
      <c r="A386" s="152"/>
      <c r="B386" s="152"/>
      <c r="C386" s="152"/>
      <c r="D386" s="152"/>
    </row>
    <row r="387">
      <c r="A387" s="152"/>
      <c r="B387" s="152"/>
      <c r="C387" s="152"/>
      <c r="D387" s="152"/>
    </row>
    <row r="388">
      <c r="A388" s="152"/>
      <c r="B388" s="152"/>
      <c r="C388" s="152"/>
      <c r="D388" s="152"/>
    </row>
    <row r="389">
      <c r="A389" s="152"/>
      <c r="B389" s="152"/>
      <c r="C389" s="152"/>
      <c r="D389" s="152"/>
    </row>
    <row r="390">
      <c r="A390" s="152"/>
      <c r="B390" s="152"/>
      <c r="C390" s="152"/>
      <c r="D390" s="152"/>
    </row>
    <row r="391">
      <c r="A391" s="152"/>
      <c r="B391" s="152"/>
      <c r="C391" s="152"/>
      <c r="D391" s="152"/>
    </row>
    <row r="392">
      <c r="A392" s="152"/>
      <c r="B392" s="152"/>
      <c r="C392" s="152"/>
      <c r="D392" s="152"/>
    </row>
    <row r="393">
      <c r="A393" s="152"/>
      <c r="B393" s="152"/>
      <c r="C393" s="152"/>
      <c r="D393" s="152"/>
    </row>
    <row r="394">
      <c r="A394" s="152"/>
      <c r="B394" s="152"/>
      <c r="C394" s="152"/>
      <c r="D394" s="152"/>
    </row>
    <row r="395">
      <c r="A395" s="152"/>
      <c r="B395" s="152"/>
      <c r="C395" s="152"/>
      <c r="D395" s="152"/>
    </row>
    <row r="396">
      <c r="A396" s="152"/>
      <c r="B396" s="152"/>
      <c r="C396" s="152"/>
      <c r="D396" s="152"/>
    </row>
    <row r="397">
      <c r="A397" s="152"/>
      <c r="B397" s="152"/>
      <c r="C397" s="152"/>
      <c r="D397" s="152"/>
    </row>
    <row r="398">
      <c r="A398" s="152"/>
      <c r="B398" s="152"/>
      <c r="C398" s="152"/>
      <c r="D398" s="152"/>
    </row>
    <row r="399">
      <c r="A399" s="152"/>
      <c r="B399" s="152"/>
      <c r="C399" s="152"/>
      <c r="D399" s="152"/>
    </row>
    <row r="400">
      <c r="A400" s="152"/>
      <c r="B400" s="152"/>
      <c r="C400" s="152"/>
      <c r="D400" s="152"/>
    </row>
    <row r="401">
      <c r="A401" s="152"/>
      <c r="B401" s="152"/>
      <c r="C401" s="152"/>
      <c r="D401" s="152"/>
    </row>
    <row r="402">
      <c r="A402" s="152"/>
      <c r="B402" s="152"/>
      <c r="C402" s="152"/>
      <c r="D402" s="152"/>
    </row>
    <row r="403">
      <c r="A403" s="152"/>
      <c r="B403" s="152"/>
      <c r="C403" s="152"/>
      <c r="D403" s="152"/>
    </row>
    <row r="404">
      <c r="A404" s="152"/>
      <c r="B404" s="152"/>
      <c r="C404" s="152"/>
      <c r="D404" s="152"/>
    </row>
    <row r="405">
      <c r="A405" s="152"/>
      <c r="B405" s="152"/>
      <c r="C405" s="152"/>
      <c r="D405" s="152"/>
    </row>
    <row r="406">
      <c r="A406" s="152"/>
      <c r="B406" s="152"/>
      <c r="C406" s="152"/>
      <c r="D406" s="152"/>
    </row>
    <row r="407">
      <c r="A407" s="152"/>
      <c r="B407" s="152"/>
      <c r="C407" s="152"/>
      <c r="D407" s="152"/>
    </row>
    <row r="408">
      <c r="A408" s="152"/>
      <c r="B408" s="152"/>
      <c r="C408" s="152"/>
      <c r="D408" s="152"/>
    </row>
    <row r="409">
      <c r="A409" s="152"/>
      <c r="B409" s="152"/>
      <c r="C409" s="152"/>
      <c r="D409" s="152"/>
    </row>
    <row r="410">
      <c r="A410" s="152"/>
      <c r="B410" s="152"/>
      <c r="C410" s="152"/>
      <c r="D410" s="152"/>
    </row>
    <row r="411">
      <c r="A411" s="152"/>
      <c r="B411" s="152"/>
      <c r="C411" s="152"/>
      <c r="D411" s="152"/>
    </row>
    <row r="412">
      <c r="A412" s="152"/>
      <c r="B412" s="152"/>
      <c r="C412" s="152"/>
      <c r="D412" s="152"/>
    </row>
    <row r="413">
      <c r="A413" s="152"/>
      <c r="B413" s="152"/>
      <c r="C413" s="152"/>
      <c r="D413" s="152"/>
    </row>
    <row r="414">
      <c r="A414" s="152"/>
      <c r="B414" s="152"/>
      <c r="C414" s="152"/>
      <c r="D414" s="152"/>
    </row>
    <row r="415">
      <c r="A415" s="152"/>
      <c r="B415" s="152"/>
      <c r="C415" s="152"/>
      <c r="D415" s="152"/>
    </row>
    <row r="416">
      <c r="A416" s="152"/>
      <c r="B416" s="152"/>
      <c r="C416" s="152"/>
      <c r="D416" s="152"/>
    </row>
    <row r="417">
      <c r="A417" s="152"/>
      <c r="B417" s="152"/>
      <c r="C417" s="152"/>
      <c r="D417" s="152"/>
    </row>
    <row r="418">
      <c r="A418" s="152"/>
      <c r="B418" s="152"/>
      <c r="C418" s="152"/>
      <c r="D418" s="152"/>
    </row>
    <row r="419">
      <c r="A419" s="152"/>
      <c r="B419" s="152"/>
      <c r="C419" s="152"/>
      <c r="D419" s="152"/>
    </row>
    <row r="420">
      <c r="A420" s="152"/>
      <c r="B420" s="152"/>
      <c r="C420" s="152"/>
      <c r="D420" s="152"/>
    </row>
    <row r="421">
      <c r="A421" s="152"/>
      <c r="B421" s="152"/>
      <c r="C421" s="152"/>
      <c r="D421" s="152"/>
    </row>
    <row r="422">
      <c r="A422" s="152"/>
      <c r="B422" s="152"/>
      <c r="C422" s="152"/>
      <c r="D422" s="152"/>
    </row>
    <row r="423">
      <c r="A423" s="152"/>
      <c r="B423" s="152"/>
      <c r="C423" s="152"/>
      <c r="D423" s="152"/>
    </row>
    <row r="424">
      <c r="A424" s="152"/>
      <c r="B424" s="152"/>
      <c r="C424" s="152"/>
      <c r="D424" s="152"/>
    </row>
    <row r="425">
      <c r="A425" s="152"/>
      <c r="B425" s="152"/>
      <c r="C425" s="152"/>
      <c r="D425" s="152"/>
    </row>
    <row r="426">
      <c r="A426" s="152"/>
      <c r="B426" s="152"/>
      <c r="C426" s="152"/>
      <c r="D426" s="152"/>
    </row>
    <row r="427">
      <c r="A427" s="152"/>
      <c r="B427" s="152"/>
      <c r="C427" s="152"/>
      <c r="D427" s="152"/>
    </row>
    <row r="428">
      <c r="A428" s="152"/>
      <c r="B428" s="152"/>
      <c r="C428" s="152"/>
      <c r="D428" s="152"/>
    </row>
    <row r="429">
      <c r="A429" s="152"/>
      <c r="B429" s="152"/>
      <c r="C429" s="152"/>
      <c r="D429" s="152"/>
    </row>
    <row r="430">
      <c r="A430" s="152"/>
      <c r="B430" s="152"/>
      <c r="C430" s="152"/>
      <c r="D430" s="152"/>
    </row>
    <row r="431">
      <c r="A431" s="152"/>
      <c r="B431" s="152"/>
      <c r="C431" s="152"/>
      <c r="D431" s="152"/>
    </row>
    <row r="432">
      <c r="A432" s="152"/>
      <c r="B432" s="152"/>
      <c r="C432" s="152"/>
      <c r="D432" s="152"/>
    </row>
    <row r="433">
      <c r="A433" s="152"/>
      <c r="B433" s="152"/>
      <c r="C433" s="152"/>
      <c r="D433" s="152"/>
    </row>
    <row r="434">
      <c r="A434" s="152"/>
      <c r="B434" s="152"/>
      <c r="C434" s="152"/>
      <c r="D434" s="152"/>
    </row>
    <row r="435">
      <c r="A435" s="152"/>
      <c r="B435" s="152"/>
      <c r="C435" s="152"/>
      <c r="D435" s="152"/>
    </row>
    <row r="436">
      <c r="A436" s="152"/>
      <c r="B436" s="152"/>
      <c r="C436" s="152"/>
      <c r="D436" s="152"/>
    </row>
    <row r="437">
      <c r="A437" s="152"/>
      <c r="B437" s="152"/>
      <c r="C437" s="152"/>
      <c r="D437" s="152"/>
    </row>
    <row r="438">
      <c r="A438" s="152"/>
      <c r="B438" s="152"/>
      <c r="C438" s="152"/>
      <c r="D438" s="152"/>
    </row>
    <row r="439">
      <c r="A439" s="152"/>
      <c r="B439" s="152"/>
      <c r="C439" s="152"/>
      <c r="D439" s="152"/>
    </row>
    <row r="440">
      <c r="A440" s="152"/>
      <c r="B440" s="152"/>
      <c r="C440" s="152"/>
      <c r="D440" s="152"/>
    </row>
    <row r="441">
      <c r="A441" s="152"/>
      <c r="B441" s="152"/>
      <c r="C441" s="152"/>
      <c r="D441" s="152"/>
    </row>
    <row r="442">
      <c r="A442" s="152"/>
      <c r="B442" s="152"/>
      <c r="C442" s="152"/>
      <c r="D442" s="152"/>
    </row>
    <row r="443">
      <c r="A443" s="152"/>
      <c r="B443" s="152"/>
      <c r="C443" s="152"/>
      <c r="D443" s="152"/>
    </row>
    <row r="444">
      <c r="A444" s="152"/>
      <c r="B444" s="152"/>
      <c r="C444" s="152"/>
      <c r="D444" s="152"/>
    </row>
    <row r="445">
      <c r="A445" s="152"/>
      <c r="B445" s="152"/>
      <c r="C445" s="152"/>
      <c r="D445" s="152"/>
    </row>
    <row r="446">
      <c r="A446" s="152"/>
      <c r="B446" s="152"/>
      <c r="C446" s="152"/>
      <c r="D446" s="152"/>
    </row>
    <row r="447">
      <c r="A447" s="152"/>
      <c r="B447" s="152"/>
      <c r="C447" s="152"/>
      <c r="D447" s="152"/>
    </row>
    <row r="448">
      <c r="A448" s="152"/>
      <c r="B448" s="152"/>
      <c r="C448" s="152"/>
      <c r="D448" s="152"/>
    </row>
    <row r="449">
      <c r="A449" s="152"/>
      <c r="B449" s="152"/>
      <c r="C449" s="152"/>
      <c r="D449" s="152"/>
    </row>
    <row r="450">
      <c r="A450" s="152"/>
      <c r="B450" s="152"/>
      <c r="C450" s="152"/>
      <c r="D450" s="152"/>
    </row>
    <row r="451">
      <c r="A451" s="152"/>
      <c r="B451" s="152"/>
      <c r="C451" s="152"/>
      <c r="D451" s="152"/>
    </row>
    <row r="452">
      <c r="A452" s="152"/>
      <c r="B452" s="152"/>
      <c r="C452" s="152"/>
      <c r="D452" s="152"/>
    </row>
    <row r="453">
      <c r="A453" s="152"/>
      <c r="B453" s="152"/>
      <c r="C453" s="152"/>
      <c r="D453" s="152"/>
    </row>
    <row r="454">
      <c r="A454" s="152"/>
      <c r="B454" s="152"/>
      <c r="C454" s="152"/>
      <c r="D454" s="152"/>
    </row>
    <row r="455">
      <c r="A455" s="152"/>
      <c r="B455" s="152"/>
      <c r="C455" s="152"/>
      <c r="D455" s="152"/>
    </row>
    <row r="456">
      <c r="A456" s="152"/>
      <c r="B456" s="152"/>
      <c r="C456" s="152"/>
      <c r="D456" s="152"/>
    </row>
    <row r="457">
      <c r="A457" s="152"/>
      <c r="B457" s="152"/>
      <c r="C457" s="152"/>
      <c r="D457" s="152"/>
    </row>
    <row r="458">
      <c r="A458" s="152"/>
      <c r="B458" s="152"/>
      <c r="C458" s="152"/>
      <c r="D458" s="152"/>
    </row>
    <row r="459">
      <c r="A459" s="152"/>
      <c r="B459" s="152"/>
      <c r="C459" s="152"/>
      <c r="D459" s="152"/>
    </row>
    <row r="460">
      <c r="A460" s="152"/>
      <c r="B460" s="152"/>
      <c r="C460" s="152"/>
      <c r="D460" s="152"/>
    </row>
    <row r="461">
      <c r="A461" s="152"/>
      <c r="B461" s="152"/>
      <c r="C461" s="152"/>
      <c r="D461" s="152"/>
    </row>
    <row r="462">
      <c r="A462" s="152"/>
      <c r="B462" s="152"/>
      <c r="C462" s="152"/>
      <c r="D462" s="152"/>
    </row>
    <row r="463">
      <c r="A463" s="152"/>
      <c r="B463" s="152"/>
      <c r="C463" s="152"/>
      <c r="D463" s="152"/>
    </row>
    <row r="464">
      <c r="A464" s="152"/>
      <c r="B464" s="152"/>
      <c r="C464" s="152"/>
      <c r="D464" s="152"/>
    </row>
    <row r="465">
      <c r="A465" s="152"/>
      <c r="B465" s="152"/>
      <c r="C465" s="152"/>
      <c r="D465" s="152"/>
    </row>
    <row r="466">
      <c r="A466" s="152"/>
      <c r="B466" s="152"/>
      <c r="C466" s="152"/>
      <c r="D466" s="152"/>
    </row>
    <row r="467">
      <c r="A467" s="152"/>
      <c r="B467" s="152"/>
      <c r="C467" s="152"/>
      <c r="D467" s="152"/>
    </row>
    <row r="468">
      <c r="A468" s="152"/>
      <c r="B468" s="152"/>
      <c r="C468" s="152"/>
      <c r="D468" s="152"/>
    </row>
    <row r="469">
      <c r="A469" s="152"/>
      <c r="B469" s="152"/>
      <c r="C469" s="152"/>
      <c r="D469" s="152"/>
    </row>
    <row r="470">
      <c r="A470" s="152"/>
      <c r="B470" s="152"/>
      <c r="C470" s="152"/>
      <c r="D470" s="152"/>
    </row>
    <row r="471">
      <c r="A471" s="152"/>
      <c r="B471" s="152"/>
      <c r="C471" s="152"/>
      <c r="D471" s="152"/>
    </row>
    <row r="472">
      <c r="A472" s="152"/>
      <c r="B472" s="152"/>
      <c r="C472" s="152"/>
      <c r="D472" s="152"/>
    </row>
    <row r="473">
      <c r="A473" s="152"/>
      <c r="B473" s="152"/>
      <c r="C473" s="152"/>
      <c r="D473" s="152"/>
    </row>
    <row r="474">
      <c r="A474" s="152"/>
      <c r="B474" s="152"/>
      <c r="C474" s="152"/>
      <c r="D474" s="152"/>
    </row>
    <row r="475">
      <c r="A475" s="152"/>
      <c r="B475" s="152"/>
      <c r="C475" s="152"/>
      <c r="D475" s="152"/>
    </row>
    <row r="476">
      <c r="A476" s="152"/>
      <c r="B476" s="152"/>
      <c r="C476" s="152"/>
      <c r="D476" s="152"/>
    </row>
    <row r="477">
      <c r="A477" s="152"/>
      <c r="B477" s="152"/>
      <c r="C477" s="152"/>
      <c r="D477" s="152"/>
    </row>
    <row r="478">
      <c r="A478" s="152"/>
      <c r="B478" s="152"/>
      <c r="C478" s="152"/>
      <c r="D478" s="152"/>
    </row>
    <row r="479">
      <c r="A479" s="152"/>
      <c r="B479" s="152"/>
      <c r="C479" s="152"/>
      <c r="D479" s="152"/>
    </row>
    <row r="480">
      <c r="A480" s="152"/>
      <c r="B480" s="152"/>
      <c r="C480" s="152"/>
      <c r="D480" s="152"/>
    </row>
    <row r="481">
      <c r="A481" s="152"/>
      <c r="B481" s="152"/>
      <c r="C481" s="152"/>
      <c r="D481" s="152"/>
    </row>
    <row r="482">
      <c r="A482" s="152"/>
      <c r="B482" s="152"/>
      <c r="C482" s="152"/>
      <c r="D482" s="152"/>
    </row>
    <row r="483">
      <c r="A483" s="152"/>
      <c r="B483" s="152"/>
      <c r="C483" s="152"/>
      <c r="D483" s="152"/>
    </row>
    <row r="484">
      <c r="A484" s="152"/>
      <c r="B484" s="152"/>
      <c r="C484" s="152"/>
      <c r="D484" s="152"/>
    </row>
    <row r="485">
      <c r="A485" s="152"/>
      <c r="B485" s="152"/>
      <c r="C485" s="152"/>
      <c r="D485" s="152"/>
    </row>
    <row r="486">
      <c r="A486" s="152"/>
      <c r="B486" s="152"/>
      <c r="C486" s="152"/>
      <c r="D486" s="152"/>
    </row>
    <row r="487">
      <c r="A487" s="152"/>
      <c r="B487" s="152"/>
      <c r="C487" s="152"/>
      <c r="D487" s="152"/>
    </row>
    <row r="488">
      <c r="A488" s="152"/>
      <c r="B488" s="152"/>
      <c r="C488" s="152"/>
      <c r="D488" s="152"/>
    </row>
    <row r="489">
      <c r="A489" s="152"/>
      <c r="B489" s="152"/>
      <c r="C489" s="152"/>
      <c r="D489" s="152"/>
    </row>
    <row r="490">
      <c r="A490" s="152"/>
      <c r="B490" s="152"/>
      <c r="C490" s="152"/>
      <c r="D490" s="152"/>
    </row>
    <row r="491">
      <c r="A491" s="152"/>
      <c r="B491" s="152"/>
      <c r="C491" s="152"/>
      <c r="D491" s="152"/>
    </row>
    <row r="492">
      <c r="A492" s="152"/>
      <c r="B492" s="152"/>
      <c r="C492" s="152"/>
      <c r="D492" s="152"/>
    </row>
    <row r="493">
      <c r="A493" s="152"/>
      <c r="B493" s="152"/>
      <c r="C493" s="152"/>
      <c r="D493" s="152"/>
    </row>
    <row r="494">
      <c r="A494" s="152"/>
      <c r="B494" s="152"/>
      <c r="C494" s="152"/>
      <c r="D494" s="152"/>
    </row>
    <row r="495">
      <c r="A495" s="152"/>
      <c r="B495" s="152"/>
      <c r="C495" s="152"/>
      <c r="D495" s="152"/>
    </row>
    <row r="496">
      <c r="A496" s="152"/>
      <c r="B496" s="152"/>
      <c r="C496" s="152"/>
      <c r="D496" s="152"/>
    </row>
    <row r="497">
      <c r="A497" s="152"/>
      <c r="B497" s="152"/>
      <c r="C497" s="152"/>
      <c r="D497" s="152"/>
    </row>
    <row r="498">
      <c r="A498" s="152"/>
      <c r="B498" s="152"/>
      <c r="C498" s="152"/>
      <c r="D498" s="152"/>
    </row>
    <row r="499">
      <c r="A499" s="152"/>
      <c r="B499" s="152"/>
      <c r="C499" s="152"/>
      <c r="D499" s="152"/>
    </row>
    <row r="500">
      <c r="A500" s="152"/>
      <c r="B500" s="152"/>
      <c r="C500" s="152"/>
      <c r="D500" s="152"/>
    </row>
    <row r="501">
      <c r="A501" s="152"/>
      <c r="B501" s="152"/>
      <c r="C501" s="152"/>
      <c r="D501" s="152"/>
    </row>
    <row r="502">
      <c r="A502" s="152"/>
      <c r="B502" s="152"/>
      <c r="C502" s="152"/>
      <c r="D502" s="152"/>
    </row>
    <row r="503">
      <c r="A503" s="152"/>
      <c r="B503" s="152"/>
      <c r="C503" s="152"/>
      <c r="D503" s="152"/>
    </row>
    <row r="504">
      <c r="A504" s="152"/>
      <c r="B504" s="152"/>
      <c r="C504" s="152"/>
      <c r="D504" s="152"/>
    </row>
    <row r="505">
      <c r="A505" s="152"/>
      <c r="B505" s="152"/>
      <c r="C505" s="152"/>
      <c r="D505" s="152"/>
    </row>
    <row r="506">
      <c r="A506" s="152"/>
      <c r="B506" s="152"/>
      <c r="C506" s="152"/>
      <c r="D506" s="152"/>
    </row>
    <row r="507">
      <c r="A507" s="152"/>
      <c r="B507" s="152"/>
      <c r="C507" s="152"/>
      <c r="D507" s="152"/>
    </row>
    <row r="508">
      <c r="A508" s="152"/>
      <c r="B508" s="152"/>
      <c r="C508" s="152"/>
      <c r="D508" s="152"/>
    </row>
    <row r="509">
      <c r="A509" s="152"/>
      <c r="B509" s="152"/>
      <c r="C509" s="152"/>
      <c r="D509" s="152"/>
    </row>
    <row r="510">
      <c r="A510" s="152"/>
      <c r="B510" s="152"/>
      <c r="C510" s="152"/>
      <c r="D510" s="152"/>
    </row>
    <row r="511">
      <c r="A511" s="152"/>
      <c r="B511" s="152"/>
      <c r="C511" s="152"/>
      <c r="D511" s="152"/>
    </row>
    <row r="512">
      <c r="A512" s="152"/>
      <c r="B512" s="152"/>
      <c r="C512" s="152"/>
      <c r="D512" s="152"/>
    </row>
    <row r="513">
      <c r="A513" s="152"/>
      <c r="B513" s="152"/>
      <c r="C513" s="152"/>
      <c r="D513" s="152"/>
    </row>
    <row r="514">
      <c r="A514" s="152"/>
      <c r="B514" s="152"/>
      <c r="C514" s="152"/>
      <c r="D514" s="152"/>
    </row>
    <row r="515">
      <c r="A515" s="152"/>
      <c r="B515" s="152"/>
      <c r="C515" s="152"/>
      <c r="D515" s="152"/>
    </row>
    <row r="516">
      <c r="A516" s="152"/>
      <c r="B516" s="152"/>
      <c r="C516" s="152"/>
      <c r="D516" s="152"/>
    </row>
    <row r="517">
      <c r="A517" s="152"/>
      <c r="B517" s="152"/>
      <c r="C517" s="152"/>
      <c r="D517" s="152"/>
    </row>
    <row r="518">
      <c r="A518" s="152"/>
      <c r="B518" s="152"/>
      <c r="C518" s="152"/>
      <c r="D518" s="152"/>
    </row>
    <row r="519">
      <c r="A519" s="152"/>
      <c r="B519" s="152"/>
      <c r="C519" s="152"/>
      <c r="D519" s="152"/>
    </row>
    <row r="520">
      <c r="A520" s="152"/>
      <c r="B520" s="152"/>
      <c r="C520" s="152"/>
      <c r="D520" s="152"/>
    </row>
    <row r="521">
      <c r="A521" s="152"/>
      <c r="B521" s="152"/>
      <c r="C521" s="152"/>
      <c r="D521" s="152"/>
    </row>
    <row r="522">
      <c r="A522" s="152"/>
      <c r="B522" s="152"/>
      <c r="C522" s="152"/>
      <c r="D522" s="152"/>
    </row>
    <row r="523">
      <c r="A523" s="152"/>
      <c r="B523" s="152"/>
      <c r="C523" s="152"/>
      <c r="D523" s="152"/>
    </row>
    <row r="524">
      <c r="A524" s="152"/>
      <c r="B524" s="152"/>
      <c r="C524" s="152"/>
      <c r="D524" s="152"/>
    </row>
    <row r="525">
      <c r="A525" s="152"/>
      <c r="B525" s="152"/>
      <c r="C525" s="152"/>
      <c r="D525" s="152"/>
    </row>
    <row r="526">
      <c r="A526" s="152"/>
      <c r="B526" s="152"/>
      <c r="C526" s="152"/>
      <c r="D526" s="152"/>
    </row>
    <row r="527">
      <c r="A527" s="152"/>
      <c r="B527" s="152"/>
      <c r="C527" s="152"/>
      <c r="D527" s="152"/>
    </row>
    <row r="528">
      <c r="A528" s="152"/>
      <c r="B528" s="152"/>
      <c r="C528" s="152"/>
      <c r="D528" s="152"/>
    </row>
    <row r="529">
      <c r="A529" s="152"/>
      <c r="B529" s="152"/>
      <c r="C529" s="152"/>
      <c r="D529" s="152"/>
    </row>
    <row r="530">
      <c r="A530" s="152"/>
      <c r="B530" s="152"/>
      <c r="C530" s="152"/>
      <c r="D530" s="152"/>
    </row>
    <row r="531">
      <c r="A531" s="152"/>
      <c r="B531" s="152"/>
      <c r="C531" s="152"/>
      <c r="D531" s="152"/>
    </row>
    <row r="532">
      <c r="A532" s="152"/>
      <c r="B532" s="152"/>
      <c r="C532" s="152"/>
      <c r="D532" s="152"/>
    </row>
    <row r="533">
      <c r="A533" s="152"/>
      <c r="B533" s="152"/>
      <c r="C533" s="152"/>
      <c r="D533" s="152"/>
    </row>
    <row r="534">
      <c r="A534" s="152"/>
      <c r="B534" s="152"/>
      <c r="C534" s="152"/>
      <c r="D534" s="152"/>
    </row>
    <row r="535">
      <c r="A535" s="152"/>
      <c r="B535" s="152"/>
      <c r="C535" s="152"/>
      <c r="D535" s="152"/>
    </row>
    <row r="536">
      <c r="A536" s="152"/>
      <c r="B536" s="152"/>
      <c r="C536" s="152"/>
      <c r="D536" s="152"/>
    </row>
    <row r="537">
      <c r="A537" s="152"/>
      <c r="B537" s="152"/>
      <c r="C537" s="152"/>
      <c r="D537" s="152"/>
    </row>
    <row r="538">
      <c r="A538" s="152"/>
      <c r="B538" s="152"/>
      <c r="C538" s="152"/>
      <c r="D538" s="152"/>
    </row>
    <row r="539">
      <c r="A539" s="152"/>
      <c r="B539" s="152"/>
      <c r="C539" s="152"/>
      <c r="D539" s="152"/>
    </row>
    <row r="540">
      <c r="A540" s="152"/>
      <c r="B540" s="152"/>
      <c r="C540" s="152"/>
      <c r="D540" s="152"/>
    </row>
    <row r="541">
      <c r="A541" s="152"/>
      <c r="B541" s="152"/>
      <c r="C541" s="152"/>
      <c r="D541" s="152"/>
    </row>
    <row r="542">
      <c r="A542" s="152"/>
      <c r="B542" s="152"/>
      <c r="C542" s="152"/>
      <c r="D542" s="152"/>
    </row>
    <row r="543">
      <c r="A543" s="152"/>
      <c r="B543" s="152"/>
      <c r="C543" s="152"/>
      <c r="D543" s="152"/>
    </row>
    <row r="544">
      <c r="A544" s="152"/>
      <c r="B544" s="152"/>
      <c r="C544" s="152"/>
      <c r="D544" s="152"/>
    </row>
    <row r="545">
      <c r="A545" s="152"/>
      <c r="B545" s="152"/>
      <c r="C545" s="152"/>
      <c r="D545" s="152"/>
    </row>
    <row r="546">
      <c r="A546" s="152"/>
      <c r="B546" s="152"/>
      <c r="C546" s="152"/>
      <c r="D546" s="152"/>
    </row>
    <row r="547">
      <c r="A547" s="152"/>
      <c r="B547" s="152"/>
      <c r="C547" s="152"/>
      <c r="D547" s="152"/>
    </row>
    <row r="548">
      <c r="A548" s="152"/>
      <c r="B548" s="152"/>
      <c r="C548" s="152"/>
      <c r="D548" s="152"/>
    </row>
    <row r="549">
      <c r="A549" s="152"/>
      <c r="B549" s="152"/>
      <c r="C549" s="152"/>
      <c r="D549" s="152"/>
    </row>
    <row r="550">
      <c r="A550" s="152"/>
      <c r="B550" s="152"/>
      <c r="C550" s="152"/>
      <c r="D550" s="152"/>
    </row>
    <row r="551">
      <c r="A551" s="152"/>
      <c r="B551" s="152"/>
      <c r="C551" s="152"/>
      <c r="D551" s="152"/>
    </row>
    <row r="552">
      <c r="A552" s="152"/>
      <c r="B552" s="152"/>
      <c r="C552" s="152"/>
      <c r="D552" s="152"/>
    </row>
    <row r="553">
      <c r="A553" s="152"/>
      <c r="B553" s="152"/>
      <c r="C553" s="152"/>
      <c r="D553" s="152"/>
    </row>
    <row r="554">
      <c r="A554" s="152"/>
      <c r="B554" s="152"/>
      <c r="C554" s="152"/>
      <c r="D554" s="152"/>
    </row>
    <row r="555">
      <c r="A555" s="152"/>
      <c r="B555" s="152"/>
      <c r="C555" s="152"/>
      <c r="D555" s="152"/>
    </row>
    <row r="556">
      <c r="A556" s="152"/>
      <c r="B556" s="152"/>
      <c r="C556" s="152"/>
      <c r="D556" s="152"/>
    </row>
    <row r="557">
      <c r="A557" s="152"/>
      <c r="B557" s="152"/>
      <c r="C557" s="152"/>
      <c r="D557" s="152"/>
    </row>
    <row r="558">
      <c r="A558" s="152"/>
      <c r="B558" s="152"/>
      <c r="C558" s="152"/>
      <c r="D558" s="152"/>
    </row>
    <row r="559">
      <c r="A559" s="152"/>
      <c r="B559" s="152"/>
      <c r="C559" s="152"/>
      <c r="D559" s="152"/>
    </row>
    <row r="560">
      <c r="A560" s="152"/>
      <c r="B560" s="152"/>
      <c r="C560" s="152"/>
      <c r="D560" s="152"/>
    </row>
    <row r="561">
      <c r="A561" s="152"/>
      <c r="B561" s="152"/>
      <c r="C561" s="152"/>
      <c r="D561" s="152"/>
    </row>
    <row r="562">
      <c r="A562" s="152"/>
      <c r="B562" s="152"/>
      <c r="C562" s="152"/>
      <c r="D562" s="152"/>
    </row>
    <row r="563">
      <c r="A563" s="152"/>
      <c r="B563" s="152"/>
      <c r="C563" s="152"/>
      <c r="D563" s="152"/>
    </row>
    <row r="564">
      <c r="A564" s="152"/>
      <c r="B564" s="152"/>
      <c r="C564" s="152"/>
      <c r="D564" s="152"/>
    </row>
    <row r="565">
      <c r="A565" s="152"/>
      <c r="B565" s="152"/>
      <c r="C565" s="152"/>
      <c r="D565" s="152"/>
    </row>
    <row r="566">
      <c r="A566" s="152"/>
      <c r="B566" s="152"/>
      <c r="C566" s="152"/>
      <c r="D566" s="152"/>
    </row>
    <row r="567">
      <c r="A567" s="152"/>
      <c r="B567" s="152"/>
      <c r="C567" s="152"/>
      <c r="D567" s="152"/>
    </row>
    <row r="568">
      <c r="A568" s="152"/>
      <c r="B568" s="152"/>
      <c r="C568" s="152"/>
      <c r="D568" s="152"/>
    </row>
    <row r="569">
      <c r="A569" s="152"/>
      <c r="B569" s="152"/>
      <c r="C569" s="152"/>
      <c r="D569" s="152"/>
    </row>
    <row r="570">
      <c r="A570" s="152"/>
      <c r="B570" s="152"/>
      <c r="C570" s="152"/>
      <c r="D570" s="152"/>
    </row>
    <row r="571">
      <c r="A571" s="152"/>
      <c r="B571" s="152"/>
      <c r="C571" s="152"/>
      <c r="D571" s="152"/>
    </row>
    <row r="572">
      <c r="A572" s="152"/>
      <c r="B572" s="152"/>
      <c r="C572" s="152"/>
      <c r="D572" s="152"/>
    </row>
    <row r="573">
      <c r="A573" s="152"/>
      <c r="B573" s="152"/>
      <c r="C573" s="152"/>
      <c r="D573" s="152"/>
    </row>
    <row r="574">
      <c r="A574" s="152"/>
      <c r="B574" s="152"/>
      <c r="C574" s="152"/>
      <c r="D574" s="152"/>
    </row>
    <row r="575">
      <c r="A575" s="152"/>
      <c r="B575" s="152"/>
      <c r="C575" s="152"/>
      <c r="D575" s="152"/>
    </row>
    <row r="576">
      <c r="A576" s="152"/>
      <c r="B576" s="152"/>
      <c r="C576" s="152"/>
      <c r="D576" s="152"/>
    </row>
    <row r="577">
      <c r="A577" s="152"/>
      <c r="B577" s="152"/>
      <c r="C577" s="152"/>
      <c r="D577" s="152"/>
    </row>
    <row r="578">
      <c r="A578" s="152"/>
      <c r="B578" s="152"/>
      <c r="C578" s="152"/>
      <c r="D578" s="152"/>
    </row>
    <row r="579">
      <c r="A579" s="152"/>
      <c r="B579" s="152"/>
      <c r="C579" s="152"/>
      <c r="D579" s="152"/>
    </row>
    <row r="580">
      <c r="A580" s="152"/>
      <c r="B580" s="152"/>
      <c r="C580" s="152"/>
      <c r="D580" s="152"/>
    </row>
    <row r="581">
      <c r="A581" s="152"/>
      <c r="B581" s="152"/>
      <c r="C581" s="152"/>
      <c r="D581" s="152"/>
    </row>
    <row r="582">
      <c r="A582" s="152"/>
      <c r="B582" s="152"/>
      <c r="C582" s="152"/>
      <c r="D582" s="152"/>
    </row>
    <row r="583">
      <c r="A583" s="152"/>
      <c r="B583" s="152"/>
      <c r="C583" s="152"/>
      <c r="D583" s="152"/>
    </row>
    <row r="584">
      <c r="A584" s="152"/>
      <c r="B584" s="152"/>
      <c r="C584" s="152"/>
      <c r="D584" s="152"/>
    </row>
    <row r="585">
      <c r="A585" s="152"/>
      <c r="B585" s="152"/>
      <c r="C585" s="152"/>
      <c r="D585" s="152"/>
    </row>
    <row r="586">
      <c r="A586" s="152"/>
      <c r="B586" s="152"/>
      <c r="C586" s="152"/>
      <c r="D586" s="152"/>
    </row>
    <row r="587">
      <c r="A587" s="152"/>
      <c r="B587" s="152"/>
      <c r="C587" s="152"/>
      <c r="D587" s="152"/>
    </row>
    <row r="588">
      <c r="A588" s="152"/>
      <c r="B588" s="152"/>
      <c r="C588" s="152"/>
      <c r="D588" s="152"/>
    </row>
    <row r="589">
      <c r="A589" s="152"/>
      <c r="B589" s="152"/>
      <c r="C589" s="152"/>
      <c r="D589" s="152"/>
    </row>
    <row r="590">
      <c r="A590" s="152"/>
      <c r="B590" s="152"/>
      <c r="C590" s="152"/>
      <c r="D590" s="152"/>
    </row>
    <row r="591">
      <c r="A591" s="152"/>
      <c r="B591" s="152"/>
      <c r="C591" s="152"/>
      <c r="D591" s="152"/>
    </row>
    <row r="592">
      <c r="A592" s="152"/>
      <c r="B592" s="152"/>
      <c r="C592" s="152"/>
      <c r="D592" s="152"/>
    </row>
    <row r="593">
      <c r="A593" s="152"/>
      <c r="B593" s="152"/>
      <c r="C593" s="152"/>
      <c r="D593" s="152"/>
    </row>
    <row r="594">
      <c r="A594" s="152"/>
      <c r="B594" s="152"/>
      <c r="C594" s="152"/>
      <c r="D594" s="152"/>
    </row>
    <row r="595">
      <c r="A595" s="152"/>
      <c r="B595" s="152"/>
      <c r="C595" s="152"/>
      <c r="D595" s="152"/>
    </row>
    <row r="596">
      <c r="A596" s="152"/>
      <c r="B596" s="152"/>
      <c r="C596" s="152"/>
      <c r="D596" s="152"/>
    </row>
    <row r="597">
      <c r="A597" s="152"/>
      <c r="B597" s="152"/>
      <c r="C597" s="152"/>
      <c r="D597" s="152"/>
    </row>
    <row r="598">
      <c r="A598" s="152"/>
      <c r="B598" s="152"/>
      <c r="C598" s="152"/>
      <c r="D598" s="152"/>
    </row>
    <row r="599">
      <c r="A599" s="152"/>
      <c r="B599" s="152"/>
      <c r="C599" s="152"/>
      <c r="D599" s="152"/>
    </row>
    <row r="600">
      <c r="A600" s="152"/>
      <c r="B600" s="152"/>
      <c r="C600" s="152"/>
      <c r="D600" s="152"/>
    </row>
    <row r="601">
      <c r="A601" s="152"/>
      <c r="B601" s="152"/>
      <c r="C601" s="152"/>
      <c r="D601" s="152"/>
    </row>
    <row r="602">
      <c r="A602" s="152"/>
      <c r="B602" s="152"/>
      <c r="C602" s="152"/>
      <c r="D602" s="152"/>
    </row>
    <row r="603">
      <c r="A603" s="152"/>
      <c r="B603" s="152"/>
      <c r="C603" s="152"/>
      <c r="D603" s="152"/>
    </row>
    <row r="604">
      <c r="A604" s="152"/>
      <c r="B604" s="152"/>
      <c r="C604" s="152"/>
      <c r="D604" s="152"/>
    </row>
    <row r="605">
      <c r="A605" s="152"/>
      <c r="B605" s="152"/>
      <c r="C605" s="152"/>
      <c r="D605" s="152"/>
    </row>
    <row r="606">
      <c r="A606" s="152"/>
      <c r="B606" s="152"/>
      <c r="C606" s="152"/>
      <c r="D606" s="152"/>
    </row>
    <row r="607">
      <c r="A607" s="152"/>
      <c r="B607" s="152"/>
      <c r="C607" s="152"/>
      <c r="D607" s="152"/>
    </row>
    <row r="608">
      <c r="A608" s="152"/>
      <c r="B608" s="152"/>
      <c r="C608" s="152"/>
      <c r="D608" s="152"/>
    </row>
    <row r="609">
      <c r="A609" s="152"/>
      <c r="B609" s="152"/>
      <c r="C609" s="152"/>
      <c r="D609" s="152"/>
    </row>
    <row r="610">
      <c r="A610" s="152"/>
      <c r="B610" s="152"/>
      <c r="C610" s="152"/>
      <c r="D610" s="152"/>
    </row>
    <row r="611">
      <c r="A611" s="152"/>
      <c r="B611" s="152"/>
      <c r="C611" s="152"/>
      <c r="D611" s="152"/>
    </row>
    <row r="612">
      <c r="A612" s="152"/>
      <c r="B612" s="152"/>
      <c r="C612" s="152"/>
      <c r="D612" s="152"/>
    </row>
    <row r="613">
      <c r="A613" s="152"/>
      <c r="B613" s="152"/>
      <c r="C613" s="152"/>
      <c r="D613" s="152"/>
    </row>
    <row r="614">
      <c r="A614" s="152"/>
      <c r="B614" s="152"/>
      <c r="C614" s="152"/>
      <c r="D614" s="152"/>
    </row>
    <row r="615">
      <c r="A615" s="152"/>
      <c r="B615" s="152"/>
      <c r="C615" s="152"/>
      <c r="D615" s="152"/>
    </row>
    <row r="616">
      <c r="A616" s="152"/>
      <c r="B616" s="152"/>
      <c r="C616" s="152"/>
      <c r="D616" s="152"/>
    </row>
    <row r="617">
      <c r="A617" s="152"/>
      <c r="B617" s="152"/>
      <c r="C617" s="152"/>
      <c r="D617" s="152"/>
    </row>
    <row r="618">
      <c r="A618" s="152"/>
      <c r="B618" s="152"/>
      <c r="C618" s="152"/>
      <c r="D618" s="152"/>
    </row>
    <row r="619">
      <c r="A619" s="152"/>
      <c r="B619" s="152"/>
      <c r="C619" s="152"/>
      <c r="D619" s="152"/>
    </row>
    <row r="620">
      <c r="A620" s="152"/>
      <c r="B620" s="152"/>
      <c r="C620" s="152"/>
      <c r="D620" s="152"/>
    </row>
    <row r="621">
      <c r="A621" s="152"/>
      <c r="B621" s="152"/>
      <c r="C621" s="152"/>
      <c r="D621" s="152"/>
    </row>
    <row r="622">
      <c r="A622" s="152"/>
      <c r="B622" s="152"/>
      <c r="C622" s="152"/>
      <c r="D622" s="152"/>
    </row>
    <row r="623">
      <c r="A623" s="152"/>
      <c r="B623" s="152"/>
      <c r="C623" s="152"/>
      <c r="D623" s="152"/>
    </row>
    <row r="624">
      <c r="A624" s="152"/>
      <c r="B624" s="152"/>
      <c r="C624" s="152"/>
      <c r="D624" s="152"/>
    </row>
    <row r="625">
      <c r="A625" s="152"/>
      <c r="B625" s="152"/>
      <c r="C625" s="152"/>
      <c r="D625" s="152"/>
    </row>
    <row r="626">
      <c r="A626" s="152"/>
      <c r="B626" s="152"/>
      <c r="C626" s="152"/>
      <c r="D626" s="152"/>
    </row>
    <row r="627">
      <c r="A627" s="152"/>
      <c r="B627" s="152"/>
      <c r="C627" s="152"/>
      <c r="D627" s="152"/>
    </row>
    <row r="628">
      <c r="A628" s="152"/>
      <c r="B628" s="152"/>
      <c r="C628" s="152"/>
      <c r="D628" s="152"/>
    </row>
    <row r="629">
      <c r="A629" s="152"/>
      <c r="B629" s="152"/>
      <c r="C629" s="152"/>
      <c r="D629" s="152"/>
    </row>
    <row r="630">
      <c r="A630" s="152"/>
      <c r="B630" s="152"/>
      <c r="C630" s="152"/>
      <c r="D630" s="152"/>
    </row>
    <row r="631">
      <c r="A631" s="152"/>
      <c r="B631" s="152"/>
      <c r="C631" s="152"/>
      <c r="D631" s="152"/>
    </row>
    <row r="632">
      <c r="A632" s="152"/>
      <c r="B632" s="152"/>
      <c r="C632" s="152"/>
      <c r="D632" s="152"/>
    </row>
    <row r="633">
      <c r="A633" s="152"/>
      <c r="B633" s="152"/>
      <c r="C633" s="152"/>
      <c r="D633" s="152"/>
    </row>
    <row r="634">
      <c r="A634" s="152"/>
      <c r="B634" s="152"/>
      <c r="C634" s="152"/>
      <c r="D634" s="152"/>
    </row>
    <row r="635">
      <c r="A635" s="152"/>
      <c r="B635" s="152"/>
      <c r="C635" s="152"/>
      <c r="D635" s="152"/>
    </row>
    <row r="636">
      <c r="A636" s="152"/>
      <c r="B636" s="152"/>
      <c r="C636" s="152"/>
      <c r="D636" s="152"/>
    </row>
    <row r="637">
      <c r="A637" s="152"/>
      <c r="B637" s="152"/>
      <c r="C637" s="152"/>
      <c r="D637" s="152"/>
    </row>
    <row r="638">
      <c r="A638" s="152"/>
      <c r="B638" s="152"/>
      <c r="C638" s="152"/>
      <c r="D638" s="152"/>
    </row>
    <row r="639">
      <c r="A639" s="152"/>
      <c r="B639" s="152"/>
      <c r="C639" s="152"/>
      <c r="D639" s="152"/>
    </row>
    <row r="640">
      <c r="A640" s="152"/>
      <c r="B640" s="152"/>
      <c r="C640" s="152"/>
      <c r="D640" s="152"/>
    </row>
    <row r="641">
      <c r="A641" s="152"/>
      <c r="B641" s="152"/>
      <c r="C641" s="152"/>
      <c r="D641" s="152"/>
    </row>
    <row r="642">
      <c r="A642" s="152"/>
      <c r="B642" s="152"/>
      <c r="C642" s="152"/>
      <c r="D642" s="152"/>
    </row>
    <row r="643">
      <c r="A643" s="152"/>
      <c r="B643" s="152"/>
      <c r="C643" s="152"/>
      <c r="D643" s="152"/>
    </row>
    <row r="644">
      <c r="A644" s="152"/>
      <c r="B644" s="152"/>
      <c r="C644" s="152"/>
      <c r="D644" s="152"/>
    </row>
    <row r="645">
      <c r="A645" s="152"/>
      <c r="B645" s="152"/>
      <c r="C645" s="152"/>
      <c r="D645" s="152"/>
    </row>
    <row r="646">
      <c r="A646" s="152"/>
      <c r="B646" s="152"/>
      <c r="C646" s="152"/>
      <c r="D646" s="152"/>
    </row>
    <row r="647">
      <c r="A647" s="152"/>
      <c r="B647" s="152"/>
      <c r="C647" s="152"/>
      <c r="D647" s="152"/>
    </row>
    <row r="648">
      <c r="A648" s="152"/>
      <c r="B648" s="152"/>
      <c r="C648" s="152"/>
      <c r="D648" s="152"/>
    </row>
    <row r="649">
      <c r="A649" s="152"/>
      <c r="B649" s="152"/>
      <c r="C649" s="152"/>
      <c r="D649" s="152"/>
    </row>
    <row r="650">
      <c r="A650" s="152"/>
      <c r="B650" s="152"/>
      <c r="C650" s="152"/>
      <c r="D650" s="152"/>
    </row>
    <row r="651">
      <c r="A651" s="152"/>
      <c r="B651" s="152"/>
      <c r="C651" s="152"/>
      <c r="D651" s="152"/>
    </row>
    <row r="652">
      <c r="A652" s="152"/>
      <c r="B652" s="152"/>
      <c r="C652" s="152"/>
      <c r="D652" s="152"/>
    </row>
    <row r="653">
      <c r="A653" s="152"/>
      <c r="B653" s="152"/>
      <c r="C653" s="152"/>
      <c r="D653" s="152"/>
    </row>
    <row r="654">
      <c r="A654" s="152"/>
      <c r="B654" s="152"/>
      <c r="C654" s="152"/>
      <c r="D654" s="152"/>
    </row>
    <row r="655">
      <c r="A655" s="152"/>
      <c r="B655" s="152"/>
      <c r="C655" s="152"/>
      <c r="D655" s="152"/>
    </row>
    <row r="656">
      <c r="A656" s="152"/>
      <c r="B656" s="152"/>
      <c r="C656" s="152"/>
      <c r="D656" s="152"/>
    </row>
    <row r="657">
      <c r="A657" s="152"/>
      <c r="B657" s="152"/>
      <c r="C657" s="152"/>
      <c r="D657" s="152"/>
    </row>
    <row r="658">
      <c r="A658" s="152"/>
      <c r="B658" s="152"/>
      <c r="C658" s="152"/>
      <c r="D658" s="152"/>
    </row>
    <row r="659">
      <c r="A659" s="152"/>
      <c r="B659" s="152"/>
      <c r="C659" s="152"/>
      <c r="D659" s="152"/>
    </row>
    <row r="660">
      <c r="A660" s="152"/>
      <c r="B660" s="152"/>
      <c r="C660" s="152"/>
      <c r="D660" s="152"/>
    </row>
    <row r="661">
      <c r="A661" s="152"/>
      <c r="B661" s="152"/>
      <c r="C661" s="152"/>
      <c r="D661" s="152"/>
    </row>
    <row r="662">
      <c r="A662" s="152"/>
      <c r="B662" s="152"/>
      <c r="C662" s="152"/>
      <c r="D662" s="152"/>
    </row>
    <row r="663">
      <c r="A663" s="152"/>
      <c r="B663" s="152"/>
      <c r="C663" s="152"/>
      <c r="D663" s="152"/>
    </row>
    <row r="664">
      <c r="A664" s="152"/>
      <c r="B664" s="152"/>
      <c r="C664" s="152"/>
      <c r="D664" s="152"/>
    </row>
    <row r="665">
      <c r="A665" s="152"/>
      <c r="B665" s="152"/>
      <c r="C665" s="152"/>
      <c r="D665" s="152"/>
    </row>
    <row r="666">
      <c r="A666" s="152"/>
      <c r="B666" s="152"/>
      <c r="C666" s="152"/>
      <c r="D666" s="152"/>
    </row>
    <row r="667">
      <c r="A667" s="152"/>
      <c r="B667" s="152"/>
      <c r="C667" s="152"/>
      <c r="D667" s="152"/>
    </row>
    <row r="668">
      <c r="A668" s="152"/>
      <c r="B668" s="152"/>
      <c r="C668" s="152"/>
      <c r="D668" s="152"/>
    </row>
    <row r="669">
      <c r="A669" s="152"/>
      <c r="B669" s="152"/>
      <c r="C669" s="152"/>
      <c r="D669" s="152"/>
    </row>
    <row r="670">
      <c r="A670" s="152"/>
      <c r="B670" s="152"/>
      <c r="C670" s="152"/>
      <c r="D670" s="152"/>
    </row>
    <row r="671">
      <c r="A671" s="152"/>
      <c r="B671" s="152"/>
      <c r="C671" s="152"/>
      <c r="D671" s="152"/>
    </row>
    <row r="672">
      <c r="A672" s="152"/>
      <c r="B672" s="152"/>
      <c r="C672" s="152"/>
      <c r="D672" s="152"/>
    </row>
    <row r="673">
      <c r="A673" s="152"/>
      <c r="B673" s="152"/>
      <c r="C673" s="152"/>
      <c r="D673" s="152"/>
    </row>
    <row r="674">
      <c r="A674" s="152"/>
      <c r="B674" s="152"/>
      <c r="C674" s="152"/>
      <c r="D674" s="152"/>
    </row>
    <row r="675">
      <c r="A675" s="152"/>
      <c r="B675" s="152"/>
      <c r="C675" s="152"/>
      <c r="D675" s="152"/>
    </row>
    <row r="676">
      <c r="A676" s="152"/>
      <c r="B676" s="152"/>
      <c r="C676" s="152"/>
      <c r="D676" s="152"/>
    </row>
    <row r="677">
      <c r="A677" s="152"/>
      <c r="B677" s="152"/>
      <c r="C677" s="152"/>
      <c r="D677" s="152"/>
    </row>
    <row r="678">
      <c r="A678" s="152"/>
      <c r="B678" s="152"/>
      <c r="C678" s="152"/>
      <c r="D678" s="152"/>
    </row>
    <row r="679">
      <c r="A679" s="152"/>
      <c r="B679" s="152"/>
      <c r="C679" s="152"/>
      <c r="D679" s="152"/>
    </row>
    <row r="680">
      <c r="A680" s="152"/>
      <c r="B680" s="152"/>
      <c r="C680" s="152"/>
      <c r="D680" s="152"/>
    </row>
    <row r="681">
      <c r="A681" s="152"/>
      <c r="B681" s="152"/>
      <c r="C681" s="152"/>
      <c r="D681" s="152"/>
    </row>
    <row r="682">
      <c r="A682" s="152"/>
      <c r="B682" s="152"/>
      <c r="C682" s="152"/>
      <c r="D682" s="152"/>
    </row>
    <row r="683">
      <c r="A683" s="152"/>
      <c r="B683" s="152"/>
      <c r="C683" s="152"/>
      <c r="D683" s="152"/>
    </row>
    <row r="684">
      <c r="A684" s="152"/>
      <c r="B684" s="152"/>
      <c r="C684" s="152"/>
      <c r="D684" s="152"/>
    </row>
    <row r="685">
      <c r="A685" s="152"/>
      <c r="B685" s="152"/>
      <c r="C685" s="152"/>
      <c r="D685" s="152"/>
    </row>
    <row r="686">
      <c r="A686" s="152"/>
      <c r="B686" s="152"/>
      <c r="C686" s="152"/>
      <c r="D686" s="152"/>
    </row>
    <row r="687">
      <c r="A687" s="152"/>
      <c r="B687" s="152"/>
      <c r="C687" s="152"/>
      <c r="D687" s="152"/>
    </row>
    <row r="688">
      <c r="A688" s="152"/>
      <c r="B688" s="152"/>
      <c r="C688" s="152"/>
      <c r="D688" s="152"/>
    </row>
    <row r="689">
      <c r="A689" s="152"/>
      <c r="B689" s="152"/>
      <c r="C689" s="152"/>
      <c r="D689" s="152"/>
    </row>
    <row r="690">
      <c r="A690" s="152"/>
      <c r="B690" s="152"/>
      <c r="C690" s="152"/>
      <c r="D690" s="152"/>
    </row>
    <row r="691">
      <c r="A691" s="152"/>
      <c r="B691" s="152"/>
      <c r="C691" s="152"/>
      <c r="D691" s="152"/>
    </row>
    <row r="692">
      <c r="A692" s="152"/>
      <c r="B692" s="152"/>
      <c r="C692" s="152"/>
      <c r="D692" s="152"/>
    </row>
    <row r="693">
      <c r="A693" s="152"/>
      <c r="B693" s="152"/>
      <c r="C693" s="152"/>
      <c r="D693" s="152"/>
    </row>
    <row r="694">
      <c r="A694" s="152"/>
      <c r="B694" s="152"/>
      <c r="C694" s="152"/>
      <c r="D694" s="152"/>
    </row>
    <row r="695">
      <c r="A695" s="152"/>
      <c r="B695" s="152"/>
      <c r="C695" s="152"/>
      <c r="D695" s="152"/>
    </row>
    <row r="696">
      <c r="A696" s="152"/>
      <c r="B696" s="152"/>
      <c r="C696" s="152"/>
      <c r="D696" s="152"/>
    </row>
    <row r="697">
      <c r="A697" s="152"/>
      <c r="B697" s="152"/>
      <c r="C697" s="152"/>
      <c r="D697" s="152"/>
    </row>
    <row r="698">
      <c r="A698" s="152"/>
      <c r="B698" s="152"/>
      <c r="C698" s="152"/>
      <c r="D698" s="152"/>
    </row>
    <row r="699">
      <c r="A699" s="152"/>
      <c r="B699" s="152"/>
      <c r="C699" s="152"/>
      <c r="D699" s="152"/>
    </row>
    <row r="700">
      <c r="A700" s="152"/>
      <c r="B700" s="152"/>
      <c r="C700" s="152"/>
      <c r="D700" s="152"/>
    </row>
    <row r="701">
      <c r="A701" s="152"/>
      <c r="B701" s="152"/>
      <c r="C701" s="152"/>
      <c r="D701" s="152"/>
    </row>
    <row r="702">
      <c r="A702" s="152"/>
      <c r="B702" s="152"/>
      <c r="C702" s="152"/>
      <c r="D702" s="152"/>
    </row>
    <row r="703">
      <c r="A703" s="152"/>
      <c r="B703" s="152"/>
      <c r="C703" s="152"/>
      <c r="D703" s="152"/>
    </row>
    <row r="704">
      <c r="A704" s="152"/>
      <c r="B704" s="152"/>
      <c r="C704" s="152"/>
      <c r="D704" s="152"/>
    </row>
    <row r="705">
      <c r="A705" s="152"/>
      <c r="B705" s="152"/>
      <c r="C705" s="152"/>
      <c r="D705" s="152"/>
    </row>
    <row r="706">
      <c r="A706" s="152"/>
      <c r="B706" s="152"/>
      <c r="C706" s="152"/>
      <c r="D706" s="152"/>
    </row>
    <row r="707">
      <c r="A707" s="152"/>
      <c r="B707" s="152"/>
      <c r="C707" s="152"/>
      <c r="D707" s="152"/>
    </row>
    <row r="708">
      <c r="A708" s="152"/>
      <c r="B708" s="152"/>
      <c r="C708" s="152"/>
      <c r="D708" s="152"/>
    </row>
    <row r="709">
      <c r="A709" s="152"/>
      <c r="B709" s="152"/>
      <c r="C709" s="152"/>
      <c r="D709" s="152"/>
    </row>
    <row r="710">
      <c r="A710" s="152"/>
      <c r="B710" s="152"/>
      <c r="C710" s="152"/>
      <c r="D710" s="152"/>
    </row>
    <row r="711">
      <c r="A711" s="152"/>
      <c r="B711" s="152"/>
      <c r="C711" s="152"/>
      <c r="D711" s="152"/>
    </row>
    <row r="712">
      <c r="A712" s="152"/>
      <c r="B712" s="152"/>
      <c r="C712" s="152"/>
      <c r="D712" s="152"/>
    </row>
    <row r="713">
      <c r="A713" s="152"/>
      <c r="B713" s="152"/>
      <c r="C713" s="152"/>
      <c r="D713" s="152"/>
    </row>
    <row r="714">
      <c r="A714" s="152"/>
      <c r="B714" s="152"/>
      <c r="C714" s="152"/>
      <c r="D714" s="152"/>
    </row>
    <row r="715">
      <c r="A715" s="152"/>
      <c r="B715" s="152"/>
      <c r="C715" s="152"/>
      <c r="D715" s="152"/>
    </row>
    <row r="716">
      <c r="A716" s="152"/>
      <c r="B716" s="152"/>
      <c r="C716" s="152"/>
      <c r="D716" s="152"/>
    </row>
    <row r="717">
      <c r="A717" s="152"/>
      <c r="B717" s="152"/>
      <c r="C717" s="152"/>
      <c r="D717" s="152"/>
    </row>
    <row r="718">
      <c r="A718" s="152"/>
      <c r="B718" s="152"/>
      <c r="C718" s="152"/>
      <c r="D718" s="152"/>
    </row>
    <row r="719">
      <c r="A719" s="152"/>
      <c r="B719" s="152"/>
      <c r="C719" s="152"/>
      <c r="D719" s="152"/>
    </row>
    <row r="720">
      <c r="A720" s="152"/>
      <c r="B720" s="152"/>
      <c r="C720" s="152"/>
      <c r="D720" s="152"/>
    </row>
    <row r="721">
      <c r="A721" s="152"/>
      <c r="B721" s="152"/>
      <c r="C721" s="152"/>
      <c r="D721" s="152"/>
    </row>
    <row r="722">
      <c r="A722" s="152"/>
      <c r="B722" s="152"/>
      <c r="C722" s="152"/>
      <c r="D722" s="152"/>
    </row>
    <row r="723">
      <c r="A723" s="152"/>
      <c r="B723" s="152"/>
      <c r="C723" s="152"/>
      <c r="D723" s="152"/>
    </row>
    <row r="724">
      <c r="A724" s="152"/>
      <c r="B724" s="152"/>
      <c r="C724" s="152"/>
      <c r="D724" s="152"/>
    </row>
    <row r="725">
      <c r="A725" s="152"/>
      <c r="B725" s="152"/>
      <c r="C725" s="152"/>
      <c r="D725" s="152"/>
    </row>
    <row r="726">
      <c r="A726" s="152"/>
      <c r="B726" s="152"/>
      <c r="C726" s="152"/>
      <c r="D726" s="152"/>
    </row>
    <row r="727">
      <c r="A727" s="152"/>
      <c r="B727" s="152"/>
      <c r="C727" s="152"/>
      <c r="D727" s="152"/>
    </row>
    <row r="728">
      <c r="A728" s="152"/>
      <c r="B728" s="152"/>
      <c r="C728" s="152"/>
      <c r="D728" s="152"/>
    </row>
    <row r="729">
      <c r="A729" s="152"/>
      <c r="B729" s="152"/>
      <c r="C729" s="152"/>
      <c r="D729" s="152"/>
    </row>
    <row r="730">
      <c r="A730" s="152"/>
      <c r="B730" s="152"/>
      <c r="C730" s="152"/>
      <c r="D730" s="152"/>
    </row>
    <row r="731">
      <c r="A731" s="152"/>
      <c r="B731" s="152"/>
      <c r="C731" s="152"/>
      <c r="D731" s="152"/>
    </row>
    <row r="732">
      <c r="A732" s="152"/>
      <c r="B732" s="152"/>
      <c r="C732" s="152"/>
      <c r="D732" s="152"/>
    </row>
    <row r="733">
      <c r="A733" s="152"/>
      <c r="B733" s="152"/>
      <c r="C733" s="152"/>
      <c r="D733" s="152"/>
    </row>
    <row r="734">
      <c r="A734" s="152"/>
      <c r="B734" s="152"/>
      <c r="C734" s="152"/>
      <c r="D734" s="152"/>
    </row>
    <row r="735">
      <c r="A735" s="152"/>
      <c r="B735" s="152"/>
      <c r="C735" s="152"/>
      <c r="D735" s="152"/>
    </row>
    <row r="736">
      <c r="A736" s="152"/>
      <c r="B736" s="152"/>
      <c r="C736" s="152"/>
      <c r="D736" s="152"/>
    </row>
    <row r="737">
      <c r="A737" s="152"/>
      <c r="B737" s="152"/>
      <c r="C737" s="152"/>
      <c r="D737" s="152"/>
    </row>
    <row r="738">
      <c r="A738" s="152"/>
      <c r="B738" s="152"/>
      <c r="C738" s="152"/>
      <c r="D738" s="152"/>
    </row>
    <row r="739">
      <c r="A739" s="152"/>
      <c r="B739" s="152"/>
      <c r="C739" s="152"/>
      <c r="D739" s="152"/>
    </row>
    <row r="740">
      <c r="A740" s="152"/>
      <c r="B740" s="152"/>
      <c r="C740" s="152"/>
      <c r="D740" s="152"/>
    </row>
    <row r="741">
      <c r="A741" s="152"/>
      <c r="B741" s="152"/>
      <c r="C741" s="152"/>
      <c r="D741" s="152"/>
    </row>
    <row r="742">
      <c r="A742" s="152"/>
      <c r="B742" s="152"/>
      <c r="C742" s="152"/>
      <c r="D742" s="152"/>
    </row>
    <row r="743">
      <c r="A743" s="152"/>
      <c r="B743" s="152"/>
      <c r="C743" s="152"/>
      <c r="D743" s="152"/>
    </row>
    <row r="744">
      <c r="A744" s="152"/>
      <c r="B744" s="152"/>
      <c r="C744" s="152"/>
      <c r="D744" s="152"/>
    </row>
    <row r="745">
      <c r="A745" s="152"/>
      <c r="B745" s="152"/>
      <c r="C745" s="152"/>
      <c r="D745" s="152"/>
    </row>
    <row r="746">
      <c r="A746" s="152"/>
      <c r="B746" s="152"/>
      <c r="C746" s="152"/>
      <c r="D746" s="152"/>
    </row>
    <row r="747">
      <c r="A747" s="152"/>
      <c r="B747" s="152"/>
      <c r="C747" s="152"/>
      <c r="D747" s="152"/>
    </row>
    <row r="748">
      <c r="A748" s="152"/>
      <c r="B748" s="152"/>
      <c r="C748" s="152"/>
      <c r="D748" s="152"/>
    </row>
    <row r="749">
      <c r="A749" s="152"/>
      <c r="B749" s="152"/>
      <c r="C749" s="152"/>
      <c r="D749" s="152"/>
    </row>
    <row r="750">
      <c r="A750" s="152"/>
      <c r="B750" s="152"/>
      <c r="C750" s="152"/>
      <c r="D750" s="152"/>
    </row>
    <row r="751">
      <c r="A751" s="152"/>
      <c r="B751" s="152"/>
      <c r="C751" s="152"/>
      <c r="D751" s="152"/>
    </row>
    <row r="752">
      <c r="A752" s="152"/>
      <c r="B752" s="152"/>
      <c r="C752" s="152"/>
      <c r="D752" s="152"/>
    </row>
    <row r="753">
      <c r="A753" s="152"/>
      <c r="B753" s="152"/>
      <c r="C753" s="152"/>
      <c r="D753" s="152"/>
    </row>
    <row r="754">
      <c r="A754" s="152"/>
      <c r="B754" s="152"/>
      <c r="C754" s="152"/>
      <c r="D754" s="152"/>
    </row>
    <row r="755">
      <c r="A755" s="152"/>
      <c r="B755" s="152"/>
      <c r="C755" s="152"/>
      <c r="D755" s="152"/>
    </row>
    <row r="756">
      <c r="A756" s="152"/>
      <c r="B756" s="152"/>
      <c r="C756" s="152"/>
      <c r="D756" s="152"/>
    </row>
    <row r="757">
      <c r="A757" s="152"/>
      <c r="B757" s="152"/>
      <c r="C757" s="152"/>
      <c r="D757" s="152"/>
    </row>
    <row r="758">
      <c r="A758" s="152"/>
      <c r="B758" s="152"/>
      <c r="C758" s="152"/>
      <c r="D758" s="152"/>
    </row>
    <row r="759">
      <c r="A759" s="152"/>
      <c r="B759" s="152"/>
      <c r="C759" s="152"/>
      <c r="D759" s="152"/>
    </row>
    <row r="760">
      <c r="A760" s="152"/>
      <c r="B760" s="152"/>
      <c r="C760" s="152"/>
      <c r="D760" s="152"/>
    </row>
    <row r="761">
      <c r="A761" s="152"/>
      <c r="B761" s="152"/>
      <c r="C761" s="152"/>
      <c r="D761" s="152"/>
    </row>
    <row r="762">
      <c r="A762" s="152"/>
      <c r="B762" s="152"/>
      <c r="C762" s="152"/>
      <c r="D762" s="152"/>
    </row>
    <row r="763">
      <c r="A763" s="152"/>
      <c r="B763" s="152"/>
      <c r="C763" s="152"/>
      <c r="D763" s="152"/>
    </row>
    <row r="764">
      <c r="A764" s="152"/>
      <c r="B764" s="152"/>
      <c r="C764" s="152"/>
      <c r="D764" s="152"/>
    </row>
    <row r="765">
      <c r="A765" s="152"/>
      <c r="B765" s="152"/>
      <c r="C765" s="152"/>
      <c r="D765" s="152"/>
    </row>
    <row r="766">
      <c r="A766" s="152"/>
      <c r="B766" s="152"/>
      <c r="C766" s="152"/>
      <c r="D766" s="152"/>
    </row>
    <row r="767">
      <c r="A767" s="152"/>
      <c r="B767" s="152"/>
      <c r="C767" s="152"/>
      <c r="D767" s="152"/>
    </row>
    <row r="768">
      <c r="A768" s="152"/>
      <c r="B768" s="152"/>
      <c r="C768" s="152"/>
      <c r="D768" s="152"/>
    </row>
    <row r="769">
      <c r="A769" s="152"/>
      <c r="B769" s="152"/>
      <c r="C769" s="152"/>
      <c r="D769" s="152"/>
    </row>
    <row r="770">
      <c r="A770" s="152"/>
      <c r="B770" s="152"/>
      <c r="C770" s="152"/>
      <c r="D770" s="152"/>
    </row>
    <row r="771">
      <c r="A771" s="152"/>
      <c r="B771" s="152"/>
      <c r="C771" s="152"/>
      <c r="D771" s="152"/>
    </row>
    <row r="772">
      <c r="A772" s="152"/>
      <c r="B772" s="152"/>
      <c r="C772" s="152"/>
      <c r="D772" s="152"/>
    </row>
    <row r="773">
      <c r="A773" s="152"/>
      <c r="B773" s="152"/>
      <c r="C773" s="152"/>
      <c r="D773" s="152"/>
    </row>
    <row r="774">
      <c r="A774" s="152"/>
      <c r="B774" s="152"/>
      <c r="C774" s="152"/>
      <c r="D774" s="152"/>
    </row>
    <row r="775">
      <c r="A775" s="152"/>
      <c r="B775" s="152"/>
      <c r="C775" s="152"/>
      <c r="D775" s="152"/>
    </row>
    <row r="776">
      <c r="A776" s="152"/>
      <c r="B776" s="152"/>
      <c r="C776" s="152"/>
      <c r="D776" s="152"/>
    </row>
    <row r="777">
      <c r="A777" s="152"/>
      <c r="B777" s="152"/>
      <c r="C777" s="152"/>
      <c r="D777" s="152"/>
    </row>
    <row r="778">
      <c r="A778" s="152"/>
      <c r="B778" s="152"/>
      <c r="C778" s="152"/>
      <c r="D778" s="152"/>
    </row>
    <row r="779">
      <c r="A779" s="152"/>
      <c r="B779" s="152"/>
      <c r="C779" s="152"/>
      <c r="D779" s="152"/>
    </row>
    <row r="780">
      <c r="A780" s="152"/>
      <c r="B780" s="152"/>
      <c r="C780" s="152"/>
      <c r="D780" s="152"/>
    </row>
    <row r="781">
      <c r="A781" s="152"/>
      <c r="B781" s="152"/>
      <c r="C781" s="152"/>
      <c r="D781" s="152"/>
    </row>
    <row r="782">
      <c r="A782" s="152"/>
      <c r="B782" s="152"/>
      <c r="C782" s="152"/>
      <c r="D782" s="152"/>
    </row>
    <row r="783">
      <c r="A783" s="152"/>
      <c r="B783" s="152"/>
      <c r="C783" s="152"/>
      <c r="D783" s="152"/>
    </row>
    <row r="784">
      <c r="A784" s="152"/>
      <c r="B784" s="152"/>
      <c r="C784" s="152"/>
      <c r="D784" s="152"/>
    </row>
    <row r="785">
      <c r="A785" s="152"/>
      <c r="B785" s="152"/>
      <c r="C785" s="152"/>
      <c r="D785" s="152"/>
    </row>
    <row r="786">
      <c r="A786" s="152"/>
      <c r="B786" s="152"/>
      <c r="C786" s="152"/>
      <c r="D786" s="152"/>
    </row>
    <row r="787">
      <c r="A787" s="152"/>
      <c r="B787" s="152"/>
      <c r="C787" s="152"/>
      <c r="D787" s="152"/>
    </row>
    <row r="788">
      <c r="A788" s="152"/>
      <c r="B788" s="152"/>
      <c r="C788" s="152"/>
      <c r="D788" s="152"/>
    </row>
    <row r="789">
      <c r="A789" s="152"/>
      <c r="B789" s="152"/>
      <c r="C789" s="152"/>
      <c r="D789" s="152"/>
    </row>
    <row r="790">
      <c r="A790" s="152"/>
      <c r="B790" s="152"/>
      <c r="C790" s="152"/>
      <c r="D790" s="152"/>
    </row>
    <row r="791">
      <c r="A791" s="152"/>
      <c r="B791" s="152"/>
      <c r="C791" s="152"/>
      <c r="D791" s="152"/>
    </row>
    <row r="792">
      <c r="A792" s="152"/>
      <c r="B792" s="152"/>
      <c r="C792" s="152"/>
      <c r="D792" s="152"/>
    </row>
    <row r="793">
      <c r="A793" s="152"/>
      <c r="B793" s="152"/>
      <c r="C793" s="152"/>
      <c r="D793" s="152"/>
    </row>
    <row r="794">
      <c r="A794" s="152"/>
      <c r="B794" s="152"/>
      <c r="C794" s="152"/>
      <c r="D794" s="152"/>
    </row>
    <row r="795">
      <c r="A795" s="152"/>
      <c r="B795" s="152"/>
      <c r="C795" s="152"/>
      <c r="D795" s="152"/>
    </row>
    <row r="796">
      <c r="A796" s="152"/>
      <c r="B796" s="152"/>
      <c r="C796" s="152"/>
      <c r="D796" s="152"/>
    </row>
    <row r="797">
      <c r="A797" s="152"/>
      <c r="B797" s="152"/>
      <c r="C797" s="152"/>
      <c r="D797" s="152"/>
    </row>
    <row r="798">
      <c r="A798" s="152"/>
      <c r="B798" s="152"/>
      <c r="C798" s="152"/>
      <c r="D798" s="152"/>
    </row>
    <row r="799">
      <c r="A799" s="152"/>
      <c r="B799" s="152"/>
      <c r="C799" s="152"/>
      <c r="D799" s="152"/>
    </row>
    <row r="800">
      <c r="A800" s="152"/>
      <c r="B800" s="152"/>
      <c r="C800" s="152"/>
      <c r="D800" s="152"/>
    </row>
    <row r="801">
      <c r="A801" s="152"/>
      <c r="B801" s="152"/>
      <c r="C801" s="152"/>
      <c r="D801" s="152"/>
    </row>
    <row r="802">
      <c r="A802" s="152"/>
      <c r="B802" s="152"/>
      <c r="C802" s="152"/>
      <c r="D802" s="152"/>
    </row>
    <row r="803">
      <c r="A803" s="152"/>
      <c r="B803" s="152"/>
      <c r="C803" s="152"/>
      <c r="D803" s="152"/>
    </row>
    <row r="804">
      <c r="A804" s="152"/>
      <c r="B804" s="152"/>
      <c r="C804" s="152"/>
      <c r="D804" s="152"/>
    </row>
    <row r="805">
      <c r="A805" s="152"/>
      <c r="B805" s="152"/>
      <c r="C805" s="152"/>
      <c r="D805" s="152"/>
    </row>
    <row r="806">
      <c r="A806" s="152"/>
      <c r="B806" s="152"/>
      <c r="C806" s="152"/>
      <c r="D806" s="152"/>
    </row>
    <row r="807">
      <c r="A807" s="152"/>
      <c r="B807" s="152"/>
      <c r="C807" s="152"/>
      <c r="D807" s="152"/>
    </row>
    <row r="808">
      <c r="A808" s="152"/>
      <c r="B808" s="152"/>
      <c r="C808" s="152"/>
      <c r="D808" s="152"/>
    </row>
    <row r="809">
      <c r="A809" s="152"/>
      <c r="B809" s="152"/>
      <c r="C809" s="152"/>
      <c r="D809" s="152"/>
    </row>
    <row r="810">
      <c r="A810" s="152"/>
      <c r="B810" s="152"/>
      <c r="C810" s="152"/>
      <c r="D810" s="152"/>
    </row>
    <row r="811">
      <c r="A811" s="152"/>
      <c r="B811" s="152"/>
      <c r="C811" s="152"/>
      <c r="D811" s="152"/>
    </row>
    <row r="812">
      <c r="A812" s="152"/>
      <c r="B812" s="152"/>
      <c r="C812" s="152"/>
      <c r="D812" s="152"/>
    </row>
    <row r="813">
      <c r="A813" s="152"/>
      <c r="B813" s="152"/>
      <c r="C813" s="152"/>
      <c r="D813" s="152"/>
    </row>
    <row r="814">
      <c r="A814" s="152"/>
      <c r="B814" s="152"/>
      <c r="C814" s="152"/>
      <c r="D814" s="152"/>
    </row>
    <row r="815">
      <c r="A815" s="152"/>
      <c r="B815" s="152"/>
      <c r="C815" s="152"/>
      <c r="D815" s="152"/>
    </row>
    <row r="816">
      <c r="A816" s="152"/>
      <c r="B816" s="152"/>
      <c r="C816" s="152"/>
      <c r="D816" s="152"/>
    </row>
    <row r="817">
      <c r="A817" s="152"/>
      <c r="B817" s="152"/>
      <c r="C817" s="152"/>
      <c r="D817" s="152"/>
    </row>
    <row r="818">
      <c r="A818" s="152"/>
      <c r="B818" s="152"/>
      <c r="C818" s="152"/>
      <c r="D818" s="152"/>
    </row>
    <row r="819">
      <c r="A819" s="152"/>
      <c r="B819" s="152"/>
      <c r="C819" s="152"/>
      <c r="D819" s="152"/>
    </row>
    <row r="820">
      <c r="A820" s="152"/>
      <c r="B820" s="152"/>
      <c r="C820" s="152"/>
      <c r="D820" s="152"/>
    </row>
    <row r="821">
      <c r="A821" s="152"/>
      <c r="B821" s="152"/>
      <c r="C821" s="152"/>
      <c r="D821" s="152"/>
    </row>
    <row r="822">
      <c r="A822" s="152"/>
      <c r="B822" s="152"/>
      <c r="C822" s="152"/>
      <c r="D822" s="152"/>
    </row>
    <row r="823">
      <c r="A823" s="152"/>
      <c r="B823" s="152"/>
      <c r="C823" s="152"/>
      <c r="D823" s="152"/>
    </row>
    <row r="824">
      <c r="A824" s="152"/>
      <c r="B824" s="152"/>
      <c r="C824" s="152"/>
      <c r="D824" s="152"/>
    </row>
    <row r="825">
      <c r="A825" s="152"/>
      <c r="B825" s="152"/>
      <c r="C825" s="152"/>
      <c r="D825" s="152"/>
    </row>
    <row r="826">
      <c r="A826" s="152"/>
      <c r="B826" s="152"/>
      <c r="C826" s="152"/>
      <c r="D826" s="152"/>
    </row>
    <row r="827">
      <c r="A827" s="152"/>
      <c r="B827" s="152"/>
      <c r="C827" s="152"/>
      <c r="D827" s="152"/>
    </row>
    <row r="828">
      <c r="A828" s="152"/>
      <c r="B828" s="152"/>
      <c r="C828" s="152"/>
      <c r="D828" s="152"/>
    </row>
    <row r="829">
      <c r="A829" s="152"/>
      <c r="B829" s="152"/>
      <c r="C829" s="152"/>
      <c r="D829" s="152"/>
    </row>
    <row r="830">
      <c r="A830" s="152"/>
      <c r="B830" s="152"/>
      <c r="C830" s="152"/>
      <c r="D830" s="152"/>
    </row>
    <row r="831">
      <c r="A831" s="152"/>
      <c r="B831" s="152"/>
      <c r="C831" s="152"/>
      <c r="D831" s="152"/>
    </row>
    <row r="832">
      <c r="A832" s="152"/>
      <c r="B832" s="152"/>
      <c r="C832" s="152"/>
      <c r="D832" s="152"/>
    </row>
    <row r="833">
      <c r="A833" s="152"/>
      <c r="B833" s="152"/>
      <c r="C833" s="152"/>
      <c r="D833" s="152"/>
    </row>
    <row r="834">
      <c r="A834" s="152"/>
      <c r="B834" s="152"/>
      <c r="C834" s="152"/>
      <c r="D834" s="152"/>
    </row>
    <row r="835">
      <c r="A835" s="152"/>
      <c r="B835" s="152"/>
      <c r="C835" s="152"/>
      <c r="D835" s="152"/>
    </row>
    <row r="836">
      <c r="A836" s="152"/>
      <c r="B836" s="152"/>
      <c r="C836" s="152"/>
      <c r="D836" s="152"/>
    </row>
    <row r="837">
      <c r="A837" s="152"/>
      <c r="B837" s="152"/>
      <c r="C837" s="152"/>
      <c r="D837" s="152"/>
    </row>
    <row r="838">
      <c r="A838" s="152"/>
      <c r="B838" s="152"/>
      <c r="C838" s="152"/>
      <c r="D838" s="152"/>
    </row>
    <row r="839">
      <c r="A839" s="152"/>
      <c r="B839" s="152"/>
      <c r="C839" s="152"/>
      <c r="D839" s="152"/>
    </row>
    <row r="840">
      <c r="A840" s="152"/>
      <c r="B840" s="152"/>
      <c r="C840" s="152"/>
      <c r="D840" s="152"/>
    </row>
    <row r="841">
      <c r="A841" s="152"/>
      <c r="B841" s="152"/>
      <c r="C841" s="152"/>
      <c r="D841" s="152"/>
    </row>
    <row r="842">
      <c r="A842" s="152"/>
      <c r="B842" s="152"/>
      <c r="C842" s="152"/>
      <c r="D842" s="152"/>
    </row>
    <row r="843">
      <c r="A843" s="152"/>
      <c r="B843" s="152"/>
      <c r="C843" s="152"/>
      <c r="D843" s="152"/>
    </row>
    <row r="844">
      <c r="A844" s="152"/>
      <c r="B844" s="152"/>
      <c r="C844" s="152"/>
      <c r="D844" s="152"/>
    </row>
    <row r="845">
      <c r="A845" s="152"/>
      <c r="B845" s="152"/>
      <c r="C845" s="152"/>
      <c r="D845" s="152"/>
    </row>
    <row r="846">
      <c r="A846" s="152"/>
      <c r="B846" s="152"/>
      <c r="C846" s="152"/>
      <c r="D846" s="152"/>
    </row>
    <row r="847">
      <c r="A847" s="152"/>
      <c r="B847" s="152"/>
      <c r="C847" s="152"/>
      <c r="D847" s="152"/>
    </row>
    <row r="848">
      <c r="A848" s="152"/>
      <c r="B848" s="152"/>
      <c r="C848" s="152"/>
      <c r="D848" s="152"/>
    </row>
    <row r="849">
      <c r="A849" s="152"/>
      <c r="B849" s="152"/>
      <c r="C849" s="152"/>
      <c r="D849" s="152"/>
    </row>
    <row r="850">
      <c r="A850" s="152"/>
      <c r="B850" s="152"/>
      <c r="C850" s="152"/>
      <c r="D850" s="152"/>
    </row>
    <row r="851">
      <c r="A851" s="152"/>
      <c r="B851" s="152"/>
      <c r="C851" s="152"/>
      <c r="D851" s="152"/>
    </row>
    <row r="852">
      <c r="A852" s="152"/>
      <c r="B852" s="152"/>
      <c r="C852" s="152"/>
      <c r="D852" s="152"/>
    </row>
    <row r="853">
      <c r="A853" s="152"/>
      <c r="B853" s="152"/>
      <c r="C853" s="152"/>
      <c r="D853" s="152"/>
    </row>
    <row r="854">
      <c r="A854" s="152"/>
      <c r="B854" s="152"/>
      <c r="C854" s="152"/>
      <c r="D854" s="152"/>
    </row>
    <row r="855">
      <c r="A855" s="152"/>
      <c r="B855" s="152"/>
      <c r="C855" s="152"/>
      <c r="D855" s="152"/>
    </row>
    <row r="856">
      <c r="A856" s="152"/>
      <c r="B856" s="152"/>
      <c r="C856" s="152"/>
      <c r="D856" s="152"/>
    </row>
    <row r="857">
      <c r="A857" s="152"/>
      <c r="B857" s="152"/>
      <c r="C857" s="152"/>
      <c r="D857" s="152"/>
    </row>
    <row r="858">
      <c r="A858" s="152"/>
      <c r="B858" s="152"/>
      <c r="C858" s="152"/>
      <c r="D858" s="152"/>
    </row>
    <row r="859">
      <c r="A859" s="152"/>
      <c r="B859" s="152"/>
      <c r="C859" s="152"/>
      <c r="D859" s="152"/>
    </row>
    <row r="860">
      <c r="A860" s="152"/>
      <c r="B860" s="152"/>
      <c r="C860" s="152"/>
      <c r="D860" s="152"/>
    </row>
    <row r="861">
      <c r="A861" s="152"/>
      <c r="B861" s="152"/>
      <c r="C861" s="152"/>
      <c r="D861" s="152"/>
    </row>
    <row r="862">
      <c r="A862" s="152"/>
      <c r="B862" s="152"/>
      <c r="C862" s="152"/>
      <c r="D862" s="152"/>
    </row>
    <row r="863">
      <c r="A863" s="152"/>
      <c r="B863" s="152"/>
      <c r="C863" s="152"/>
      <c r="D863" s="152"/>
    </row>
    <row r="864">
      <c r="A864" s="152"/>
      <c r="B864" s="152"/>
      <c r="C864" s="152"/>
      <c r="D864" s="152"/>
    </row>
    <row r="865">
      <c r="A865" s="152"/>
      <c r="B865" s="152"/>
      <c r="C865" s="152"/>
      <c r="D865" s="152"/>
    </row>
    <row r="866">
      <c r="A866" s="152"/>
      <c r="B866" s="152"/>
      <c r="C866" s="152"/>
      <c r="D866" s="152"/>
    </row>
    <row r="867">
      <c r="A867" s="152"/>
      <c r="B867" s="152"/>
      <c r="C867" s="152"/>
      <c r="D867" s="152"/>
    </row>
    <row r="868">
      <c r="A868" s="152"/>
      <c r="B868" s="152"/>
      <c r="C868" s="152"/>
      <c r="D868" s="152"/>
    </row>
    <row r="869">
      <c r="A869" s="152"/>
      <c r="B869" s="152"/>
      <c r="C869" s="152"/>
      <c r="D869" s="152"/>
    </row>
    <row r="870">
      <c r="A870" s="152"/>
      <c r="B870" s="152"/>
      <c r="C870" s="152"/>
      <c r="D870" s="152"/>
    </row>
    <row r="871">
      <c r="A871" s="152"/>
      <c r="B871" s="152"/>
      <c r="C871" s="152"/>
      <c r="D871" s="152"/>
    </row>
    <row r="872">
      <c r="A872" s="152"/>
      <c r="B872" s="152"/>
      <c r="C872" s="152"/>
      <c r="D872" s="152"/>
    </row>
    <row r="873">
      <c r="A873" s="152"/>
      <c r="B873" s="152"/>
      <c r="C873" s="152"/>
      <c r="D873" s="152"/>
    </row>
    <row r="874">
      <c r="A874" s="152"/>
      <c r="B874" s="152"/>
      <c r="C874" s="152"/>
      <c r="D874" s="152"/>
    </row>
    <row r="875">
      <c r="A875" s="152"/>
      <c r="B875" s="152"/>
      <c r="C875" s="152"/>
      <c r="D875" s="152"/>
    </row>
    <row r="876">
      <c r="A876" s="152"/>
      <c r="B876" s="152"/>
      <c r="C876" s="152"/>
      <c r="D876" s="152"/>
    </row>
    <row r="877">
      <c r="A877" s="152"/>
      <c r="B877" s="152"/>
      <c r="C877" s="152"/>
      <c r="D877" s="152"/>
    </row>
    <row r="878">
      <c r="A878" s="152"/>
      <c r="B878" s="152"/>
      <c r="C878" s="152"/>
      <c r="D878" s="152"/>
    </row>
    <row r="879">
      <c r="A879" s="152"/>
      <c r="B879" s="152"/>
      <c r="C879" s="152"/>
      <c r="D879" s="152"/>
    </row>
    <row r="880">
      <c r="A880" s="152"/>
      <c r="B880" s="152"/>
      <c r="C880" s="152"/>
      <c r="D880" s="152"/>
    </row>
    <row r="881">
      <c r="A881" s="152"/>
      <c r="B881" s="152"/>
      <c r="C881" s="152"/>
      <c r="D881" s="152"/>
    </row>
    <row r="882">
      <c r="A882" s="152"/>
      <c r="B882" s="152"/>
      <c r="C882" s="152"/>
      <c r="D882" s="152"/>
    </row>
    <row r="883">
      <c r="A883" s="152"/>
      <c r="B883" s="152"/>
      <c r="C883" s="152"/>
      <c r="D883" s="152"/>
    </row>
    <row r="884">
      <c r="A884" s="152"/>
      <c r="B884" s="152"/>
      <c r="C884" s="152"/>
      <c r="D884" s="152"/>
    </row>
    <row r="885">
      <c r="A885" s="152"/>
      <c r="B885" s="152"/>
      <c r="C885" s="152"/>
      <c r="D885" s="152"/>
    </row>
    <row r="886">
      <c r="A886" s="152"/>
      <c r="B886" s="152"/>
      <c r="C886" s="152"/>
      <c r="D886" s="152"/>
    </row>
    <row r="887">
      <c r="A887" s="152"/>
      <c r="B887" s="152"/>
      <c r="C887" s="152"/>
      <c r="D887" s="152"/>
    </row>
    <row r="888">
      <c r="A888" s="152"/>
      <c r="B888" s="152"/>
      <c r="C888" s="152"/>
      <c r="D888" s="152"/>
    </row>
    <row r="889">
      <c r="A889" s="152"/>
      <c r="B889" s="152"/>
      <c r="C889" s="152"/>
      <c r="D889" s="152"/>
    </row>
    <row r="890">
      <c r="A890" s="152"/>
      <c r="B890" s="152"/>
      <c r="C890" s="152"/>
      <c r="D890" s="152"/>
    </row>
    <row r="891">
      <c r="A891" s="152"/>
      <c r="B891" s="152"/>
      <c r="C891" s="152"/>
      <c r="D891" s="152"/>
    </row>
    <row r="892">
      <c r="A892" s="152"/>
      <c r="B892" s="152"/>
      <c r="C892" s="152"/>
      <c r="D892" s="152"/>
    </row>
    <row r="893">
      <c r="A893" s="152"/>
      <c r="B893" s="152"/>
      <c r="C893" s="152"/>
      <c r="D893" s="152"/>
    </row>
    <row r="894">
      <c r="A894" s="152"/>
      <c r="B894" s="152"/>
      <c r="C894" s="152"/>
      <c r="D894" s="152"/>
    </row>
    <row r="895">
      <c r="A895" s="152"/>
      <c r="B895" s="152"/>
      <c r="C895" s="152"/>
      <c r="D895" s="152"/>
    </row>
    <row r="896">
      <c r="A896" s="152"/>
      <c r="B896" s="152"/>
      <c r="C896" s="152"/>
      <c r="D896" s="152"/>
    </row>
    <row r="897">
      <c r="A897" s="152"/>
      <c r="B897" s="152"/>
      <c r="C897" s="152"/>
      <c r="D897" s="152"/>
    </row>
    <row r="898">
      <c r="A898" s="152"/>
      <c r="B898" s="152"/>
      <c r="C898" s="152"/>
      <c r="D898" s="152"/>
    </row>
    <row r="899">
      <c r="A899" s="152"/>
      <c r="B899" s="152"/>
      <c r="C899" s="152"/>
      <c r="D899" s="152"/>
    </row>
    <row r="900">
      <c r="A900" s="152"/>
      <c r="B900" s="152"/>
      <c r="C900" s="152"/>
      <c r="D900" s="152"/>
    </row>
    <row r="901">
      <c r="A901" s="152"/>
      <c r="B901" s="152"/>
      <c r="C901" s="152"/>
      <c r="D901" s="152"/>
    </row>
    <row r="902">
      <c r="A902" s="152"/>
      <c r="B902" s="152"/>
      <c r="C902" s="152"/>
      <c r="D902" s="152"/>
    </row>
    <row r="903">
      <c r="A903" s="152"/>
      <c r="B903" s="152"/>
      <c r="C903" s="152"/>
      <c r="D903" s="152"/>
    </row>
    <row r="904">
      <c r="A904" s="152"/>
      <c r="B904" s="152"/>
      <c r="C904" s="152"/>
      <c r="D904" s="152"/>
    </row>
    <row r="905">
      <c r="A905" s="152"/>
      <c r="B905" s="152"/>
      <c r="C905" s="152"/>
      <c r="D905" s="152"/>
    </row>
    <row r="906">
      <c r="A906" s="152"/>
      <c r="B906" s="152"/>
      <c r="C906" s="152"/>
      <c r="D906" s="152"/>
    </row>
    <row r="907">
      <c r="A907" s="152"/>
      <c r="B907" s="152"/>
      <c r="C907" s="152"/>
      <c r="D907" s="152"/>
    </row>
    <row r="908">
      <c r="A908" s="152"/>
      <c r="B908" s="152"/>
      <c r="C908" s="152"/>
      <c r="D908" s="152"/>
    </row>
    <row r="909">
      <c r="A909" s="152"/>
      <c r="B909" s="152"/>
      <c r="C909" s="152"/>
      <c r="D909" s="152"/>
    </row>
    <row r="910">
      <c r="A910" s="152"/>
      <c r="B910" s="152"/>
      <c r="C910" s="152"/>
      <c r="D910" s="152"/>
    </row>
    <row r="911">
      <c r="A911" s="152"/>
      <c r="B911" s="152"/>
      <c r="C911" s="152"/>
      <c r="D911" s="152"/>
    </row>
    <row r="912">
      <c r="A912" s="152"/>
      <c r="B912" s="152"/>
      <c r="C912" s="152"/>
      <c r="D912" s="152"/>
    </row>
    <row r="913">
      <c r="A913" s="152"/>
      <c r="B913" s="152"/>
      <c r="C913" s="152"/>
      <c r="D913" s="152"/>
    </row>
    <row r="914">
      <c r="A914" s="152"/>
      <c r="B914" s="152"/>
      <c r="C914" s="152"/>
      <c r="D914" s="152"/>
    </row>
    <row r="915">
      <c r="A915" s="152"/>
      <c r="B915" s="152"/>
      <c r="C915" s="152"/>
      <c r="D915" s="152"/>
    </row>
    <row r="916">
      <c r="A916" s="152"/>
      <c r="B916" s="152"/>
      <c r="C916" s="152"/>
      <c r="D916" s="152"/>
    </row>
    <row r="917">
      <c r="A917" s="152"/>
      <c r="B917" s="152"/>
      <c r="C917" s="152"/>
      <c r="D917" s="152"/>
    </row>
    <row r="918">
      <c r="A918" s="152"/>
      <c r="B918" s="152"/>
      <c r="C918" s="152"/>
      <c r="D918" s="152"/>
    </row>
    <row r="919">
      <c r="A919" s="152"/>
      <c r="B919" s="152"/>
      <c r="C919" s="152"/>
      <c r="D919" s="152"/>
    </row>
    <row r="920">
      <c r="A920" s="152"/>
      <c r="B920" s="152"/>
      <c r="C920" s="152"/>
      <c r="D920" s="152"/>
    </row>
    <row r="921">
      <c r="A921" s="152"/>
      <c r="B921" s="152"/>
      <c r="C921" s="152"/>
      <c r="D921" s="152"/>
    </row>
    <row r="922">
      <c r="A922" s="152"/>
      <c r="B922" s="152"/>
      <c r="C922" s="152"/>
      <c r="D922" s="152"/>
    </row>
    <row r="923">
      <c r="A923" s="152"/>
      <c r="B923" s="152"/>
      <c r="C923" s="152"/>
      <c r="D923" s="152"/>
    </row>
    <row r="924">
      <c r="A924" s="152"/>
      <c r="B924" s="152"/>
      <c r="C924" s="152"/>
      <c r="D924" s="152"/>
    </row>
    <row r="925">
      <c r="A925" s="152"/>
      <c r="B925" s="152"/>
      <c r="C925" s="152"/>
      <c r="D925" s="152"/>
    </row>
    <row r="926">
      <c r="A926" s="152"/>
      <c r="B926" s="152"/>
      <c r="C926" s="152"/>
      <c r="D926" s="152"/>
    </row>
    <row r="927">
      <c r="A927" s="152"/>
      <c r="B927" s="152"/>
      <c r="C927" s="152"/>
      <c r="D927" s="152"/>
    </row>
    <row r="928">
      <c r="A928" s="152"/>
      <c r="B928" s="152"/>
      <c r="C928" s="152"/>
      <c r="D928" s="152"/>
    </row>
    <row r="929">
      <c r="A929" s="152"/>
      <c r="B929" s="152"/>
      <c r="C929" s="152"/>
      <c r="D929" s="152"/>
    </row>
    <row r="930">
      <c r="A930" s="152"/>
      <c r="B930" s="152"/>
      <c r="C930" s="152"/>
      <c r="D930" s="152"/>
    </row>
    <row r="931">
      <c r="A931" s="152"/>
      <c r="B931" s="152"/>
      <c r="C931" s="152"/>
      <c r="D931" s="152"/>
    </row>
    <row r="932">
      <c r="A932" s="152"/>
      <c r="B932" s="152"/>
      <c r="C932" s="152"/>
      <c r="D932" s="152"/>
    </row>
    <row r="933">
      <c r="A933" s="152"/>
      <c r="B933" s="152"/>
      <c r="C933" s="152"/>
      <c r="D933" s="152"/>
    </row>
    <row r="934">
      <c r="A934" s="152"/>
      <c r="B934" s="152"/>
      <c r="C934" s="152"/>
      <c r="D934" s="152"/>
    </row>
    <row r="935">
      <c r="A935" s="152"/>
      <c r="B935" s="152"/>
      <c r="C935" s="152"/>
      <c r="D935" s="152"/>
    </row>
    <row r="936">
      <c r="A936" s="152"/>
      <c r="B936" s="152"/>
      <c r="C936" s="152"/>
      <c r="D936" s="152"/>
    </row>
    <row r="937">
      <c r="A937" s="152"/>
      <c r="B937" s="152"/>
      <c r="C937" s="152"/>
      <c r="D937" s="152"/>
    </row>
    <row r="938">
      <c r="A938" s="152"/>
      <c r="B938" s="152"/>
      <c r="C938" s="152"/>
      <c r="D938" s="152"/>
    </row>
    <row r="939">
      <c r="A939" s="152"/>
      <c r="B939" s="152"/>
      <c r="C939" s="152"/>
      <c r="D939" s="152"/>
    </row>
    <row r="940">
      <c r="A940" s="152"/>
      <c r="B940" s="152"/>
      <c r="C940" s="152"/>
      <c r="D940" s="152"/>
    </row>
    <row r="941">
      <c r="A941" s="152"/>
      <c r="B941" s="152"/>
      <c r="C941" s="152"/>
      <c r="D941" s="152"/>
    </row>
    <row r="942">
      <c r="A942" s="152"/>
      <c r="B942" s="152"/>
      <c r="C942" s="152"/>
      <c r="D942" s="152"/>
    </row>
    <row r="943">
      <c r="A943" s="152"/>
      <c r="B943" s="152"/>
      <c r="C943" s="152"/>
      <c r="D943" s="152"/>
    </row>
    <row r="944">
      <c r="A944" s="152"/>
      <c r="B944" s="152"/>
      <c r="C944" s="152"/>
      <c r="D944" s="152"/>
    </row>
    <row r="945">
      <c r="A945" s="152"/>
      <c r="B945" s="152"/>
      <c r="C945" s="152"/>
      <c r="D945" s="152"/>
    </row>
    <row r="946">
      <c r="A946" s="152"/>
      <c r="B946" s="152"/>
      <c r="C946" s="152"/>
      <c r="D946" s="152"/>
    </row>
    <row r="947">
      <c r="A947" s="152"/>
      <c r="B947" s="152"/>
      <c r="C947" s="152"/>
      <c r="D947" s="152"/>
    </row>
    <row r="948">
      <c r="A948" s="152"/>
      <c r="B948" s="152"/>
      <c r="C948" s="152"/>
      <c r="D948" s="152"/>
    </row>
    <row r="949">
      <c r="A949" s="152"/>
      <c r="B949" s="152"/>
      <c r="C949" s="152"/>
      <c r="D949" s="152"/>
    </row>
    <row r="950">
      <c r="A950" s="152"/>
      <c r="B950" s="152"/>
      <c r="C950" s="152"/>
      <c r="D950" s="152"/>
    </row>
    <row r="951">
      <c r="A951" s="152"/>
      <c r="B951" s="152"/>
      <c r="C951" s="152"/>
      <c r="D951" s="152"/>
    </row>
    <row r="952">
      <c r="A952" s="152"/>
      <c r="B952" s="152"/>
      <c r="C952" s="152"/>
      <c r="D952" s="152"/>
    </row>
    <row r="953">
      <c r="A953" s="152"/>
      <c r="B953" s="152"/>
      <c r="C953" s="152"/>
      <c r="D953" s="152"/>
    </row>
    <row r="954">
      <c r="A954" s="152"/>
      <c r="B954" s="152"/>
      <c r="C954" s="152"/>
      <c r="D954" s="152"/>
    </row>
    <row r="955">
      <c r="A955" s="152"/>
      <c r="B955" s="152"/>
      <c r="C955" s="152"/>
      <c r="D955" s="152"/>
    </row>
    <row r="956">
      <c r="A956" s="152"/>
      <c r="B956" s="152"/>
      <c r="C956" s="152"/>
      <c r="D956" s="152"/>
    </row>
    <row r="957">
      <c r="A957" s="152"/>
      <c r="B957" s="152"/>
      <c r="C957" s="152"/>
      <c r="D957" s="152"/>
    </row>
    <row r="958">
      <c r="A958" s="152"/>
      <c r="B958" s="152"/>
      <c r="C958" s="152"/>
      <c r="D958" s="152"/>
    </row>
    <row r="959">
      <c r="A959" s="152"/>
      <c r="B959" s="152"/>
      <c r="C959" s="152"/>
      <c r="D959" s="152"/>
    </row>
    <row r="960">
      <c r="A960" s="152"/>
      <c r="B960" s="152"/>
      <c r="C960" s="152"/>
      <c r="D960" s="152"/>
    </row>
    <row r="961">
      <c r="A961" s="152"/>
      <c r="B961" s="152"/>
      <c r="C961" s="152"/>
      <c r="D961" s="152"/>
    </row>
    <row r="962">
      <c r="A962" s="152"/>
      <c r="B962" s="152"/>
      <c r="C962" s="152"/>
      <c r="D962" s="152"/>
    </row>
    <row r="963">
      <c r="A963" s="152"/>
      <c r="B963" s="152"/>
      <c r="C963" s="152"/>
      <c r="D963" s="152"/>
    </row>
    <row r="964">
      <c r="A964" s="152"/>
      <c r="B964" s="152"/>
      <c r="C964" s="152"/>
      <c r="D964" s="152"/>
    </row>
    <row r="965">
      <c r="A965" s="152"/>
      <c r="B965" s="152"/>
      <c r="C965" s="152"/>
      <c r="D965" s="152"/>
    </row>
    <row r="966">
      <c r="A966" s="152"/>
      <c r="B966" s="152"/>
      <c r="C966" s="152"/>
      <c r="D966" s="152"/>
    </row>
    <row r="967">
      <c r="A967" s="152"/>
      <c r="B967" s="152"/>
      <c r="C967" s="152"/>
      <c r="D967" s="152"/>
    </row>
    <row r="968">
      <c r="A968" s="152"/>
      <c r="B968" s="152"/>
      <c r="C968" s="152"/>
      <c r="D968" s="152"/>
    </row>
    <row r="969">
      <c r="A969" s="152"/>
      <c r="B969" s="152"/>
      <c r="C969" s="152"/>
      <c r="D969" s="152"/>
    </row>
    <row r="970">
      <c r="A970" s="152"/>
      <c r="B970" s="152"/>
      <c r="C970" s="152"/>
      <c r="D970" s="152"/>
    </row>
    <row r="971">
      <c r="A971" s="152"/>
      <c r="B971" s="152"/>
      <c r="C971" s="152"/>
      <c r="D971" s="152"/>
    </row>
    <row r="972">
      <c r="A972" s="152"/>
      <c r="B972" s="152"/>
      <c r="C972" s="152"/>
      <c r="D972" s="152"/>
    </row>
    <row r="973">
      <c r="A973" s="152"/>
      <c r="B973" s="152"/>
      <c r="C973" s="152"/>
      <c r="D973" s="152"/>
    </row>
    <row r="974">
      <c r="A974" s="152"/>
      <c r="B974" s="152"/>
      <c r="C974" s="152"/>
      <c r="D974" s="152"/>
    </row>
    <row r="975">
      <c r="A975" s="152"/>
      <c r="B975" s="152"/>
      <c r="C975" s="152"/>
      <c r="D975" s="152"/>
    </row>
    <row r="976">
      <c r="A976" s="152"/>
      <c r="B976" s="152"/>
      <c r="C976" s="152"/>
      <c r="D976" s="152"/>
    </row>
    <row r="977">
      <c r="A977" s="152"/>
      <c r="B977" s="152"/>
      <c r="C977" s="152"/>
      <c r="D977" s="152"/>
    </row>
    <row r="978">
      <c r="A978" s="152"/>
      <c r="B978" s="152"/>
      <c r="C978" s="152"/>
      <c r="D978" s="152"/>
    </row>
    <row r="979">
      <c r="A979" s="152"/>
      <c r="B979" s="152"/>
      <c r="C979" s="152"/>
      <c r="D979" s="152"/>
    </row>
    <row r="980">
      <c r="A980" s="152"/>
      <c r="B980" s="152"/>
      <c r="C980" s="152"/>
      <c r="D980" s="152"/>
    </row>
    <row r="981">
      <c r="A981" s="152"/>
      <c r="B981" s="152"/>
      <c r="C981" s="152"/>
      <c r="D981" s="152"/>
    </row>
    <row r="982">
      <c r="A982" s="152"/>
      <c r="B982" s="152"/>
      <c r="C982" s="152"/>
      <c r="D982" s="152"/>
    </row>
    <row r="983">
      <c r="A983" s="152"/>
      <c r="B983" s="152"/>
      <c r="C983" s="152"/>
      <c r="D983" s="152"/>
    </row>
  </sheetData>
  <autoFilter ref="$B$1:$D$983">
    <sortState ref="B1:D983">
      <sortCondition ref="B1:B983"/>
    </sortState>
  </autoFilter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5.88"/>
    <col customWidth="1" min="3" max="3" width="26.63"/>
    <col customWidth="1" min="4" max="4" width="17.25"/>
  </cols>
  <sheetData>
    <row r="1">
      <c r="A1" s="150" t="s">
        <v>351</v>
      </c>
      <c r="B1" s="150" t="s">
        <v>352</v>
      </c>
      <c r="C1" s="150" t="s">
        <v>353</v>
      </c>
      <c r="D1" s="150" t="s">
        <v>354</v>
      </c>
    </row>
    <row r="2">
      <c r="A2" s="159" t="s">
        <v>15</v>
      </c>
      <c r="B2" s="159">
        <v>8.0</v>
      </c>
      <c r="C2" s="159" t="s">
        <v>16</v>
      </c>
      <c r="D2" s="150" t="b">
        <v>1</v>
      </c>
    </row>
    <row r="3">
      <c r="A3" s="159" t="s">
        <v>34</v>
      </c>
      <c r="B3" s="159">
        <v>5.0</v>
      </c>
      <c r="C3" s="159" t="s">
        <v>30</v>
      </c>
      <c r="D3" s="150" t="b">
        <v>1</v>
      </c>
    </row>
    <row r="4">
      <c r="A4" s="159" t="s">
        <v>37</v>
      </c>
      <c r="B4" s="159">
        <v>5.0</v>
      </c>
      <c r="C4" s="159" t="s">
        <v>30</v>
      </c>
      <c r="D4" s="150" t="b">
        <v>1</v>
      </c>
    </row>
    <row r="5">
      <c r="A5" s="159" t="s">
        <v>29</v>
      </c>
      <c r="B5" s="159">
        <v>5.0</v>
      </c>
      <c r="C5" s="159" t="s">
        <v>30</v>
      </c>
      <c r="D5" s="150" t="b">
        <v>1</v>
      </c>
    </row>
    <row r="6">
      <c r="A6" s="159" t="s">
        <v>32</v>
      </c>
      <c r="B6" s="159">
        <v>5.0</v>
      </c>
      <c r="C6" s="159" t="s">
        <v>30</v>
      </c>
      <c r="D6" s="150" t="b">
        <v>1</v>
      </c>
    </row>
    <row r="7">
      <c r="A7" s="159" t="s">
        <v>40</v>
      </c>
      <c r="B7" s="159">
        <v>5.0</v>
      </c>
      <c r="C7" s="159" t="s">
        <v>30</v>
      </c>
      <c r="D7" s="150" t="b">
        <v>1</v>
      </c>
    </row>
    <row r="8">
      <c r="A8" s="159" t="s">
        <v>42</v>
      </c>
      <c r="B8" s="159">
        <v>8.0</v>
      </c>
      <c r="C8" s="159" t="s">
        <v>43</v>
      </c>
      <c r="D8" s="150" t="b">
        <v>1</v>
      </c>
    </row>
    <row r="9">
      <c r="A9" s="159" t="s">
        <v>45</v>
      </c>
      <c r="B9" s="159">
        <v>8.0</v>
      </c>
      <c r="C9" s="159" t="s">
        <v>43</v>
      </c>
      <c r="D9" s="150" t="b">
        <v>1</v>
      </c>
    </row>
    <row r="10">
      <c r="A10" s="159" t="s">
        <v>387</v>
      </c>
      <c r="B10" s="159">
        <v>5.0</v>
      </c>
      <c r="C10" s="159" t="s">
        <v>19</v>
      </c>
      <c r="D10" s="150" t="b">
        <v>1</v>
      </c>
    </row>
    <row r="11">
      <c r="A11" s="159" t="s">
        <v>388</v>
      </c>
      <c r="B11" s="159">
        <v>5.0</v>
      </c>
      <c r="C11" s="159" t="s">
        <v>19</v>
      </c>
      <c r="D11" s="150" t="b">
        <v>1</v>
      </c>
    </row>
    <row r="12">
      <c r="A12" s="159" t="s">
        <v>25</v>
      </c>
      <c r="B12" s="159">
        <v>5.0</v>
      </c>
      <c r="C12" s="159" t="s">
        <v>19</v>
      </c>
      <c r="D12" s="150" t="b">
        <v>1</v>
      </c>
    </row>
    <row r="13">
      <c r="A13" s="159" t="s">
        <v>27</v>
      </c>
      <c r="B13" s="159">
        <v>5.0</v>
      </c>
      <c r="C13" s="159" t="s">
        <v>19</v>
      </c>
      <c r="D13" s="150" t="b">
        <v>1</v>
      </c>
    </row>
    <row r="14">
      <c r="A14" s="159" t="s">
        <v>13</v>
      </c>
      <c r="B14" s="159">
        <v>5.0</v>
      </c>
      <c r="C14" s="159" t="s">
        <v>11</v>
      </c>
      <c r="D14" s="150" t="b">
        <v>1</v>
      </c>
    </row>
    <row r="15">
      <c r="A15" s="159" t="s">
        <v>9</v>
      </c>
      <c r="B15" s="159">
        <v>5.0</v>
      </c>
      <c r="C15" s="159" t="s">
        <v>11</v>
      </c>
      <c r="D15" s="150" t="b">
        <v>1</v>
      </c>
    </row>
    <row r="16">
      <c r="A16" s="159" t="s">
        <v>18</v>
      </c>
      <c r="B16" s="159">
        <v>5.0</v>
      </c>
      <c r="C16" s="159" t="s">
        <v>19</v>
      </c>
      <c r="D16" s="150" t="b">
        <v>1</v>
      </c>
    </row>
  </sheetData>
  <autoFilter ref="$A$1:$D$16">
    <sortState ref="A1:D16">
      <sortCondition ref="A1:A16"/>
    </sortState>
  </autoFilter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4.5"/>
    <col hidden="1" min="3" max="17" width="12.63"/>
    <col customWidth="1" min="18" max="18" width="14.63"/>
    <col customWidth="1" min="20" max="20" width="17.5"/>
    <col customWidth="1" min="22" max="22" width="18.0"/>
    <col customWidth="1" min="24" max="24" width="19.0"/>
    <col customWidth="1" hidden="1" min="26" max="26" width="16.38"/>
    <col hidden="1" min="27" max="27" width="12.63"/>
  </cols>
  <sheetData>
    <row r="1" ht="28.5" customHeight="1">
      <c r="A1" s="160"/>
      <c r="B1" s="3" t="s">
        <v>395</v>
      </c>
    </row>
    <row r="2" ht="28.5" customHeight="1">
      <c r="A2" s="160" t="str">
        <f>IFERROR(__xludf.DUMMYFUNCTION("QUERY('Data MT Pola Tarif'!A6:Y21 ,""select * where S matches 'Akan Habis|Habis' or U matches 'Akan Habis|Habis' or W matches 'Akan Habis|Habis' or Y matches 'Akan Habis|Habis'"", 1)"),"")</f>
        <v/>
      </c>
      <c r="B2" s="13" t="str">
        <f>IFERROR(__xludf.DUMMYFUNCTION("""COMPUTED_VALUE"""),"")</f>
        <v/>
      </c>
      <c r="C2" s="13" t="str">
        <f>IFERROR(__xludf.DUMMYFUNCTION("""COMPUTED_VALUE"""),"")</f>
        <v/>
      </c>
      <c r="D2" s="13" t="str">
        <f>IFERROR(__xludf.DUMMYFUNCTION("""COMPUTED_VALUE"""),"")</f>
        <v/>
      </c>
      <c r="E2" s="13" t="str">
        <f>IFERROR(__xludf.DUMMYFUNCTION("""COMPUTED_VALUE"""),"")</f>
        <v/>
      </c>
      <c r="F2" s="13" t="str">
        <f>IFERROR(__xludf.DUMMYFUNCTION("""COMPUTED_VALUE"""),"")</f>
        <v/>
      </c>
      <c r="G2" s="13" t="str">
        <f>IFERROR(__xludf.DUMMYFUNCTION("""COMPUTED_VALUE"""),"")</f>
        <v/>
      </c>
      <c r="H2" s="13" t="str">
        <f>IFERROR(__xludf.DUMMYFUNCTION("""COMPUTED_VALUE"""),"")</f>
        <v/>
      </c>
      <c r="I2" s="13" t="str">
        <f>IFERROR(__xludf.DUMMYFUNCTION("""COMPUTED_VALUE"""),"")</f>
        <v/>
      </c>
      <c r="J2" s="13" t="str">
        <f>IFERROR(__xludf.DUMMYFUNCTION("""COMPUTED_VALUE"""),"")</f>
        <v/>
      </c>
      <c r="K2" s="13" t="str">
        <f>IFERROR(__xludf.DUMMYFUNCTION("""COMPUTED_VALUE"""),"")</f>
        <v/>
      </c>
      <c r="L2" s="13" t="str">
        <f>IFERROR(__xludf.DUMMYFUNCTION("""COMPUTED_VALUE"""),"")</f>
        <v/>
      </c>
      <c r="M2" s="13" t="str">
        <f>IFERROR(__xludf.DUMMYFUNCTION("""COMPUTED_VALUE"""),"")</f>
        <v/>
      </c>
      <c r="N2" s="13" t="str">
        <f>IFERROR(__xludf.DUMMYFUNCTION("""COMPUTED_VALUE"""),"")</f>
        <v/>
      </c>
      <c r="O2" s="13" t="str">
        <f>IFERROR(__xludf.DUMMYFUNCTION("""COMPUTED_VALUE"""),"")</f>
        <v/>
      </c>
      <c r="P2" s="13" t="str">
        <f>IFERROR(__xludf.DUMMYFUNCTION("""COMPUTED_VALUE"""),"")</f>
        <v/>
      </c>
      <c r="Q2" s="13" t="str">
        <f>IFERROR(__xludf.DUMMYFUNCTION("""COMPUTED_VALUE"""),"")</f>
        <v/>
      </c>
      <c r="R2" s="13" t="str">
        <f>IFERROR(__xludf.DUMMYFUNCTION("""COMPUTED_VALUE"""),"Tanggal STNK")</f>
        <v>Tanggal STNK</v>
      </c>
      <c r="S2" s="13" t="str">
        <f>IFERROR(__xludf.DUMMYFUNCTION("""COMPUTED_VALUE"""),"Status")</f>
        <v>Status</v>
      </c>
      <c r="T2" s="13" t="str">
        <f>IFERROR(__xludf.DUMMYFUNCTION("""COMPUTED_VALUE"""),"Tanggal PAJAK")</f>
        <v>Tanggal PAJAK</v>
      </c>
      <c r="U2" s="13" t="str">
        <f>IFERROR(__xludf.DUMMYFUNCTION("""COMPUTED_VALUE"""),"Status")</f>
        <v>Status</v>
      </c>
      <c r="V2" s="13" t="str">
        <f>IFERROR(__xludf.DUMMYFUNCTION("""COMPUTED_VALUE"""),"Tanggal KEUR")</f>
        <v>Tanggal KEUR</v>
      </c>
      <c r="W2" s="13" t="str">
        <f>IFERROR(__xludf.DUMMYFUNCTION("""COMPUTED_VALUE"""),"Status")</f>
        <v>Status</v>
      </c>
      <c r="X2" s="13" t="str">
        <f>IFERROR(__xludf.DUMMYFUNCTION("""COMPUTED_VALUE"""),"Tanggal KIM")</f>
        <v>Tanggal KIM</v>
      </c>
      <c r="Y2" s="13" t="str">
        <f>IFERROR(__xludf.DUMMYFUNCTION("""COMPUTED_VALUE"""),"Status")</f>
        <v>Status</v>
      </c>
      <c r="Z2" s="13"/>
      <c r="AA2" s="13"/>
    </row>
    <row r="3">
      <c r="A3" s="161">
        <f>IFERROR(__xludf.DUMMYFUNCTION("""COMPUTED_VALUE"""),2.0)</f>
        <v>2</v>
      </c>
      <c r="B3" s="6" t="str">
        <f>IFERROR(__xludf.DUMMYFUNCTION("""COMPUTED_VALUE"""),"R9356BM")</f>
        <v>R9356BM</v>
      </c>
      <c r="C3" s="6">
        <f>IFERROR(__xludf.DUMMYFUNCTION("""COMPUTED_VALUE"""),5.0)</f>
        <v>5</v>
      </c>
      <c r="D3" s="6" t="str">
        <f>IFERROR(__xludf.DUMMYFUNCTION("""COMPUTED_VALUE"""),"PT. Katraco Putra Selaras")</f>
        <v>PT. Katraco Putra Selaras</v>
      </c>
      <c r="E3" s="6">
        <f>IFERROR(__xludf.DUMMYFUNCTION("""COMPUTED_VALUE"""),2022.0)</f>
        <v>2022</v>
      </c>
      <c r="F3" s="6">
        <f>IFERROR(__xludf.DUMMYFUNCTION("""COMPUTED_VALUE"""),2022.0)</f>
        <v>2022</v>
      </c>
      <c r="G3" s="6">
        <f>IFERROR(__xludf.DUMMYFUNCTION("""COMPUTED_VALUE"""),4.0)</f>
        <v>4</v>
      </c>
      <c r="H3" s="6">
        <f>IFERROR(__xludf.DUMMYFUNCTION("""COMPUTED_VALUE"""),4009.0)</f>
        <v>4009</v>
      </c>
      <c r="I3" s="6" t="str">
        <f>IFERROR(__xludf.DUMMYFUNCTION("""COMPUTED_VALUE"""),"PTO")</f>
        <v>PTO</v>
      </c>
      <c r="J3" s="6" t="str">
        <f>IFERROR(__xludf.DUMMYFUNCTION("""COMPUTED_VALUE"""),"CS")</f>
        <v>CS</v>
      </c>
      <c r="K3" s="6">
        <f>IFERROR(__xludf.DUMMYFUNCTION("""COMPUTED_VALUE"""),2022.0)</f>
        <v>2022</v>
      </c>
      <c r="L3" s="6">
        <f>IFERROR(__xludf.DUMMYFUNCTION("""COMPUTED_VALUE"""),4.0)</f>
        <v>4</v>
      </c>
      <c r="M3" s="6" t="str">
        <f>IFERROR(__xludf.DUMMYFUNCTION("""COMPUTED_VALUE"""),"Geluran")</f>
        <v>Geluran</v>
      </c>
      <c r="N3" s="6" t="str">
        <f>IFERROR(__xludf.DUMMYFUNCTION("""COMPUTED_VALUE"""),"HINO")</f>
        <v>HINO</v>
      </c>
      <c r="O3" s="6" t="str">
        <f>IFERROR(__xludf.DUMMYFUNCTION("""COMPUTED_VALUE"""),"WU342R-HKMTJD3 130HD")</f>
        <v>WU342R-HKMTJD3 130HD</v>
      </c>
      <c r="P3" s="6" t="str">
        <f>IFERROR(__xludf.DUMMYFUNCTION("""COMPUTED_VALUE"""),"W04DTRR91175")</f>
        <v>W04DTRR91175</v>
      </c>
      <c r="Q3" s="6" t="str">
        <f>IFERROR(__xludf.DUMMYFUNCTION("""COMPUTED_VALUE"""),"MJEC1JG43N52011090")</f>
        <v>MJEC1JG43N52011090</v>
      </c>
      <c r="R3" s="162">
        <f>IFERROR(__xludf.DUMMYFUNCTION("""COMPUTED_VALUE"""),46565.0)</f>
        <v>46565</v>
      </c>
      <c r="S3" s="6" t="str">
        <f>IFERROR(__xludf.DUMMYFUNCTION("""COMPUTED_VALUE"""),"Berlaku")</f>
        <v>Berlaku</v>
      </c>
      <c r="T3" s="162">
        <f>IFERROR(__xludf.DUMMYFUNCTION("""COMPUTED_VALUE"""),46565.0)</f>
        <v>46565</v>
      </c>
      <c r="U3" s="6" t="str">
        <f>IFERROR(__xludf.DUMMYFUNCTION("""COMPUTED_VALUE"""),"Berlaku")</f>
        <v>Berlaku</v>
      </c>
      <c r="V3" s="162">
        <f>IFERROR(__xludf.DUMMYFUNCTION("""COMPUTED_VALUE"""),46204.0)</f>
        <v>46204</v>
      </c>
      <c r="W3" s="6" t="str">
        <f>IFERROR(__xludf.DUMMYFUNCTION("""COMPUTED_VALUE"""),"Habis")</f>
        <v>Habis</v>
      </c>
      <c r="X3" s="162">
        <f>IFERROR(__xludf.DUMMYFUNCTION("""COMPUTED_VALUE"""),46204.0)</f>
        <v>46204</v>
      </c>
      <c r="Y3" s="6" t="str">
        <f>IFERROR(__xludf.DUMMYFUNCTION("""COMPUTED_VALUE"""),"Habis")</f>
        <v>Habis</v>
      </c>
      <c r="Z3" s="6"/>
      <c r="AA3" s="6"/>
    </row>
    <row r="4">
      <c r="A4" s="161">
        <f>IFERROR(__xludf.DUMMYFUNCTION("""COMPUTED_VALUE"""),7.0)</f>
        <v>7</v>
      </c>
      <c r="B4" s="6" t="str">
        <f>IFERROR(__xludf.DUMMYFUNCTION("""COMPUTED_VALUE"""),"R9130B")</f>
        <v>R9130B</v>
      </c>
      <c r="C4" s="6">
        <f>IFERROR(__xludf.DUMMYFUNCTION("""COMPUTED_VALUE"""),5.0)</f>
        <v>5</v>
      </c>
      <c r="D4" s="6" t="str">
        <f>IFERROR(__xludf.DUMMYFUNCTION("""COMPUTED_VALUE"""),"PT. Serayu Mitra Jaya")</f>
        <v>PT. Serayu Mitra Jaya</v>
      </c>
      <c r="E4" s="6">
        <f>IFERROR(__xludf.DUMMYFUNCTION("""COMPUTED_VALUE"""),2021.0)</f>
        <v>2021</v>
      </c>
      <c r="F4" s="6">
        <f>IFERROR(__xludf.DUMMYFUNCTION("""COMPUTED_VALUE"""),2021.0)</f>
        <v>2021</v>
      </c>
      <c r="G4" s="6">
        <f>IFERROR(__xludf.DUMMYFUNCTION("""COMPUTED_VALUE"""),5.0)</f>
        <v>5</v>
      </c>
      <c r="H4" s="6">
        <f>IFERROR(__xludf.DUMMYFUNCTION("""COMPUTED_VALUE"""),4009.0)</f>
        <v>4009</v>
      </c>
      <c r="I4" s="6" t="str">
        <f>IFERROR(__xludf.DUMMYFUNCTION("""COMPUTED_VALUE"""),"PTO")</f>
        <v>PTO</v>
      </c>
      <c r="J4" s="6" t="str">
        <f>IFERROR(__xludf.DUMMYFUNCTION("""COMPUTED_VALUE"""),"CS")</f>
        <v>CS</v>
      </c>
      <c r="K4" s="6">
        <f>IFERROR(__xludf.DUMMYFUNCTION("""COMPUTED_VALUE"""),2021.0)</f>
        <v>2021</v>
      </c>
      <c r="L4" s="6">
        <f>IFERROR(__xludf.DUMMYFUNCTION("""COMPUTED_VALUE"""),5.0)</f>
        <v>5</v>
      </c>
      <c r="M4" s="6" t="str">
        <f>IFERROR(__xludf.DUMMYFUNCTION("""COMPUTED_VALUE"""),"Geluran")</f>
        <v>Geluran</v>
      </c>
      <c r="N4" s="6" t="str">
        <f>IFERROR(__xludf.DUMMYFUNCTION("""COMPUTED_VALUE"""),"HINO")</f>
        <v>HINO</v>
      </c>
      <c r="O4" s="6" t="str">
        <f>IFERROR(__xludf.DUMMYFUNCTION("""COMPUTED_VALUE"""),"WU342R-HKMTJD3 M/T")</f>
        <v>WU342R-HKMTJD3 M/T</v>
      </c>
      <c r="P4" s="6" t="str">
        <f>IFERROR(__xludf.DUMMYFUNCTION("""COMPUTED_VALUE"""),"W04DTRR85143")</f>
        <v>W04DTRR85143</v>
      </c>
      <c r="Q4" s="6" t="str">
        <f>IFERROR(__xludf.DUMMYFUNCTION("""COMPUTED_VALUE"""),"MJEC1JG43M5195523")</f>
        <v>MJEC1JG43M5195523</v>
      </c>
      <c r="R4" s="162">
        <f>IFERROR(__xludf.DUMMYFUNCTION("""COMPUTED_VALUE"""),46288.0)</f>
        <v>46288</v>
      </c>
      <c r="S4" s="6" t="str">
        <f>IFERROR(__xludf.DUMMYFUNCTION("""COMPUTED_VALUE"""),"Habis")</f>
        <v>Habis</v>
      </c>
      <c r="T4" s="162">
        <f>IFERROR(__xludf.DUMMYFUNCTION("""COMPUTED_VALUE"""),46288.0)</f>
        <v>46288</v>
      </c>
      <c r="U4" s="6" t="str">
        <f>IFERROR(__xludf.DUMMYFUNCTION("""COMPUTED_VALUE"""),"Habis")</f>
        <v>Habis</v>
      </c>
      <c r="V4" s="162">
        <f>IFERROR(__xludf.DUMMYFUNCTION("""COMPUTED_VALUE"""),46090.0)</f>
        <v>46090</v>
      </c>
      <c r="W4" s="6" t="str">
        <f>IFERROR(__xludf.DUMMYFUNCTION("""COMPUTED_VALUE"""),"Habis")</f>
        <v>Habis</v>
      </c>
      <c r="X4" s="162">
        <f>IFERROR(__xludf.DUMMYFUNCTION("""COMPUTED_VALUE"""),46090.0)</f>
        <v>46090</v>
      </c>
      <c r="Y4" s="6" t="str">
        <f>IFERROR(__xludf.DUMMYFUNCTION("""COMPUTED_VALUE"""),"Habis")</f>
        <v>Habis</v>
      </c>
      <c r="Z4" s="6"/>
      <c r="AA4" s="6"/>
    </row>
    <row r="5">
      <c r="A5" s="161">
        <f>IFERROR(__xludf.DUMMYFUNCTION("""COMPUTED_VALUE"""),8.0)</f>
        <v>8</v>
      </c>
      <c r="B5" s="6" t="str">
        <f>IFERROR(__xludf.DUMMYFUNCTION("""COMPUTED_VALUE"""),"R9131B")</f>
        <v>R9131B</v>
      </c>
      <c r="C5" s="6">
        <f>IFERROR(__xludf.DUMMYFUNCTION("""COMPUTED_VALUE"""),5.0)</f>
        <v>5</v>
      </c>
      <c r="D5" s="6" t="str">
        <f>IFERROR(__xludf.DUMMYFUNCTION("""COMPUTED_VALUE"""),"PT. Serayu Mitra Jaya")</f>
        <v>PT. Serayu Mitra Jaya</v>
      </c>
      <c r="E5" s="6">
        <f>IFERROR(__xludf.DUMMYFUNCTION("""COMPUTED_VALUE"""),2021.0)</f>
        <v>2021</v>
      </c>
      <c r="F5" s="6">
        <f>IFERROR(__xludf.DUMMYFUNCTION("""COMPUTED_VALUE"""),2021.0)</f>
        <v>2021</v>
      </c>
      <c r="G5" s="6">
        <f>IFERROR(__xludf.DUMMYFUNCTION("""COMPUTED_VALUE"""),5.0)</f>
        <v>5</v>
      </c>
      <c r="H5" s="6">
        <f>IFERROR(__xludf.DUMMYFUNCTION("""COMPUTED_VALUE"""),4009.0)</f>
        <v>4009</v>
      </c>
      <c r="I5" s="6" t="str">
        <f>IFERROR(__xludf.DUMMYFUNCTION("""COMPUTED_VALUE"""),"PTO")</f>
        <v>PTO</v>
      </c>
      <c r="J5" s="6" t="str">
        <f>IFERROR(__xludf.DUMMYFUNCTION("""COMPUTED_VALUE"""),"CS")</f>
        <v>CS</v>
      </c>
      <c r="K5" s="6">
        <f>IFERROR(__xludf.DUMMYFUNCTION("""COMPUTED_VALUE"""),2021.0)</f>
        <v>2021</v>
      </c>
      <c r="L5" s="6">
        <f>IFERROR(__xludf.DUMMYFUNCTION("""COMPUTED_VALUE"""),5.0)</f>
        <v>5</v>
      </c>
      <c r="M5" s="6" t="str">
        <f>IFERROR(__xludf.DUMMYFUNCTION("""COMPUTED_VALUE"""),"Geluran")</f>
        <v>Geluran</v>
      </c>
      <c r="N5" s="6" t="str">
        <f>IFERROR(__xludf.DUMMYFUNCTION("""COMPUTED_VALUE"""),"HINO")</f>
        <v>HINO</v>
      </c>
      <c r="O5" s="6" t="str">
        <f>IFERROR(__xludf.DUMMYFUNCTION("""COMPUTED_VALUE"""),"WU342R-HKMTJD3 M/T")</f>
        <v>WU342R-HKMTJD3 M/T</v>
      </c>
      <c r="P5" s="6" t="str">
        <f>IFERROR(__xludf.DUMMYFUNCTION("""COMPUTED_VALUE"""),"W04DTRR85015")</f>
        <v>W04DTRR85015</v>
      </c>
      <c r="Q5" s="6" t="str">
        <f>IFERROR(__xludf.DUMMYFUNCTION("""COMPUTED_VALUE"""),"MJEC1JG43M5195415")</f>
        <v>MJEC1JG43M5195415</v>
      </c>
      <c r="R5" s="162">
        <f>IFERROR(__xludf.DUMMYFUNCTION("""COMPUTED_VALUE"""),46288.0)</f>
        <v>46288</v>
      </c>
      <c r="S5" s="6" t="str">
        <f>IFERROR(__xludf.DUMMYFUNCTION("""COMPUTED_VALUE"""),"Habis")</f>
        <v>Habis</v>
      </c>
      <c r="T5" s="162">
        <f>IFERROR(__xludf.DUMMYFUNCTION("""COMPUTED_VALUE"""),46288.0)</f>
        <v>46288</v>
      </c>
      <c r="U5" s="6" t="str">
        <f>IFERROR(__xludf.DUMMYFUNCTION("""COMPUTED_VALUE"""),"Habis")</f>
        <v>Habis</v>
      </c>
      <c r="V5" s="162">
        <f>IFERROR(__xludf.DUMMYFUNCTION("""COMPUTED_VALUE"""),46325.0)</f>
        <v>46325</v>
      </c>
      <c r="W5" s="6" t="str">
        <f>IFERROR(__xludf.DUMMYFUNCTION("""COMPUTED_VALUE"""),"Berlaku")</f>
        <v>Berlaku</v>
      </c>
      <c r="X5" s="162">
        <f>IFERROR(__xludf.DUMMYFUNCTION("""COMPUTED_VALUE"""),46325.0)</f>
        <v>46325</v>
      </c>
      <c r="Y5" s="6" t="str">
        <f>IFERROR(__xludf.DUMMYFUNCTION("""COMPUTED_VALUE"""),"Berlaku")</f>
        <v>Berlaku</v>
      </c>
      <c r="Z5" s="6"/>
      <c r="AA5" s="6"/>
    </row>
    <row r="6">
      <c r="A6" s="161">
        <f>IFERROR(__xludf.DUMMYFUNCTION("""COMPUTED_VALUE"""),11.0)</f>
        <v>11</v>
      </c>
      <c r="B6" s="6" t="str">
        <f>IFERROR(__xludf.DUMMYFUNCTION("""COMPUTED_VALUE"""),"H8023OF")</f>
        <v>H8023OF</v>
      </c>
      <c r="C6" s="6">
        <f>IFERROR(__xludf.DUMMYFUNCTION("""COMPUTED_VALUE"""),5.0)</f>
        <v>5</v>
      </c>
      <c r="D6" s="6" t="str">
        <f>IFERROR(__xludf.DUMMYFUNCTION("""COMPUTED_VALUE"""),"PT. Sumber Trans Niaga")</f>
        <v>PT. Sumber Trans Niaga</v>
      </c>
      <c r="E6" s="6">
        <f>IFERROR(__xludf.DUMMYFUNCTION("""COMPUTED_VALUE"""),2022.0)</f>
        <v>2022</v>
      </c>
      <c r="F6" s="6">
        <f>IFERROR(__xludf.DUMMYFUNCTION("""COMPUTED_VALUE"""),2022.0)</f>
        <v>2022</v>
      </c>
      <c r="G6" s="6">
        <f>IFERROR(__xludf.DUMMYFUNCTION("""COMPUTED_VALUE"""),4.0)</f>
        <v>4</v>
      </c>
      <c r="H6" s="6">
        <f>IFERROR(__xludf.DUMMYFUNCTION("""COMPUTED_VALUE"""),4009.0)</f>
        <v>4009</v>
      </c>
      <c r="I6" s="6" t="str">
        <f>IFERROR(__xludf.DUMMYFUNCTION("""COMPUTED_VALUE"""),"PTO")</f>
        <v>PTO</v>
      </c>
      <c r="J6" s="6" t="str">
        <f>IFERROR(__xludf.DUMMYFUNCTION("""COMPUTED_VALUE"""),"CS")</f>
        <v>CS</v>
      </c>
      <c r="K6" s="6">
        <f>IFERROR(__xludf.DUMMYFUNCTION("""COMPUTED_VALUE"""),2022.0)</f>
        <v>2022</v>
      </c>
      <c r="L6" s="6">
        <f>IFERROR(__xludf.DUMMYFUNCTION("""COMPUTED_VALUE"""),4.0)</f>
        <v>4</v>
      </c>
      <c r="M6" s="6" t="str">
        <f>IFERROR(__xludf.DUMMYFUNCTION("""COMPUTED_VALUE"""),"Antika Raya")</f>
        <v>Antika Raya</v>
      </c>
      <c r="N6" s="6" t="str">
        <f>IFERROR(__xludf.DUMMYFUNCTION("""COMPUTED_VALUE"""),"HINO")</f>
        <v>HINO</v>
      </c>
      <c r="O6" s="6" t="str">
        <f>IFERROR(__xludf.DUMMYFUNCTION("""COMPUTED_VALUE"""),"XZU349R-HKMTBD3")</f>
        <v>XZU349R-HKMTBD3</v>
      </c>
      <c r="P6" s="6" t="str">
        <f>IFERROR(__xludf.DUMMYFUNCTION("""COMPUTED_VALUE"""),"N04CWYJ1017")</f>
        <v>N04CWYJ1017</v>
      </c>
      <c r="Q6" s="6" t="str">
        <f>IFERROR(__xludf.DUMMYFUNCTION("""COMPUTED_VALUE"""),"MJECCB2F9N5000031")</f>
        <v>MJECCB2F9N5000031</v>
      </c>
      <c r="R6" s="162">
        <f>IFERROR(__xludf.DUMMYFUNCTION("""COMPUTED_VALUE"""),46625.0)</f>
        <v>46625</v>
      </c>
      <c r="S6" s="6" t="str">
        <f>IFERROR(__xludf.DUMMYFUNCTION("""COMPUTED_VALUE"""),"Berlaku")</f>
        <v>Berlaku</v>
      </c>
      <c r="T6" s="162">
        <f>IFERROR(__xludf.DUMMYFUNCTION("""COMPUTED_VALUE"""),46625.0)</f>
        <v>46625</v>
      </c>
      <c r="U6" s="6" t="str">
        <f>IFERROR(__xludf.DUMMYFUNCTION("""COMPUTED_VALUE"""),"Berlaku")</f>
        <v>Berlaku</v>
      </c>
      <c r="V6" s="162">
        <f>IFERROR(__xludf.DUMMYFUNCTION("""COMPUTED_VALUE"""),46154.0)</f>
        <v>46154</v>
      </c>
      <c r="W6" s="6" t="str">
        <f>IFERROR(__xludf.DUMMYFUNCTION("""COMPUTED_VALUE"""),"Habis")</f>
        <v>Habis</v>
      </c>
      <c r="X6" s="162">
        <f>IFERROR(__xludf.DUMMYFUNCTION("""COMPUTED_VALUE"""),46154.0)</f>
        <v>46154</v>
      </c>
      <c r="Y6" s="6" t="str">
        <f>IFERROR(__xludf.DUMMYFUNCTION("""COMPUTED_VALUE"""),"Habis")</f>
        <v>Habis</v>
      </c>
      <c r="Z6" s="6"/>
      <c r="AA6" s="6"/>
    </row>
    <row r="7">
      <c r="A7" s="161">
        <f>IFERROR(__xludf.DUMMYFUNCTION("""COMPUTED_VALUE"""),12.0)</f>
        <v>12</v>
      </c>
      <c r="B7" s="6" t="str">
        <f>IFERROR(__xludf.DUMMYFUNCTION("""COMPUTED_VALUE"""),"H8024OF")</f>
        <v>H8024OF</v>
      </c>
      <c r="C7" s="6">
        <f>IFERROR(__xludf.DUMMYFUNCTION("""COMPUTED_VALUE"""),5.0)</f>
        <v>5</v>
      </c>
      <c r="D7" s="6" t="str">
        <f>IFERROR(__xludf.DUMMYFUNCTION("""COMPUTED_VALUE"""),"PT. Sumber Trans Niaga")</f>
        <v>PT. Sumber Trans Niaga</v>
      </c>
      <c r="E7" s="6">
        <f>IFERROR(__xludf.DUMMYFUNCTION("""COMPUTED_VALUE"""),2022.0)</f>
        <v>2022</v>
      </c>
      <c r="F7" s="6">
        <f>IFERROR(__xludf.DUMMYFUNCTION("""COMPUTED_VALUE"""),2022.0)</f>
        <v>2022</v>
      </c>
      <c r="G7" s="6">
        <f>IFERROR(__xludf.DUMMYFUNCTION("""COMPUTED_VALUE"""),4.0)</f>
        <v>4</v>
      </c>
      <c r="H7" s="6">
        <f>IFERROR(__xludf.DUMMYFUNCTION("""COMPUTED_VALUE"""),4009.0)</f>
        <v>4009</v>
      </c>
      <c r="I7" s="6" t="str">
        <f>IFERROR(__xludf.DUMMYFUNCTION("""COMPUTED_VALUE"""),"PTO")</f>
        <v>PTO</v>
      </c>
      <c r="J7" s="6" t="str">
        <f>IFERROR(__xludf.DUMMYFUNCTION("""COMPUTED_VALUE"""),"CS")</f>
        <v>CS</v>
      </c>
      <c r="K7" s="6">
        <f>IFERROR(__xludf.DUMMYFUNCTION("""COMPUTED_VALUE"""),2022.0)</f>
        <v>2022</v>
      </c>
      <c r="L7" s="6">
        <f>IFERROR(__xludf.DUMMYFUNCTION("""COMPUTED_VALUE"""),4.0)</f>
        <v>4</v>
      </c>
      <c r="M7" s="6" t="str">
        <f>IFERROR(__xludf.DUMMYFUNCTION("""COMPUTED_VALUE"""),"Antika Raya")</f>
        <v>Antika Raya</v>
      </c>
      <c r="N7" s="6" t="str">
        <f>IFERROR(__xludf.DUMMYFUNCTION("""COMPUTED_VALUE"""),"HINO")</f>
        <v>HINO</v>
      </c>
      <c r="O7" s="6" t="str">
        <f>IFERROR(__xludf.DUMMYFUNCTION("""COMPUTED_VALUE"""),"XZU349R-HKMTBD3")</f>
        <v>XZU349R-HKMTBD3</v>
      </c>
      <c r="P7" s="6" t="str">
        <f>IFERROR(__xludf.DUMMYFUNCTION("""COMPUTED_VALUE"""),"N04CWYJ11170")</f>
        <v>N04CWYJ11170</v>
      </c>
      <c r="Q7" s="6" t="str">
        <f>IFERROR(__xludf.DUMMYFUNCTION("""COMPUTED_VALUE"""),"MJECCB2FXN5001124")</f>
        <v>MJECCB2FXN5001124</v>
      </c>
      <c r="R7" s="162">
        <f>IFERROR(__xludf.DUMMYFUNCTION("""COMPUTED_VALUE"""),46625.0)</f>
        <v>46625</v>
      </c>
      <c r="S7" s="6" t="str">
        <f>IFERROR(__xludf.DUMMYFUNCTION("""COMPUTED_VALUE"""),"Berlaku")</f>
        <v>Berlaku</v>
      </c>
      <c r="T7" s="162">
        <f>IFERROR(__xludf.DUMMYFUNCTION("""COMPUTED_VALUE"""),46260.0)</f>
        <v>46260</v>
      </c>
      <c r="U7" s="6" t="str">
        <f>IFERROR(__xludf.DUMMYFUNCTION("""COMPUTED_VALUE"""),"Habis")</f>
        <v>Habis</v>
      </c>
      <c r="V7" s="162">
        <f>IFERROR(__xludf.DUMMYFUNCTION("""COMPUTED_VALUE"""),46154.0)</f>
        <v>46154</v>
      </c>
      <c r="W7" s="6" t="str">
        <f>IFERROR(__xludf.DUMMYFUNCTION("""COMPUTED_VALUE"""),"Habis")</f>
        <v>Habis</v>
      </c>
      <c r="X7" s="162">
        <f>IFERROR(__xludf.DUMMYFUNCTION("""COMPUTED_VALUE"""),46154.0)</f>
        <v>46154</v>
      </c>
      <c r="Y7" s="6" t="str">
        <f>IFERROR(__xludf.DUMMYFUNCTION("""COMPUTED_VALUE"""),"Habis")</f>
        <v>Habis</v>
      </c>
      <c r="Z7" s="6"/>
      <c r="AA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</sheetData>
  <autoFilter ref="$B$2:$AA$128">
    <sortState ref="B2:AA128">
      <sortCondition ref="T2:T128"/>
    </sortState>
  </autoFilter>
  <mergeCells count="1">
    <mergeCell ref="B1:AA1"/>
  </mergeCells>
  <conditionalFormatting sqref="S3:S124 U3:U145 W3:W146 Y3:Y155">
    <cfRule type="containsText" dxfId="0" priority="1" operator="containsText" text="Akan Habis">
      <formula>NOT(ISERROR(SEARCH(("Akan Habis"),(S3))))</formula>
    </cfRule>
  </conditionalFormatting>
  <conditionalFormatting sqref="S3:S137 U3:U132 W3:W182 Y3:Y133">
    <cfRule type="containsText" dxfId="1" priority="2" operator="containsText" text="Habis">
      <formula>NOT(ISERROR(SEARCH(("Habis"),(S3))))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5.5"/>
    <col customWidth="1" min="2" max="2" width="6.88"/>
    <col customWidth="1" min="3" max="3" width="6.5"/>
    <col customWidth="1" min="4" max="4" width="18.88"/>
    <col customWidth="1" min="5" max="5" width="11.0"/>
    <col customWidth="1" min="6" max="6" width="12.63"/>
    <col customWidth="1" min="7" max="8" width="10.13"/>
    <col customWidth="1" min="9" max="9" width="14.75"/>
    <col customWidth="1" min="10" max="10" width="14.63"/>
    <col customWidth="1" min="11" max="11" width="13.38"/>
    <col customWidth="1" min="12" max="13" width="12.75"/>
    <col customWidth="1" min="14" max="14" width="12.0"/>
    <col customWidth="1" min="15" max="15" width="20.63"/>
    <col customWidth="1" min="16" max="16" width="15.0"/>
    <col customWidth="1" min="17" max="17" width="17.75"/>
    <col customWidth="1" min="18" max="18" width="11.63"/>
    <col customWidth="1" min="19" max="19" width="7.5"/>
    <col customWidth="1" min="20" max="20" width="11.63"/>
    <col customWidth="1" min="21" max="21" width="7.5"/>
    <col customWidth="1" min="22" max="22" width="10.88"/>
    <col customWidth="1" min="23" max="23" width="7.5"/>
    <col customWidth="1" min="24" max="24" width="10.88"/>
    <col customWidth="1" min="25" max="25" width="7.5"/>
    <col customWidth="1" min="26" max="26" width="11.38"/>
    <col customWidth="1" min="27" max="27" width="7.5"/>
    <col customWidth="1" min="28" max="28" width="19.25"/>
    <col customWidth="1" min="29" max="29" width="10.13"/>
    <col customWidth="1" min="30" max="30" width="11.5"/>
    <col customWidth="1" min="31" max="31" width="12.63"/>
    <col customWidth="1" min="32" max="32" width="43.13"/>
  </cols>
  <sheetData>
    <row r="1">
      <c r="A1" s="8"/>
      <c r="B1" s="8"/>
      <c r="C1" s="8"/>
      <c r="D1" s="8"/>
      <c r="E1" s="8"/>
      <c r="F1" s="8" t="s">
        <v>477</v>
      </c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>
      <c r="A2" s="8"/>
      <c r="B2" s="8"/>
      <c r="C2" s="8"/>
      <c r="D2" s="8"/>
      <c r="E2" s="8"/>
      <c r="F2" s="8" t="s">
        <v>480</v>
      </c>
      <c r="AI2" s="18">
        <v>1.91755E-5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>
      <c r="A3" s="20"/>
      <c r="C3" s="21"/>
      <c r="D3" s="21"/>
      <c r="E3" s="21"/>
      <c r="F3" s="21"/>
      <c r="G3" s="21"/>
      <c r="H3" s="21"/>
      <c r="I3" s="2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AA3" s="25"/>
      <c r="AB3" s="25"/>
      <c r="AC3" s="25"/>
      <c r="AD3" s="25"/>
      <c r="AE3" s="25"/>
      <c r="AF3" s="25"/>
      <c r="AG3" s="25"/>
      <c r="AH3" s="25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>
      <c r="A4" s="170">
        <v>2026.0</v>
      </c>
      <c r="B4" s="170"/>
      <c r="C4" s="171"/>
      <c r="D4" s="171"/>
      <c r="E4" s="171"/>
      <c r="F4" s="171"/>
      <c r="G4" s="172"/>
      <c r="H4" s="173"/>
      <c r="I4" s="171"/>
      <c r="J4" s="171"/>
      <c r="K4" s="171"/>
      <c r="L4" s="170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</row>
    <row r="5">
      <c r="A5" s="174" t="s">
        <v>2</v>
      </c>
      <c r="B5" s="176" t="s">
        <v>483</v>
      </c>
      <c r="C5" s="178" t="s">
        <v>5</v>
      </c>
      <c r="D5" s="178" t="s">
        <v>4</v>
      </c>
      <c r="E5" s="178" t="s">
        <v>485</v>
      </c>
      <c r="F5" s="178" t="s">
        <v>128</v>
      </c>
      <c r="G5" s="179" t="s">
        <v>130</v>
      </c>
      <c r="H5" s="180" t="s">
        <v>489</v>
      </c>
      <c r="I5" s="178" t="s">
        <v>137</v>
      </c>
      <c r="J5" s="178" t="s">
        <v>141</v>
      </c>
      <c r="K5" s="178" t="s">
        <v>490</v>
      </c>
      <c r="L5" s="181" t="s">
        <v>140</v>
      </c>
      <c r="M5" s="178" t="s">
        <v>138</v>
      </c>
      <c r="N5" s="178" t="s">
        <v>143</v>
      </c>
      <c r="O5" s="178" t="s">
        <v>131</v>
      </c>
      <c r="P5" s="178" t="s">
        <v>144</v>
      </c>
      <c r="Q5" s="178" t="s">
        <v>146</v>
      </c>
      <c r="R5" s="182" t="s">
        <v>82</v>
      </c>
      <c r="S5" s="37"/>
      <c r="T5" s="182" t="s">
        <v>90</v>
      </c>
      <c r="U5" s="37"/>
      <c r="V5" s="182" t="s">
        <v>96</v>
      </c>
      <c r="W5" s="37"/>
      <c r="X5" s="183" t="s">
        <v>99</v>
      </c>
      <c r="Y5" s="37"/>
      <c r="Z5" s="184" t="s">
        <v>492</v>
      </c>
      <c r="AA5" s="37"/>
      <c r="AB5" s="185" t="s">
        <v>493</v>
      </c>
      <c r="AC5" s="150" t="s">
        <v>496</v>
      </c>
      <c r="AD5" s="186" t="s">
        <v>497</v>
      </c>
      <c r="AE5" s="186" t="s">
        <v>498</v>
      </c>
      <c r="AF5" s="151" t="s">
        <v>499</v>
      </c>
    </row>
    <row r="6">
      <c r="A6" s="48"/>
      <c r="B6" s="48"/>
      <c r="C6" s="48"/>
      <c r="D6" s="48"/>
      <c r="E6" s="48"/>
      <c r="F6" s="187"/>
      <c r="G6" s="188"/>
      <c r="H6" s="48"/>
      <c r="I6" s="48"/>
      <c r="J6" s="48"/>
      <c r="K6" s="48"/>
      <c r="L6" s="188"/>
      <c r="M6" s="48"/>
      <c r="N6" s="48"/>
      <c r="O6" s="48"/>
      <c r="P6" s="48"/>
      <c r="Q6" s="48"/>
      <c r="R6" s="189" t="s">
        <v>500</v>
      </c>
      <c r="S6" s="187" t="s">
        <v>148</v>
      </c>
      <c r="T6" s="189" t="s">
        <v>501</v>
      </c>
      <c r="U6" s="187" t="s">
        <v>148</v>
      </c>
      <c r="V6" s="189" t="s">
        <v>61</v>
      </c>
      <c r="W6" s="187" t="s">
        <v>148</v>
      </c>
      <c r="X6" s="189" t="s">
        <v>63</v>
      </c>
      <c r="Y6" s="187" t="s">
        <v>148</v>
      </c>
      <c r="Z6" s="189" t="s">
        <v>502</v>
      </c>
      <c r="AA6" s="187" t="s">
        <v>148</v>
      </c>
      <c r="AB6" s="190" t="s">
        <v>503</v>
      </c>
      <c r="AC6" s="150" t="s">
        <v>504</v>
      </c>
      <c r="AD6" s="48"/>
      <c r="AE6" s="48"/>
      <c r="AF6" s="191"/>
    </row>
    <row r="7">
      <c r="A7" s="193">
        <v>1.0</v>
      </c>
      <c r="B7" s="194" t="s">
        <v>9</v>
      </c>
      <c r="C7" s="194">
        <v>5.0</v>
      </c>
      <c r="D7" s="194" t="s">
        <v>11</v>
      </c>
      <c r="E7" s="194">
        <v>2024.0</v>
      </c>
      <c r="F7" s="194">
        <v>2025.0</v>
      </c>
      <c r="G7" s="195">
        <f>A4-F7</f>
        <v>1</v>
      </c>
      <c r="H7" s="196">
        <v>4009.0</v>
      </c>
      <c r="I7" s="194" t="s">
        <v>316</v>
      </c>
      <c r="J7" s="194" t="s">
        <v>245</v>
      </c>
      <c r="K7" s="194">
        <v>2025.0</v>
      </c>
      <c r="L7" s="11">
        <f>A4-K7</f>
        <v>1</v>
      </c>
      <c r="M7" s="194" t="s">
        <v>508</v>
      </c>
      <c r="N7" s="194" t="s">
        <v>163</v>
      </c>
      <c r="O7" s="194" t="s">
        <v>509</v>
      </c>
      <c r="P7" s="194" t="s">
        <v>510</v>
      </c>
      <c r="Q7" s="194" t="s">
        <v>511</v>
      </c>
      <c r="R7" s="197">
        <v>46448.0</v>
      </c>
      <c r="S7" s="54" t="str">
        <f t="shared" ref="S7:S23" si="1">IF(R7&lt;TODAY(),"Habis",IF(R7&lt;=TODAY()+14,"Akan Habis","Berlaku"))</f>
        <v>Berlaku</v>
      </c>
      <c r="T7" s="197">
        <v>46448.0</v>
      </c>
      <c r="U7" s="54" t="str">
        <f t="shared" ref="U7:U23" si="2">IF(T7&lt;TODAY(),"Habis",IF(T7&lt;=TODAY()+14,"Akan Habis","Berlaku"))</f>
        <v>Berlaku</v>
      </c>
      <c r="V7" s="197">
        <v>46448.0</v>
      </c>
      <c r="W7" s="54" t="str">
        <f t="shared" ref="W7:W23" si="3">IF(V7&lt;TODAY(),"Habis",IF(V7&lt;=TODAY()+14,"Akan Habis","Berlaku"))</f>
        <v>Berlaku</v>
      </c>
      <c r="X7" s="197">
        <v>46448.0</v>
      </c>
      <c r="Y7" s="54" t="str">
        <f t="shared" ref="Y7:Y23" si="4">IF(X7&lt;TODAY(),"Habis",IF(X7&lt;=TODAY()+14,"Akan Habis","Berlaku"))</f>
        <v>Berlaku</v>
      </c>
      <c r="Z7" s="198">
        <v>46064.0</v>
      </c>
      <c r="AA7" s="54" t="str">
        <f t="shared" ref="AA7:AA23" si="5">IF(Z7&lt;TODAY(),"Habis",IF(Z7&lt;=TODAY()+14,"Akan Habis","Berlaku"))</f>
        <v>Habis</v>
      </c>
      <c r="AB7" s="199"/>
      <c r="AC7" s="159">
        <f t="shared" ref="AC7:AC23" si="6">X7-TODAY()</f>
        <v>153</v>
      </c>
      <c r="AD7" s="193" t="s">
        <v>516</v>
      </c>
      <c r="AE7" s="194"/>
      <c r="AF7" s="191"/>
    </row>
    <row r="8">
      <c r="A8" s="193">
        <v>2.0</v>
      </c>
      <c r="B8" s="194" t="s">
        <v>13</v>
      </c>
      <c r="C8" s="194">
        <v>5.0</v>
      </c>
      <c r="D8" s="194" t="s">
        <v>11</v>
      </c>
      <c r="E8" s="194">
        <v>2022.0</v>
      </c>
      <c r="F8" s="194">
        <v>2022.0</v>
      </c>
      <c r="G8" s="195">
        <f>A4-F8</f>
        <v>4</v>
      </c>
      <c r="H8" s="196">
        <v>4009.0</v>
      </c>
      <c r="I8" s="194" t="s">
        <v>316</v>
      </c>
      <c r="J8" s="194" t="s">
        <v>245</v>
      </c>
      <c r="K8" s="194">
        <v>2022.0</v>
      </c>
      <c r="L8" s="11">
        <f>A4-K8</f>
        <v>4</v>
      </c>
      <c r="M8" s="194" t="s">
        <v>508</v>
      </c>
      <c r="N8" s="194" t="s">
        <v>163</v>
      </c>
      <c r="O8" s="194" t="s">
        <v>517</v>
      </c>
      <c r="P8" s="194" t="s">
        <v>518</v>
      </c>
      <c r="Q8" s="194" t="s">
        <v>519</v>
      </c>
      <c r="R8" s="197">
        <v>46565.0</v>
      </c>
      <c r="S8" s="54" t="str">
        <f t="shared" si="1"/>
        <v>Berlaku</v>
      </c>
      <c r="T8" s="197">
        <v>46565.0</v>
      </c>
      <c r="U8" s="54" t="str">
        <f t="shared" si="2"/>
        <v>Berlaku</v>
      </c>
      <c r="V8" s="197">
        <v>46204.0</v>
      </c>
      <c r="W8" s="54" t="str">
        <f t="shared" si="3"/>
        <v>Habis</v>
      </c>
      <c r="X8" s="197">
        <v>46204.0</v>
      </c>
      <c r="Y8" s="54" t="str">
        <f t="shared" si="4"/>
        <v>Habis</v>
      </c>
      <c r="Z8" s="198">
        <v>46631.0</v>
      </c>
      <c r="AA8" s="54" t="str">
        <f t="shared" si="5"/>
        <v>Berlaku</v>
      </c>
      <c r="AB8" s="199"/>
      <c r="AC8" s="159">
        <f t="shared" si="6"/>
        <v>-91</v>
      </c>
      <c r="AD8" s="201">
        <v>46449.0</v>
      </c>
      <c r="AE8" s="194"/>
      <c r="AF8" s="191"/>
    </row>
    <row r="9">
      <c r="A9" s="193">
        <v>3.0</v>
      </c>
      <c r="B9" s="16" t="s">
        <v>15</v>
      </c>
      <c r="C9" s="194">
        <v>8.0</v>
      </c>
      <c r="D9" s="194" t="s">
        <v>16</v>
      </c>
      <c r="E9" s="194">
        <v>2025.0</v>
      </c>
      <c r="F9" s="193">
        <v>2025.0</v>
      </c>
      <c r="G9" s="195">
        <f>A4-F9</f>
        <v>1</v>
      </c>
      <c r="H9" s="202">
        <v>7684.0</v>
      </c>
      <c r="I9" s="194" t="s">
        <v>316</v>
      </c>
      <c r="J9" s="194" t="s">
        <v>245</v>
      </c>
      <c r="K9" s="193">
        <v>2025.0</v>
      </c>
      <c r="L9" s="11">
        <f>A4-K9</f>
        <v>1</v>
      </c>
      <c r="M9" s="193" t="s">
        <v>522</v>
      </c>
      <c r="N9" s="194" t="s">
        <v>163</v>
      </c>
      <c r="O9" s="193" t="s">
        <v>325</v>
      </c>
      <c r="P9" s="194" t="s">
        <v>525</v>
      </c>
      <c r="Q9" s="194" t="s">
        <v>526</v>
      </c>
      <c r="R9" s="197">
        <v>46500.0</v>
      </c>
      <c r="S9" s="54" t="str">
        <f t="shared" si="1"/>
        <v>Berlaku</v>
      </c>
      <c r="T9" s="197">
        <v>46500.0</v>
      </c>
      <c r="U9" s="54" t="str">
        <f t="shared" si="2"/>
        <v>Berlaku</v>
      </c>
      <c r="V9" s="197">
        <v>46385.0</v>
      </c>
      <c r="W9" s="54" t="str">
        <f t="shared" si="3"/>
        <v>Berlaku</v>
      </c>
      <c r="X9" s="197">
        <v>46385.0</v>
      </c>
      <c r="Y9" s="54" t="str">
        <f t="shared" si="4"/>
        <v>Berlaku</v>
      </c>
      <c r="Z9" s="198">
        <v>46569.0</v>
      </c>
      <c r="AA9" s="54" t="str">
        <f t="shared" si="5"/>
        <v>Berlaku</v>
      </c>
      <c r="AB9" s="199"/>
      <c r="AC9" s="159">
        <f t="shared" si="6"/>
        <v>90</v>
      </c>
      <c r="AD9" s="203">
        <v>46305.0</v>
      </c>
      <c r="AE9" s="194"/>
      <c r="AF9" s="151" t="s">
        <v>527</v>
      </c>
    </row>
    <row r="10">
      <c r="A10" s="204">
        <v>4.0</v>
      </c>
      <c r="B10" s="205" t="s">
        <v>18</v>
      </c>
      <c r="C10" s="205">
        <v>5.0</v>
      </c>
      <c r="D10" s="205" t="s">
        <v>19</v>
      </c>
      <c r="E10" s="205">
        <v>2018.0</v>
      </c>
      <c r="F10" s="205">
        <v>2018.0</v>
      </c>
      <c r="G10" s="206">
        <f>A4-F10</f>
        <v>8</v>
      </c>
      <c r="H10" s="207">
        <v>4009.0</v>
      </c>
      <c r="I10" s="205" t="s">
        <v>316</v>
      </c>
      <c r="J10" s="205" t="s">
        <v>245</v>
      </c>
      <c r="K10" s="205">
        <v>2018.0</v>
      </c>
      <c r="L10" s="46">
        <f>A4-K10</f>
        <v>8</v>
      </c>
      <c r="M10" s="205" t="s">
        <v>508</v>
      </c>
      <c r="N10" s="205" t="s">
        <v>163</v>
      </c>
      <c r="O10" s="194" t="s">
        <v>517</v>
      </c>
      <c r="P10" s="194" t="s">
        <v>528</v>
      </c>
      <c r="Q10" s="194" t="s">
        <v>529</v>
      </c>
      <c r="R10" s="197">
        <v>46989.0</v>
      </c>
      <c r="S10" s="54" t="str">
        <f t="shared" si="1"/>
        <v>Berlaku</v>
      </c>
      <c r="T10" s="197">
        <v>46989.0</v>
      </c>
      <c r="U10" s="54" t="str">
        <f t="shared" si="2"/>
        <v>Berlaku</v>
      </c>
      <c r="V10" s="197">
        <v>46339.0</v>
      </c>
      <c r="W10" s="54" t="str">
        <f t="shared" si="3"/>
        <v>Berlaku</v>
      </c>
      <c r="X10" s="197">
        <v>46339.0</v>
      </c>
      <c r="Y10" s="54" t="str">
        <f t="shared" si="4"/>
        <v>Berlaku</v>
      </c>
      <c r="Z10" s="208" t="s">
        <v>530</v>
      </c>
      <c r="AA10" s="54" t="str">
        <f t="shared" si="5"/>
        <v>Berlaku</v>
      </c>
      <c r="AB10" s="199"/>
      <c r="AC10" s="159">
        <f t="shared" si="6"/>
        <v>44</v>
      </c>
      <c r="AD10" s="209">
        <v>46601.0</v>
      </c>
      <c r="AE10" s="194"/>
      <c r="AF10" s="191"/>
    </row>
    <row r="11">
      <c r="A11" s="210">
        <v>5.0</v>
      </c>
      <c r="B11" s="210" t="s">
        <v>21</v>
      </c>
      <c r="C11" s="194">
        <v>5.0</v>
      </c>
      <c r="D11" s="194" t="s">
        <v>19</v>
      </c>
      <c r="E11" s="194">
        <v>2021.0</v>
      </c>
      <c r="F11" s="194">
        <v>2022.0</v>
      </c>
      <c r="G11" s="195">
        <f>A4-F11</f>
        <v>4</v>
      </c>
      <c r="H11" s="196">
        <v>4009.0</v>
      </c>
      <c r="I11" s="194" t="s">
        <v>316</v>
      </c>
      <c r="J11" s="194" t="s">
        <v>245</v>
      </c>
      <c r="K11" s="194">
        <v>2021.0</v>
      </c>
      <c r="L11" s="11">
        <f>A4-K11</f>
        <v>5</v>
      </c>
      <c r="M11" s="194" t="s">
        <v>508</v>
      </c>
      <c r="N11" s="194" t="s">
        <v>163</v>
      </c>
      <c r="O11" s="194" t="s">
        <v>517</v>
      </c>
      <c r="P11" s="194" t="s">
        <v>532</v>
      </c>
      <c r="Q11" s="194" t="s">
        <v>533</v>
      </c>
      <c r="R11" s="197">
        <v>48018.0</v>
      </c>
      <c r="S11" s="54" t="str">
        <f t="shared" si="1"/>
        <v>Berlaku</v>
      </c>
      <c r="T11" s="197">
        <v>48018.0</v>
      </c>
      <c r="U11" s="54" t="str">
        <f t="shared" si="2"/>
        <v>Berlaku</v>
      </c>
      <c r="V11" s="197">
        <v>46378.0</v>
      </c>
      <c r="W11" s="54" t="str">
        <f t="shared" si="3"/>
        <v>Berlaku</v>
      </c>
      <c r="X11" s="197">
        <v>46378.0</v>
      </c>
      <c r="Y11" s="54" t="str">
        <f t="shared" si="4"/>
        <v>Berlaku</v>
      </c>
      <c r="Z11" s="208">
        <v>46192.0</v>
      </c>
      <c r="AA11" s="54" t="str">
        <f t="shared" si="5"/>
        <v>Habis</v>
      </c>
      <c r="AB11" s="199"/>
      <c r="AC11" s="159">
        <f t="shared" si="6"/>
        <v>83</v>
      </c>
      <c r="AD11" s="211">
        <v>46601.0</v>
      </c>
      <c r="AE11" s="194"/>
      <c r="AF11" s="191"/>
    </row>
    <row r="12">
      <c r="A12" s="193">
        <v>6.0</v>
      </c>
      <c r="B12" s="15" t="s">
        <v>23</v>
      </c>
      <c r="C12" s="194">
        <v>5.0</v>
      </c>
      <c r="D12" s="194" t="s">
        <v>19</v>
      </c>
      <c r="E12" s="194">
        <v>2021.0</v>
      </c>
      <c r="F12" s="194">
        <v>2022.0</v>
      </c>
      <c r="G12" s="195">
        <f>A4-F12</f>
        <v>4</v>
      </c>
      <c r="H12" s="196">
        <v>4009.0</v>
      </c>
      <c r="I12" s="194" t="s">
        <v>316</v>
      </c>
      <c r="J12" s="194" t="s">
        <v>245</v>
      </c>
      <c r="K12" s="194">
        <v>2021.0</v>
      </c>
      <c r="L12" s="11">
        <f>A4-K12</f>
        <v>5</v>
      </c>
      <c r="M12" s="194" t="s">
        <v>508</v>
      </c>
      <c r="N12" s="194" t="s">
        <v>163</v>
      </c>
      <c r="O12" s="194" t="s">
        <v>517</v>
      </c>
      <c r="P12" s="194" t="s">
        <v>537</v>
      </c>
      <c r="Q12" s="194" t="s">
        <v>538</v>
      </c>
      <c r="R12" s="197">
        <v>48048.0</v>
      </c>
      <c r="S12" s="54" t="str">
        <f t="shared" si="1"/>
        <v>Berlaku</v>
      </c>
      <c r="T12" s="197">
        <v>48048.0</v>
      </c>
      <c r="U12" s="54" t="str">
        <f t="shared" si="2"/>
        <v>Berlaku</v>
      </c>
      <c r="V12" s="197">
        <v>46378.0</v>
      </c>
      <c r="W12" s="54" t="str">
        <f t="shared" si="3"/>
        <v>Berlaku</v>
      </c>
      <c r="X12" s="197">
        <v>46378.0</v>
      </c>
      <c r="Y12" s="54" t="str">
        <f t="shared" si="4"/>
        <v>Berlaku</v>
      </c>
      <c r="Z12" s="208">
        <v>46192.0</v>
      </c>
      <c r="AA12" s="54" t="str">
        <f t="shared" si="5"/>
        <v>Habis</v>
      </c>
      <c r="AB12" s="199"/>
      <c r="AC12" s="159">
        <f t="shared" si="6"/>
        <v>83</v>
      </c>
      <c r="AD12" s="211">
        <v>46601.0</v>
      </c>
      <c r="AE12" s="194"/>
      <c r="AF12" s="191"/>
    </row>
    <row r="13">
      <c r="A13" s="193">
        <v>7.0</v>
      </c>
      <c r="B13" s="16" t="s">
        <v>25</v>
      </c>
      <c r="C13" s="194">
        <v>5.0</v>
      </c>
      <c r="D13" s="194" t="s">
        <v>19</v>
      </c>
      <c r="E13" s="194">
        <v>2021.0</v>
      </c>
      <c r="F13" s="194">
        <v>2021.0</v>
      </c>
      <c r="G13" s="195">
        <f>A4-F13</f>
        <v>5</v>
      </c>
      <c r="H13" s="196">
        <v>4009.0</v>
      </c>
      <c r="I13" s="194" t="s">
        <v>316</v>
      </c>
      <c r="J13" s="194" t="s">
        <v>245</v>
      </c>
      <c r="K13" s="194">
        <v>2021.0</v>
      </c>
      <c r="L13" s="11">
        <f>A4-K13</f>
        <v>5</v>
      </c>
      <c r="M13" s="194" t="s">
        <v>508</v>
      </c>
      <c r="N13" s="194" t="s">
        <v>163</v>
      </c>
      <c r="O13" s="194" t="s">
        <v>539</v>
      </c>
      <c r="P13" s="194" t="s">
        <v>540</v>
      </c>
      <c r="Q13" s="194" t="s">
        <v>541</v>
      </c>
      <c r="R13" s="197">
        <v>46288.0</v>
      </c>
      <c r="S13" s="54" t="str">
        <f t="shared" si="1"/>
        <v>Habis</v>
      </c>
      <c r="T13" s="197">
        <v>46288.0</v>
      </c>
      <c r="U13" s="54" t="str">
        <f t="shared" si="2"/>
        <v>Habis</v>
      </c>
      <c r="V13" s="197">
        <v>46090.0</v>
      </c>
      <c r="W13" s="54" t="str">
        <f t="shared" si="3"/>
        <v>Habis</v>
      </c>
      <c r="X13" s="197">
        <v>46090.0</v>
      </c>
      <c r="Y13" s="54" t="str">
        <f t="shared" si="4"/>
        <v>Habis</v>
      </c>
      <c r="Z13" s="208" t="s">
        <v>542</v>
      </c>
      <c r="AA13" s="54" t="str">
        <f t="shared" si="5"/>
        <v>Berlaku</v>
      </c>
      <c r="AB13" s="199"/>
      <c r="AC13" s="159">
        <f t="shared" si="6"/>
        <v>-205</v>
      </c>
      <c r="AD13" s="212" t="s">
        <v>543</v>
      </c>
      <c r="AE13" s="194"/>
      <c r="AF13" s="191"/>
    </row>
    <row r="14">
      <c r="A14" s="193">
        <v>8.0</v>
      </c>
      <c r="B14" s="16" t="s">
        <v>27</v>
      </c>
      <c r="C14" s="194">
        <v>5.0</v>
      </c>
      <c r="D14" s="194" t="s">
        <v>19</v>
      </c>
      <c r="E14" s="194">
        <v>2021.0</v>
      </c>
      <c r="F14" s="194">
        <v>2021.0</v>
      </c>
      <c r="G14" s="195">
        <f>A4-F14</f>
        <v>5</v>
      </c>
      <c r="H14" s="196">
        <v>4009.0</v>
      </c>
      <c r="I14" s="194" t="s">
        <v>316</v>
      </c>
      <c r="J14" s="194" t="s">
        <v>245</v>
      </c>
      <c r="K14" s="194">
        <v>2021.0</v>
      </c>
      <c r="L14" s="11">
        <f>A4-K14</f>
        <v>5</v>
      </c>
      <c r="M14" s="194" t="s">
        <v>508</v>
      </c>
      <c r="N14" s="194" t="s">
        <v>163</v>
      </c>
      <c r="O14" s="194" t="s">
        <v>539</v>
      </c>
      <c r="P14" s="194" t="s">
        <v>545</v>
      </c>
      <c r="Q14" s="194" t="s">
        <v>546</v>
      </c>
      <c r="R14" s="197">
        <v>46288.0</v>
      </c>
      <c r="S14" s="54" t="str">
        <f t="shared" si="1"/>
        <v>Habis</v>
      </c>
      <c r="T14" s="197">
        <v>46288.0</v>
      </c>
      <c r="U14" s="54" t="str">
        <f t="shared" si="2"/>
        <v>Habis</v>
      </c>
      <c r="V14" s="197">
        <v>46325.0</v>
      </c>
      <c r="W14" s="54" t="str">
        <f t="shared" si="3"/>
        <v>Berlaku</v>
      </c>
      <c r="X14" s="197">
        <v>46325.0</v>
      </c>
      <c r="Y14" s="54" t="str">
        <f t="shared" si="4"/>
        <v>Berlaku</v>
      </c>
      <c r="Z14" s="198" t="s">
        <v>547</v>
      </c>
      <c r="AA14" s="54" t="str">
        <f t="shared" si="5"/>
        <v>Berlaku</v>
      </c>
      <c r="AB14" s="199"/>
      <c r="AC14" s="159">
        <f t="shared" si="6"/>
        <v>30</v>
      </c>
      <c r="AD14" s="193" t="s">
        <v>543</v>
      </c>
      <c r="AE14" s="194"/>
      <c r="AF14" s="191"/>
    </row>
    <row r="15">
      <c r="A15" s="193">
        <v>9.0</v>
      </c>
      <c r="B15" s="16" t="s">
        <v>29</v>
      </c>
      <c r="C15" s="194">
        <v>5.0</v>
      </c>
      <c r="D15" s="194" t="s">
        <v>30</v>
      </c>
      <c r="E15" s="194">
        <v>2021.0</v>
      </c>
      <c r="F15" s="194">
        <v>2021.0</v>
      </c>
      <c r="G15" s="195">
        <f>A4-F15</f>
        <v>5</v>
      </c>
      <c r="H15" s="196">
        <v>4009.0</v>
      </c>
      <c r="I15" s="194" t="s">
        <v>316</v>
      </c>
      <c r="J15" s="194" t="s">
        <v>245</v>
      </c>
      <c r="K15" s="194">
        <v>2021.0</v>
      </c>
      <c r="L15" s="11">
        <f>A4-K15</f>
        <v>5</v>
      </c>
      <c r="M15" s="194" t="s">
        <v>508</v>
      </c>
      <c r="N15" s="194" t="s">
        <v>163</v>
      </c>
      <c r="O15" s="194" t="s">
        <v>539</v>
      </c>
      <c r="P15" s="194" t="s">
        <v>550</v>
      </c>
      <c r="Q15" s="194" t="s">
        <v>551</v>
      </c>
      <c r="R15" s="215">
        <v>46394.0</v>
      </c>
      <c r="S15" s="54" t="str">
        <f t="shared" si="1"/>
        <v>Berlaku</v>
      </c>
      <c r="T15" s="197">
        <v>46394.0</v>
      </c>
      <c r="U15" s="54" t="str">
        <f t="shared" si="2"/>
        <v>Berlaku</v>
      </c>
      <c r="V15" s="197">
        <v>46324.0</v>
      </c>
      <c r="W15" s="54" t="str">
        <f t="shared" si="3"/>
        <v>Berlaku</v>
      </c>
      <c r="X15" s="197">
        <v>46324.0</v>
      </c>
      <c r="Y15" s="54" t="str">
        <f t="shared" si="4"/>
        <v>Berlaku</v>
      </c>
      <c r="Z15" s="208" t="s">
        <v>547</v>
      </c>
      <c r="AA15" s="54" t="str">
        <f t="shared" si="5"/>
        <v>Berlaku</v>
      </c>
      <c r="AB15" s="199"/>
      <c r="AC15" s="159">
        <f t="shared" si="6"/>
        <v>29</v>
      </c>
      <c r="AD15" s="212" t="s">
        <v>552</v>
      </c>
      <c r="AE15" s="194"/>
      <c r="AF15" s="191"/>
    </row>
    <row r="16">
      <c r="A16" s="193">
        <v>10.0</v>
      </c>
      <c r="B16" s="216" t="s">
        <v>32</v>
      </c>
      <c r="C16" s="194">
        <v>5.0</v>
      </c>
      <c r="D16" s="194" t="s">
        <v>30</v>
      </c>
      <c r="E16" s="194">
        <v>2021.0</v>
      </c>
      <c r="F16" s="194">
        <v>2021.0</v>
      </c>
      <c r="G16" s="195">
        <f>A4-F16</f>
        <v>5</v>
      </c>
      <c r="H16" s="196">
        <v>4009.0</v>
      </c>
      <c r="I16" s="193" t="s">
        <v>316</v>
      </c>
      <c r="J16" s="194" t="s">
        <v>245</v>
      </c>
      <c r="K16" s="194">
        <v>2021.0</v>
      </c>
      <c r="L16" s="11">
        <f>A4-K16</f>
        <v>5</v>
      </c>
      <c r="M16" s="194" t="s">
        <v>508</v>
      </c>
      <c r="N16" s="194" t="s">
        <v>163</v>
      </c>
      <c r="O16" s="194" t="s">
        <v>539</v>
      </c>
      <c r="P16" s="194" t="s">
        <v>553</v>
      </c>
      <c r="Q16" s="194" t="s">
        <v>554</v>
      </c>
      <c r="R16" s="215">
        <v>46394.0</v>
      </c>
      <c r="S16" s="54" t="str">
        <f t="shared" si="1"/>
        <v>Berlaku</v>
      </c>
      <c r="T16" s="197">
        <v>46394.0</v>
      </c>
      <c r="U16" s="54" t="str">
        <f t="shared" si="2"/>
        <v>Berlaku</v>
      </c>
      <c r="V16" s="197">
        <v>46322.0</v>
      </c>
      <c r="W16" s="54" t="str">
        <f t="shared" si="3"/>
        <v>Berlaku</v>
      </c>
      <c r="X16" s="197">
        <v>46322.0</v>
      </c>
      <c r="Y16" s="54" t="str">
        <f t="shared" si="4"/>
        <v>Berlaku</v>
      </c>
      <c r="Z16" s="208" t="s">
        <v>555</v>
      </c>
      <c r="AA16" s="54" t="str">
        <f t="shared" si="5"/>
        <v>Berlaku</v>
      </c>
      <c r="AB16" s="199"/>
      <c r="AC16" s="159">
        <f t="shared" si="6"/>
        <v>27</v>
      </c>
      <c r="AD16" s="194"/>
      <c r="AE16" s="194"/>
      <c r="AF16" s="191"/>
    </row>
    <row r="17">
      <c r="A17" s="193">
        <v>11.0</v>
      </c>
      <c r="B17" s="216" t="s">
        <v>34</v>
      </c>
      <c r="C17" s="194">
        <v>5.0</v>
      </c>
      <c r="D17" s="194" t="s">
        <v>30</v>
      </c>
      <c r="E17" s="194">
        <v>2022.0</v>
      </c>
      <c r="F17" s="194">
        <v>2022.0</v>
      </c>
      <c r="G17" s="195">
        <f>A4-F17</f>
        <v>4</v>
      </c>
      <c r="H17" s="196">
        <v>4009.0</v>
      </c>
      <c r="I17" s="194" t="s">
        <v>316</v>
      </c>
      <c r="J17" s="194" t="s">
        <v>245</v>
      </c>
      <c r="K17" s="194">
        <v>2022.0</v>
      </c>
      <c r="L17" s="11">
        <f>A4-K17</f>
        <v>4</v>
      </c>
      <c r="M17" s="194" t="s">
        <v>559</v>
      </c>
      <c r="N17" s="194" t="s">
        <v>163</v>
      </c>
      <c r="O17" s="194" t="s">
        <v>509</v>
      </c>
      <c r="P17" s="194" t="s">
        <v>560</v>
      </c>
      <c r="Q17" s="194" t="s">
        <v>561</v>
      </c>
      <c r="R17" s="215">
        <v>46625.0</v>
      </c>
      <c r="S17" s="54" t="str">
        <f t="shared" si="1"/>
        <v>Berlaku</v>
      </c>
      <c r="T17" s="197">
        <v>46625.0</v>
      </c>
      <c r="U17" s="54" t="str">
        <f t="shared" si="2"/>
        <v>Berlaku</v>
      </c>
      <c r="V17" s="197">
        <v>46154.0</v>
      </c>
      <c r="W17" s="54" t="str">
        <f t="shared" si="3"/>
        <v>Habis</v>
      </c>
      <c r="X17" s="197">
        <v>46154.0</v>
      </c>
      <c r="Y17" s="54" t="str">
        <f t="shared" si="4"/>
        <v>Habis</v>
      </c>
      <c r="Z17" s="198">
        <v>46569.0</v>
      </c>
      <c r="AA17" s="54" t="str">
        <f t="shared" si="5"/>
        <v>Berlaku</v>
      </c>
      <c r="AB17" s="199"/>
      <c r="AC17" s="159">
        <f t="shared" si="6"/>
        <v>-141</v>
      </c>
      <c r="AD17" s="194"/>
      <c r="AE17" s="194"/>
      <c r="AF17" s="191"/>
    </row>
    <row r="18">
      <c r="A18" s="193">
        <v>12.0</v>
      </c>
      <c r="B18" s="216" t="s">
        <v>37</v>
      </c>
      <c r="C18" s="194">
        <v>5.0</v>
      </c>
      <c r="D18" s="194" t="s">
        <v>30</v>
      </c>
      <c r="E18" s="194">
        <v>2022.0</v>
      </c>
      <c r="F18" s="194">
        <v>2022.0</v>
      </c>
      <c r="G18" s="195">
        <f>A4-F18</f>
        <v>4</v>
      </c>
      <c r="H18" s="196">
        <v>4009.0</v>
      </c>
      <c r="I18" s="194" t="s">
        <v>316</v>
      </c>
      <c r="J18" s="194" t="s">
        <v>245</v>
      </c>
      <c r="K18" s="194">
        <v>2022.0</v>
      </c>
      <c r="L18" s="11">
        <f>A4-K18</f>
        <v>4</v>
      </c>
      <c r="M18" s="194" t="s">
        <v>559</v>
      </c>
      <c r="N18" s="194" t="s">
        <v>163</v>
      </c>
      <c r="O18" s="194" t="s">
        <v>509</v>
      </c>
      <c r="P18" s="194" t="s">
        <v>562</v>
      </c>
      <c r="Q18" s="194" t="s">
        <v>563</v>
      </c>
      <c r="R18" s="215">
        <v>46625.0</v>
      </c>
      <c r="S18" s="54" t="str">
        <f t="shared" si="1"/>
        <v>Berlaku</v>
      </c>
      <c r="T18" s="197">
        <v>46260.0</v>
      </c>
      <c r="U18" s="54" t="str">
        <f t="shared" si="2"/>
        <v>Habis</v>
      </c>
      <c r="V18" s="197">
        <v>46154.0</v>
      </c>
      <c r="W18" s="54" t="str">
        <f t="shared" si="3"/>
        <v>Habis</v>
      </c>
      <c r="X18" s="197">
        <v>46154.0</v>
      </c>
      <c r="Y18" s="54" t="str">
        <f t="shared" si="4"/>
        <v>Habis</v>
      </c>
      <c r="Z18" s="198">
        <v>46569.0</v>
      </c>
      <c r="AA18" s="54" t="str">
        <f t="shared" si="5"/>
        <v>Berlaku</v>
      </c>
      <c r="AB18" s="199"/>
      <c r="AC18" s="159">
        <f t="shared" si="6"/>
        <v>-141</v>
      </c>
      <c r="AD18" s="194"/>
      <c r="AE18" s="194"/>
      <c r="AF18" s="191"/>
    </row>
    <row r="19">
      <c r="A19" s="193">
        <v>13.0</v>
      </c>
      <c r="B19" s="216" t="s">
        <v>40</v>
      </c>
      <c r="C19" s="16">
        <v>5.0</v>
      </c>
      <c r="D19" s="16" t="s">
        <v>30</v>
      </c>
      <c r="E19" s="16">
        <v>2023.0</v>
      </c>
      <c r="F19" s="16">
        <v>2024.0</v>
      </c>
      <c r="G19" s="195">
        <f>A4-F19</f>
        <v>2</v>
      </c>
      <c r="H19" s="217">
        <v>4009.0</v>
      </c>
      <c r="I19" s="16" t="s">
        <v>316</v>
      </c>
      <c r="J19" s="16" t="s">
        <v>245</v>
      </c>
      <c r="K19" s="16">
        <v>2023.0</v>
      </c>
      <c r="L19" s="11">
        <f>A4-K19</f>
        <v>3</v>
      </c>
      <c r="M19" s="16" t="s">
        <v>508</v>
      </c>
      <c r="N19" s="16" t="s">
        <v>163</v>
      </c>
      <c r="O19" s="16" t="s">
        <v>565</v>
      </c>
      <c r="P19" s="16" t="s">
        <v>566</v>
      </c>
      <c r="Q19" s="16" t="s">
        <v>567</v>
      </c>
      <c r="R19" s="215">
        <v>47156.0</v>
      </c>
      <c r="S19" s="54" t="str">
        <f t="shared" si="1"/>
        <v>Berlaku</v>
      </c>
      <c r="T19" s="197">
        <v>47301.0</v>
      </c>
      <c r="U19" s="54" t="str">
        <f t="shared" si="2"/>
        <v>Berlaku</v>
      </c>
      <c r="V19" s="197">
        <v>46348.0</v>
      </c>
      <c r="W19" s="54" t="str">
        <f t="shared" si="3"/>
        <v>Berlaku</v>
      </c>
      <c r="X19" s="197">
        <v>46348.0</v>
      </c>
      <c r="Y19" s="54" t="str">
        <f t="shared" si="4"/>
        <v>Berlaku</v>
      </c>
      <c r="Z19" s="198">
        <v>46277.0</v>
      </c>
      <c r="AA19" s="54" t="str">
        <f t="shared" si="5"/>
        <v>Habis</v>
      </c>
      <c r="AB19" s="199"/>
      <c r="AC19" s="159">
        <f t="shared" si="6"/>
        <v>53</v>
      </c>
      <c r="AD19" s="16"/>
      <c r="AE19" s="16"/>
      <c r="AF19" s="191"/>
    </row>
    <row r="20">
      <c r="A20" s="193">
        <v>14.0</v>
      </c>
      <c r="B20" s="216" t="s">
        <v>42</v>
      </c>
      <c r="C20" s="193" t="s">
        <v>324</v>
      </c>
      <c r="D20" s="194" t="s">
        <v>43</v>
      </c>
      <c r="E20" s="194">
        <v>2024.0</v>
      </c>
      <c r="F20" s="194">
        <v>2025.0</v>
      </c>
      <c r="G20" s="195">
        <f>A4-F20</f>
        <v>1</v>
      </c>
      <c r="H20" s="196">
        <v>7684.0</v>
      </c>
      <c r="I20" s="194" t="s">
        <v>316</v>
      </c>
      <c r="J20" s="194" t="s">
        <v>245</v>
      </c>
      <c r="K20" s="194">
        <v>2025.0</v>
      </c>
      <c r="L20" s="11">
        <f>A4-K20</f>
        <v>1</v>
      </c>
      <c r="M20" s="194" t="s">
        <v>559</v>
      </c>
      <c r="N20" s="194" t="s">
        <v>163</v>
      </c>
      <c r="O20" s="194" t="s">
        <v>325</v>
      </c>
      <c r="P20" s="194" t="s">
        <v>572</v>
      </c>
      <c r="Q20" s="194" t="s">
        <v>573</v>
      </c>
      <c r="R20" s="215">
        <v>47261.0</v>
      </c>
      <c r="S20" s="54" t="str">
        <f t="shared" si="1"/>
        <v>Berlaku</v>
      </c>
      <c r="T20" s="197">
        <v>47626.0</v>
      </c>
      <c r="U20" s="54" t="str">
        <f t="shared" si="2"/>
        <v>Berlaku</v>
      </c>
      <c r="V20" s="197">
        <v>46337.0</v>
      </c>
      <c r="W20" s="54" t="str">
        <f t="shared" si="3"/>
        <v>Berlaku</v>
      </c>
      <c r="X20" s="197">
        <v>46337.0</v>
      </c>
      <c r="Y20" s="54" t="str">
        <f t="shared" si="4"/>
        <v>Berlaku</v>
      </c>
      <c r="Z20" s="198" t="s">
        <v>547</v>
      </c>
      <c r="AA20" s="54" t="str">
        <f t="shared" si="5"/>
        <v>Berlaku</v>
      </c>
      <c r="AB20" s="199"/>
      <c r="AC20" s="159">
        <f t="shared" si="6"/>
        <v>42</v>
      </c>
      <c r="AD20" s="194"/>
      <c r="AE20" s="194"/>
      <c r="AF20" s="191"/>
    </row>
    <row r="21">
      <c r="A21" s="193">
        <v>15.0</v>
      </c>
      <c r="B21" s="216" t="s">
        <v>45</v>
      </c>
      <c r="C21" s="193" t="s">
        <v>324</v>
      </c>
      <c r="D21" s="194" t="s">
        <v>43</v>
      </c>
      <c r="E21" s="194">
        <v>2025.0</v>
      </c>
      <c r="F21" s="194">
        <v>2025.0</v>
      </c>
      <c r="G21" s="195">
        <f>A4-F21</f>
        <v>1</v>
      </c>
      <c r="H21" s="196">
        <v>7684.0</v>
      </c>
      <c r="I21" s="194" t="s">
        <v>316</v>
      </c>
      <c r="J21" s="194" t="s">
        <v>245</v>
      </c>
      <c r="K21" s="194">
        <v>2025.0</v>
      </c>
      <c r="L21" s="11">
        <f>A4-K21</f>
        <v>1</v>
      </c>
      <c r="M21" s="194" t="s">
        <v>559</v>
      </c>
      <c r="N21" s="194" t="s">
        <v>163</v>
      </c>
      <c r="O21" s="194" t="s">
        <v>574</v>
      </c>
      <c r="P21" s="194" t="s">
        <v>575</v>
      </c>
      <c r="Q21" s="194" t="s">
        <v>576</v>
      </c>
      <c r="R21" s="197">
        <v>46453.0</v>
      </c>
      <c r="S21" s="54" t="str">
        <f t="shared" si="1"/>
        <v>Berlaku</v>
      </c>
      <c r="T21" s="197">
        <v>46453.0</v>
      </c>
      <c r="U21" s="54" t="str">
        <f t="shared" si="2"/>
        <v>Berlaku</v>
      </c>
      <c r="V21" s="197">
        <v>46419.0</v>
      </c>
      <c r="W21" s="54" t="str">
        <f t="shared" si="3"/>
        <v>Berlaku</v>
      </c>
      <c r="X21" s="197">
        <v>46419.0</v>
      </c>
      <c r="Y21" s="54" t="str">
        <f t="shared" si="4"/>
        <v>Berlaku</v>
      </c>
      <c r="Z21" s="198" t="s">
        <v>577</v>
      </c>
      <c r="AA21" s="54" t="str">
        <f t="shared" si="5"/>
        <v>Berlaku</v>
      </c>
      <c r="AB21" s="199"/>
      <c r="AC21" s="159">
        <f t="shared" si="6"/>
        <v>124</v>
      </c>
      <c r="AD21" s="194"/>
      <c r="AE21" s="194"/>
      <c r="AF21" s="191"/>
    </row>
    <row r="22">
      <c r="A22" s="193">
        <v>16.0</v>
      </c>
      <c r="B22" s="216" t="s">
        <v>48</v>
      </c>
      <c r="C22" s="219">
        <v>8.0</v>
      </c>
      <c r="D22" s="219" t="s">
        <v>50</v>
      </c>
      <c r="E22" s="219">
        <v>2017.0</v>
      </c>
      <c r="F22" s="219">
        <v>2018.0</v>
      </c>
      <c r="G22" s="220">
        <f>A4-F22</f>
        <v>8</v>
      </c>
      <c r="H22" s="221">
        <v>7684.0</v>
      </c>
      <c r="I22" s="219" t="s">
        <v>581</v>
      </c>
      <c r="J22" s="219" t="s">
        <v>245</v>
      </c>
      <c r="K22" s="219">
        <v>2017.0</v>
      </c>
      <c r="L22" s="222">
        <f>A4-K22</f>
        <v>9</v>
      </c>
      <c r="M22" s="219" t="s">
        <v>332</v>
      </c>
      <c r="N22" s="219" t="s">
        <v>163</v>
      </c>
      <c r="O22" s="219" t="s">
        <v>584</v>
      </c>
      <c r="P22" s="219" t="s">
        <v>585</v>
      </c>
      <c r="Q22" s="219" t="s">
        <v>586</v>
      </c>
      <c r="R22" s="223">
        <v>46570.0</v>
      </c>
      <c r="S22" s="224" t="str">
        <f t="shared" si="1"/>
        <v>Berlaku</v>
      </c>
      <c r="T22" s="223">
        <v>46175.0</v>
      </c>
      <c r="U22" s="224" t="str">
        <f t="shared" si="2"/>
        <v>Habis</v>
      </c>
      <c r="V22" s="223">
        <v>46175.0</v>
      </c>
      <c r="W22" s="224" t="str">
        <f t="shared" si="3"/>
        <v>Habis</v>
      </c>
      <c r="X22" s="223">
        <v>46175.0</v>
      </c>
      <c r="Y22" s="224" t="str">
        <f t="shared" si="4"/>
        <v>Habis</v>
      </c>
      <c r="Z22" s="225" t="s">
        <v>587</v>
      </c>
      <c r="AA22" s="224" t="str">
        <f t="shared" si="5"/>
        <v>Berlaku</v>
      </c>
      <c r="AB22" s="226"/>
      <c r="AC22" s="227">
        <f t="shared" si="6"/>
        <v>-120</v>
      </c>
      <c r="AD22" s="219"/>
      <c r="AE22" s="219"/>
      <c r="AF22" s="228" t="s">
        <v>588</v>
      </c>
    </row>
    <row r="23">
      <c r="A23" s="193">
        <v>17.0</v>
      </c>
      <c r="B23" s="216" t="s">
        <v>52</v>
      </c>
      <c r="C23" s="219">
        <v>5.0</v>
      </c>
      <c r="D23" s="219" t="s">
        <v>50</v>
      </c>
      <c r="E23" s="219">
        <v>2021.0</v>
      </c>
      <c r="F23" s="219">
        <v>2021.0</v>
      </c>
      <c r="G23" s="220">
        <f>A4-F23</f>
        <v>5</v>
      </c>
      <c r="H23" s="221">
        <v>4009.0</v>
      </c>
      <c r="I23" s="219" t="s">
        <v>581</v>
      </c>
      <c r="J23" s="219" t="s">
        <v>245</v>
      </c>
      <c r="K23" s="219">
        <v>2021.0</v>
      </c>
      <c r="L23" s="222">
        <f>A4-K23</f>
        <v>5</v>
      </c>
      <c r="M23" s="219" t="s">
        <v>589</v>
      </c>
      <c r="N23" s="219" t="s">
        <v>163</v>
      </c>
      <c r="O23" s="219" t="s">
        <v>539</v>
      </c>
      <c r="P23" s="219" t="s">
        <v>590</v>
      </c>
      <c r="Q23" s="219" t="s">
        <v>591</v>
      </c>
      <c r="R23" s="223">
        <v>46596.0</v>
      </c>
      <c r="S23" s="224" t="str">
        <f t="shared" si="1"/>
        <v>Berlaku</v>
      </c>
      <c r="T23" s="223">
        <v>46149.0</v>
      </c>
      <c r="U23" s="224" t="str">
        <f t="shared" si="2"/>
        <v>Habis</v>
      </c>
      <c r="V23" s="223">
        <v>46149.0</v>
      </c>
      <c r="W23" s="224" t="str">
        <f t="shared" si="3"/>
        <v>Habis</v>
      </c>
      <c r="X23" s="223">
        <v>46149.0</v>
      </c>
      <c r="Y23" s="224" t="str">
        <f t="shared" si="4"/>
        <v>Habis</v>
      </c>
      <c r="Z23" s="225">
        <v>46210.0</v>
      </c>
      <c r="AA23" s="224" t="str">
        <f t="shared" si="5"/>
        <v>Habis</v>
      </c>
      <c r="AB23" s="226"/>
      <c r="AC23" s="227">
        <f t="shared" si="6"/>
        <v>-146</v>
      </c>
      <c r="AD23" s="219"/>
      <c r="AE23" s="219"/>
      <c r="AF23" s="228" t="s">
        <v>588</v>
      </c>
    </row>
    <row r="24">
      <c r="A24" s="230"/>
      <c r="G24" s="231"/>
      <c r="H24" s="232"/>
      <c r="R24" s="233" t="s">
        <v>594</v>
      </c>
      <c r="T24" s="233" t="s">
        <v>594</v>
      </c>
      <c r="V24" s="233" t="s">
        <v>594</v>
      </c>
      <c r="X24" s="233" t="s">
        <v>595</v>
      </c>
      <c r="Z24" s="233" t="s">
        <v>594</v>
      </c>
    </row>
    <row r="25">
      <c r="A25" s="230"/>
      <c r="G25" s="231"/>
      <c r="H25" s="232"/>
    </row>
    <row r="26">
      <c r="A26" s="234"/>
      <c r="B26" s="235"/>
      <c r="C26" s="234"/>
      <c r="D26" s="234"/>
      <c r="E26" s="234"/>
      <c r="F26" s="234"/>
      <c r="G26" s="236"/>
      <c r="H26" s="237"/>
      <c r="I26" s="234"/>
      <c r="J26" s="234"/>
      <c r="K26" s="234"/>
      <c r="L26" s="238"/>
      <c r="M26" s="234"/>
      <c r="N26" s="234"/>
      <c r="O26" s="234"/>
      <c r="P26" s="234"/>
      <c r="Q26" s="234"/>
      <c r="R26" s="234"/>
      <c r="S26" s="239"/>
      <c r="T26" s="235"/>
      <c r="U26" s="239"/>
      <c r="V26" s="235"/>
      <c r="W26" s="239"/>
      <c r="X26" s="235"/>
      <c r="Y26" s="239"/>
      <c r="Z26" s="235"/>
      <c r="AA26" s="239"/>
    </row>
    <row r="27">
      <c r="A27" s="193" t="s">
        <v>598</v>
      </c>
      <c r="B27" s="15" t="s">
        <v>351</v>
      </c>
      <c r="C27" s="194"/>
      <c r="D27" s="194"/>
      <c r="E27" s="194"/>
      <c r="F27" s="194"/>
      <c r="G27" s="195"/>
      <c r="H27" s="196"/>
      <c r="I27" s="194"/>
      <c r="J27" s="194"/>
      <c r="K27" s="194"/>
      <c r="L27" s="11"/>
      <c r="M27" s="194"/>
      <c r="N27" s="194"/>
      <c r="O27" s="194"/>
      <c r="P27" s="194"/>
      <c r="Q27" s="194"/>
      <c r="R27" s="193" t="s">
        <v>82</v>
      </c>
      <c r="S27" s="54"/>
      <c r="T27" s="15" t="s">
        <v>599</v>
      </c>
      <c r="U27" s="54"/>
      <c r="V27" s="15" t="s">
        <v>96</v>
      </c>
      <c r="W27" s="54"/>
      <c r="X27" s="15" t="s">
        <v>99</v>
      </c>
      <c r="Y27" s="54"/>
      <c r="Z27" s="15" t="s">
        <v>600</v>
      </c>
      <c r="AA27" s="54"/>
      <c r="AB27" s="151" t="s">
        <v>499</v>
      </c>
    </row>
    <row r="28">
      <c r="A28" s="193">
        <v>1.0</v>
      </c>
      <c r="B28" s="16" t="s">
        <v>601</v>
      </c>
      <c r="C28" s="194">
        <v>8.0</v>
      </c>
      <c r="D28" s="194" t="s">
        <v>602</v>
      </c>
      <c r="E28" s="194">
        <v>2015.0</v>
      </c>
      <c r="F28" s="194">
        <v>2020.0</v>
      </c>
      <c r="G28" s="195">
        <f>A4-E28</f>
        <v>11</v>
      </c>
      <c r="H28" s="196">
        <v>7684.0</v>
      </c>
      <c r="I28" s="194" t="s">
        <v>316</v>
      </c>
      <c r="J28" s="194" t="s">
        <v>245</v>
      </c>
      <c r="K28" s="194">
        <v>2015.0</v>
      </c>
      <c r="L28" s="11">
        <f>A4-K28</f>
        <v>11</v>
      </c>
      <c r="M28" s="194" t="s">
        <v>603</v>
      </c>
      <c r="N28" s="194" t="s">
        <v>163</v>
      </c>
      <c r="O28" s="194" t="s">
        <v>584</v>
      </c>
      <c r="P28" s="194" t="s">
        <v>604</v>
      </c>
      <c r="Q28" s="194" t="s">
        <v>605</v>
      </c>
      <c r="R28" s="194" t="s">
        <v>606</v>
      </c>
      <c r="S28" s="54" t="str">
        <f>IF(R28&lt;TODAY(),"Habis",IF(R28&lt;=TODAY()+14,"Akan Habis","Berlaku"))</f>
        <v>Berlaku</v>
      </c>
      <c r="T28" s="16" t="s">
        <v>606</v>
      </c>
      <c r="U28" s="54" t="str">
        <f>IF(T28&lt;TODAY(),"Habis",IF(T28&lt;=TODAY()+14,"Akan Habis","Berlaku"))</f>
        <v>Berlaku</v>
      </c>
      <c r="V28" s="16" t="s">
        <v>608</v>
      </c>
      <c r="W28" s="54" t="str">
        <f>IF(V28&lt;TODAY(),"Habis",IF(V28&lt;=TODAY()+14,"Akan Habis","Berlaku"))</f>
        <v>Berlaku</v>
      </c>
      <c r="X28" s="16" t="s">
        <v>608</v>
      </c>
      <c r="Y28" s="54" t="str">
        <f>IF(X28&lt;TODAY(),"Habis",IF(X28&lt;=TODAY()+14,"Akan Habis","Berlaku"))</f>
        <v>Berlaku</v>
      </c>
      <c r="Z28" s="16" t="s">
        <v>608</v>
      </c>
      <c r="AA28" s="54" t="str">
        <f>IF(Z28&lt;TODAY(),"Habis",IF(Z28&lt;=TODAY()+14,"Akan Habis","Berlaku"))</f>
        <v>Berlaku</v>
      </c>
      <c r="AB28" s="151" t="s">
        <v>613</v>
      </c>
    </row>
    <row r="29">
      <c r="G29" s="236"/>
      <c r="H29" s="232"/>
      <c r="L29" s="238"/>
      <c r="R29" s="240"/>
      <c r="T29" s="241"/>
      <c r="V29" s="242" t="s">
        <v>614</v>
      </c>
    </row>
    <row r="30">
      <c r="G30" s="236"/>
      <c r="H30" s="232"/>
      <c r="L30" s="238"/>
      <c r="T30" s="241"/>
      <c r="V30" s="242" t="s">
        <v>615</v>
      </c>
    </row>
    <row r="31">
      <c r="G31" s="236"/>
      <c r="H31" s="232"/>
      <c r="L31" s="238"/>
      <c r="R31" s="240"/>
      <c r="T31" s="243"/>
      <c r="V31" s="242" t="s">
        <v>616</v>
      </c>
    </row>
    <row r="32">
      <c r="G32" s="236"/>
      <c r="H32" s="232"/>
      <c r="L32" s="238"/>
      <c r="R32" s="240"/>
      <c r="T32" s="244"/>
      <c r="V32" s="242" t="s">
        <v>616</v>
      </c>
    </row>
    <row r="33">
      <c r="G33" s="236"/>
      <c r="H33" s="232"/>
      <c r="L33" s="238"/>
      <c r="R33" s="240"/>
      <c r="T33" s="241"/>
    </row>
    <row r="34">
      <c r="G34" s="236"/>
      <c r="H34" s="232"/>
      <c r="L34" s="238"/>
      <c r="R34" s="240"/>
      <c r="T34" s="243"/>
    </row>
    <row r="35">
      <c r="G35" s="236"/>
      <c r="H35" s="232"/>
      <c r="L35" s="238"/>
      <c r="R35" s="240"/>
      <c r="T35" s="241"/>
      <c r="AB35" s="235"/>
      <c r="AC35" s="235"/>
      <c r="AD35" s="235"/>
    </row>
    <row r="36">
      <c r="G36" s="236"/>
      <c r="H36" s="232"/>
      <c r="L36" s="238"/>
      <c r="R36" s="240"/>
      <c r="AB36" s="235"/>
      <c r="AC36" s="235"/>
      <c r="AD36" s="235"/>
    </row>
    <row r="37">
      <c r="G37" s="236"/>
      <c r="H37" s="232"/>
      <c r="L37" s="238"/>
      <c r="R37" s="240"/>
      <c r="AB37" s="235"/>
      <c r="AC37" s="235"/>
      <c r="AD37" s="235"/>
    </row>
    <row r="38">
      <c r="G38" s="236"/>
      <c r="H38" s="232"/>
      <c r="L38" s="238"/>
      <c r="R38" s="240"/>
      <c r="AB38" s="235"/>
      <c r="AC38" s="235"/>
      <c r="AD38" s="235"/>
    </row>
    <row r="39">
      <c r="G39" s="236"/>
      <c r="H39" s="232"/>
      <c r="L39" s="238"/>
      <c r="AB39" s="235"/>
      <c r="AC39" s="235"/>
      <c r="AD39" s="235"/>
    </row>
    <row r="40">
      <c r="G40" s="236"/>
      <c r="H40" s="232"/>
      <c r="L40" s="238"/>
      <c r="AB40" s="235"/>
      <c r="AC40" s="235"/>
      <c r="AD40" s="235"/>
    </row>
    <row r="41">
      <c r="G41" s="236"/>
      <c r="H41" s="232"/>
      <c r="L41" s="238"/>
    </row>
    <row r="42">
      <c r="G42" s="236"/>
      <c r="H42" s="232"/>
      <c r="L42" s="238"/>
    </row>
    <row r="43">
      <c r="G43" s="236"/>
      <c r="H43" s="232"/>
    </row>
    <row r="44">
      <c r="G44" s="236"/>
      <c r="H44" s="232"/>
    </row>
    <row r="45">
      <c r="G45" s="236"/>
      <c r="H45" s="232"/>
    </row>
    <row r="46">
      <c r="G46" s="236"/>
      <c r="H46" s="232"/>
    </row>
    <row r="47">
      <c r="G47" s="236"/>
      <c r="H47" s="232"/>
    </row>
    <row r="48">
      <c r="G48" s="236"/>
      <c r="H48" s="232"/>
    </row>
    <row r="49">
      <c r="G49" s="236"/>
      <c r="H49" s="232"/>
    </row>
    <row r="50">
      <c r="G50" s="236"/>
      <c r="H50" s="232"/>
    </row>
    <row r="51">
      <c r="G51" s="236"/>
      <c r="H51" s="232"/>
    </row>
    <row r="52">
      <c r="G52" s="236"/>
      <c r="H52" s="232"/>
    </row>
    <row r="53">
      <c r="G53" s="236"/>
      <c r="H53" s="232"/>
    </row>
    <row r="54">
      <c r="G54" s="236"/>
      <c r="H54" s="232"/>
    </row>
    <row r="55">
      <c r="G55" s="236"/>
      <c r="H55" s="232"/>
    </row>
    <row r="56">
      <c r="G56" s="236"/>
      <c r="H56" s="232"/>
    </row>
    <row r="57">
      <c r="G57" s="236"/>
      <c r="H57" s="232"/>
    </row>
    <row r="58">
      <c r="G58" s="236"/>
      <c r="H58" s="232"/>
    </row>
    <row r="59">
      <c r="G59" s="236"/>
      <c r="H59" s="232"/>
    </row>
    <row r="60">
      <c r="G60" s="236"/>
      <c r="H60" s="232"/>
    </row>
    <row r="61">
      <c r="G61" s="236"/>
      <c r="H61" s="232"/>
    </row>
    <row r="62">
      <c r="G62" s="236"/>
      <c r="H62" s="232"/>
    </row>
    <row r="63">
      <c r="G63" s="236"/>
      <c r="H63" s="232"/>
    </row>
    <row r="64">
      <c r="G64" s="236"/>
      <c r="H64" s="232"/>
    </row>
    <row r="65">
      <c r="G65" s="236"/>
      <c r="H65" s="232"/>
    </row>
    <row r="66">
      <c r="G66" s="236"/>
      <c r="H66" s="232"/>
    </row>
    <row r="67">
      <c r="G67" s="236"/>
      <c r="H67" s="232"/>
    </row>
    <row r="68">
      <c r="G68" s="236"/>
      <c r="H68" s="232"/>
    </row>
    <row r="69">
      <c r="G69" s="236"/>
      <c r="H69" s="232"/>
    </row>
    <row r="70">
      <c r="G70" s="236"/>
      <c r="H70" s="232"/>
    </row>
    <row r="71">
      <c r="G71" s="236"/>
      <c r="H71" s="232"/>
    </row>
    <row r="72">
      <c r="G72" s="236"/>
      <c r="H72" s="232"/>
    </row>
    <row r="73">
      <c r="G73" s="236"/>
      <c r="H73" s="232"/>
    </row>
    <row r="74">
      <c r="G74" s="236"/>
      <c r="H74" s="232"/>
    </row>
    <row r="75">
      <c r="G75" s="236"/>
      <c r="H75" s="232"/>
    </row>
    <row r="76">
      <c r="G76" s="236"/>
      <c r="H76" s="232"/>
    </row>
    <row r="77">
      <c r="G77" s="236"/>
      <c r="H77" s="232"/>
    </row>
    <row r="78">
      <c r="G78" s="236"/>
      <c r="H78" s="232"/>
    </row>
    <row r="79">
      <c r="G79" s="236"/>
      <c r="H79" s="232"/>
    </row>
    <row r="80">
      <c r="G80" s="236"/>
      <c r="H80" s="232"/>
    </row>
    <row r="81">
      <c r="G81" s="236"/>
      <c r="H81" s="232"/>
    </row>
    <row r="82">
      <c r="G82" s="236"/>
      <c r="H82" s="232"/>
    </row>
    <row r="83">
      <c r="G83" s="236"/>
      <c r="H83" s="232"/>
    </row>
    <row r="84">
      <c r="G84" s="236"/>
      <c r="H84" s="232"/>
    </row>
    <row r="85">
      <c r="G85" s="231"/>
      <c r="H85" s="232"/>
    </row>
    <row r="86">
      <c r="G86" s="231"/>
      <c r="H86" s="232"/>
    </row>
    <row r="87">
      <c r="G87" s="231"/>
      <c r="H87" s="232"/>
    </row>
    <row r="88">
      <c r="G88" s="231"/>
      <c r="H88" s="232"/>
    </row>
    <row r="89">
      <c r="G89" s="231"/>
      <c r="H89" s="232"/>
    </row>
    <row r="90">
      <c r="G90" s="231"/>
      <c r="H90" s="232"/>
    </row>
    <row r="91">
      <c r="G91" s="231"/>
      <c r="H91" s="232"/>
    </row>
    <row r="92">
      <c r="G92" s="231"/>
      <c r="H92" s="232"/>
    </row>
    <row r="93">
      <c r="G93" s="231"/>
      <c r="H93" s="232"/>
    </row>
    <row r="94">
      <c r="G94" s="231"/>
      <c r="H94" s="232"/>
    </row>
    <row r="95">
      <c r="G95" s="231"/>
      <c r="H95" s="232"/>
    </row>
    <row r="96">
      <c r="G96" s="231"/>
      <c r="H96" s="232"/>
    </row>
    <row r="97">
      <c r="G97" s="231"/>
      <c r="H97" s="232"/>
    </row>
    <row r="98">
      <c r="G98" s="231"/>
      <c r="H98" s="232"/>
    </row>
    <row r="99">
      <c r="G99" s="231"/>
      <c r="H99" s="232"/>
    </row>
    <row r="100">
      <c r="G100" s="231"/>
      <c r="H100" s="232"/>
    </row>
    <row r="101">
      <c r="G101" s="231"/>
      <c r="H101" s="232"/>
    </row>
    <row r="102">
      <c r="G102" s="231"/>
      <c r="H102" s="232"/>
    </row>
    <row r="103">
      <c r="G103" s="231"/>
      <c r="H103" s="232"/>
    </row>
    <row r="104">
      <c r="G104" s="231"/>
      <c r="H104" s="232"/>
    </row>
    <row r="105">
      <c r="G105" s="231"/>
      <c r="H105" s="232"/>
    </row>
    <row r="106">
      <c r="G106" s="231"/>
      <c r="H106" s="232"/>
    </row>
    <row r="107">
      <c r="G107" s="231"/>
      <c r="H107" s="232"/>
    </row>
    <row r="108">
      <c r="G108" s="231"/>
      <c r="H108" s="232"/>
    </row>
    <row r="109">
      <c r="G109" s="231"/>
      <c r="H109" s="232"/>
    </row>
    <row r="110">
      <c r="G110" s="231"/>
      <c r="H110" s="232"/>
    </row>
    <row r="111">
      <c r="G111" s="231"/>
      <c r="H111" s="232"/>
    </row>
    <row r="112">
      <c r="G112" s="231"/>
      <c r="H112" s="232"/>
    </row>
    <row r="113">
      <c r="G113" s="231"/>
      <c r="H113" s="232"/>
    </row>
    <row r="114">
      <c r="G114" s="231"/>
      <c r="H114" s="232"/>
    </row>
    <row r="115">
      <c r="G115" s="231"/>
      <c r="H115" s="232"/>
    </row>
    <row r="116">
      <c r="G116" s="231"/>
      <c r="H116" s="232"/>
    </row>
    <row r="117">
      <c r="G117" s="231"/>
      <c r="H117" s="232"/>
    </row>
    <row r="118">
      <c r="G118" s="231"/>
      <c r="H118" s="232"/>
    </row>
    <row r="119">
      <c r="G119" s="231"/>
      <c r="H119" s="232"/>
    </row>
    <row r="120">
      <c r="G120" s="231"/>
      <c r="H120" s="232"/>
    </row>
    <row r="121">
      <c r="G121" s="231"/>
      <c r="H121" s="232"/>
    </row>
    <row r="122">
      <c r="G122" s="231"/>
      <c r="H122" s="232"/>
    </row>
    <row r="123">
      <c r="G123" s="231"/>
      <c r="H123" s="232"/>
    </row>
    <row r="124">
      <c r="G124" s="231"/>
      <c r="H124" s="232"/>
    </row>
    <row r="125">
      <c r="G125" s="231"/>
      <c r="H125" s="232"/>
    </row>
    <row r="126">
      <c r="G126" s="231"/>
      <c r="H126" s="232"/>
    </row>
    <row r="127">
      <c r="G127" s="231"/>
      <c r="H127" s="232"/>
    </row>
    <row r="128">
      <c r="G128" s="231"/>
      <c r="H128" s="232"/>
    </row>
    <row r="129">
      <c r="G129" s="231"/>
      <c r="H129" s="232"/>
    </row>
    <row r="130">
      <c r="G130" s="231"/>
      <c r="H130" s="232"/>
    </row>
    <row r="131">
      <c r="G131" s="231"/>
      <c r="H131" s="232"/>
    </row>
    <row r="132">
      <c r="G132" s="231"/>
      <c r="H132" s="232"/>
    </row>
    <row r="133">
      <c r="G133" s="231"/>
      <c r="H133" s="232"/>
    </row>
    <row r="134">
      <c r="G134" s="231"/>
      <c r="H134" s="232"/>
    </row>
    <row r="135">
      <c r="G135" s="231"/>
      <c r="H135" s="232"/>
    </row>
    <row r="136">
      <c r="G136" s="231"/>
      <c r="H136" s="232"/>
    </row>
    <row r="137">
      <c r="G137" s="231"/>
      <c r="H137" s="232"/>
    </row>
    <row r="138">
      <c r="G138" s="231"/>
      <c r="H138" s="232"/>
    </row>
    <row r="139">
      <c r="G139" s="231"/>
      <c r="H139" s="232"/>
    </row>
    <row r="140">
      <c r="G140" s="231"/>
      <c r="H140" s="232"/>
    </row>
    <row r="141">
      <c r="G141" s="231"/>
      <c r="H141" s="232"/>
    </row>
    <row r="142">
      <c r="G142" s="231"/>
      <c r="H142" s="232"/>
    </row>
    <row r="143">
      <c r="G143" s="231"/>
      <c r="H143" s="232"/>
    </row>
    <row r="144">
      <c r="G144" s="231"/>
      <c r="H144" s="232"/>
    </row>
    <row r="145">
      <c r="G145" s="231"/>
      <c r="H145" s="232"/>
    </row>
    <row r="146">
      <c r="G146" s="231"/>
      <c r="H146" s="232"/>
    </row>
    <row r="147">
      <c r="G147" s="231"/>
      <c r="H147" s="232"/>
    </row>
    <row r="148">
      <c r="G148" s="231"/>
      <c r="H148" s="232"/>
    </row>
    <row r="149">
      <c r="G149" s="231"/>
      <c r="H149" s="232"/>
    </row>
    <row r="150">
      <c r="G150" s="231"/>
      <c r="H150" s="232"/>
    </row>
    <row r="151">
      <c r="G151" s="231"/>
      <c r="H151" s="232"/>
    </row>
    <row r="152">
      <c r="G152" s="231"/>
      <c r="H152" s="232"/>
    </row>
    <row r="153">
      <c r="G153" s="231"/>
      <c r="H153" s="232"/>
    </row>
    <row r="154">
      <c r="G154" s="231"/>
      <c r="H154" s="232"/>
    </row>
    <row r="155">
      <c r="G155" s="231"/>
      <c r="H155" s="232"/>
    </row>
    <row r="156">
      <c r="G156" s="231"/>
      <c r="H156" s="232"/>
    </row>
    <row r="157">
      <c r="G157" s="231"/>
      <c r="H157" s="232"/>
    </row>
    <row r="158">
      <c r="G158" s="231"/>
      <c r="H158" s="232"/>
    </row>
    <row r="159">
      <c r="G159" s="231"/>
      <c r="H159" s="232"/>
    </row>
    <row r="160">
      <c r="G160" s="231"/>
      <c r="H160" s="232"/>
    </row>
    <row r="161">
      <c r="G161" s="231"/>
      <c r="H161" s="232"/>
    </row>
    <row r="162">
      <c r="G162" s="231"/>
      <c r="H162" s="232"/>
    </row>
    <row r="163">
      <c r="G163" s="231"/>
      <c r="H163" s="232"/>
    </row>
    <row r="164">
      <c r="G164" s="231"/>
      <c r="H164" s="232"/>
    </row>
    <row r="165">
      <c r="G165" s="231"/>
      <c r="H165" s="232"/>
    </row>
    <row r="166">
      <c r="G166" s="231"/>
      <c r="H166" s="232"/>
    </row>
    <row r="167">
      <c r="G167" s="231"/>
      <c r="H167" s="232"/>
    </row>
    <row r="168">
      <c r="G168" s="231"/>
      <c r="H168" s="232"/>
    </row>
    <row r="169">
      <c r="G169" s="231"/>
      <c r="H169" s="232"/>
    </row>
    <row r="170">
      <c r="G170" s="231"/>
      <c r="H170" s="232"/>
    </row>
    <row r="171">
      <c r="G171" s="231"/>
      <c r="H171" s="232"/>
    </row>
    <row r="172">
      <c r="G172" s="231"/>
      <c r="H172" s="232"/>
    </row>
    <row r="173">
      <c r="G173" s="231"/>
      <c r="H173" s="232"/>
    </row>
    <row r="174">
      <c r="G174" s="231"/>
      <c r="H174" s="232"/>
    </row>
    <row r="175">
      <c r="G175" s="231"/>
      <c r="H175" s="232"/>
    </row>
    <row r="176">
      <c r="G176" s="231"/>
      <c r="H176" s="232"/>
    </row>
    <row r="177">
      <c r="G177" s="231"/>
      <c r="H177" s="232"/>
    </row>
    <row r="178">
      <c r="G178" s="231"/>
      <c r="H178" s="232"/>
    </row>
    <row r="179">
      <c r="G179" s="231"/>
      <c r="H179" s="232"/>
    </row>
    <row r="180">
      <c r="G180" s="231"/>
      <c r="H180" s="232"/>
    </row>
    <row r="181">
      <c r="G181" s="231"/>
      <c r="H181" s="232"/>
    </row>
    <row r="182">
      <c r="G182" s="231"/>
      <c r="H182" s="232"/>
    </row>
    <row r="183">
      <c r="G183" s="231"/>
      <c r="H183" s="232"/>
    </row>
    <row r="184">
      <c r="G184" s="231"/>
      <c r="H184" s="232"/>
    </row>
    <row r="185">
      <c r="G185" s="231"/>
      <c r="H185" s="232"/>
    </row>
    <row r="186">
      <c r="G186" s="231"/>
      <c r="H186" s="232"/>
    </row>
    <row r="187">
      <c r="G187" s="231"/>
      <c r="H187" s="232"/>
    </row>
    <row r="188">
      <c r="G188" s="231"/>
      <c r="H188" s="232"/>
    </row>
    <row r="189">
      <c r="G189" s="231"/>
      <c r="H189" s="232"/>
    </row>
    <row r="190">
      <c r="G190" s="231"/>
      <c r="H190" s="232"/>
    </row>
    <row r="191">
      <c r="G191" s="231"/>
      <c r="H191" s="232"/>
    </row>
    <row r="192">
      <c r="G192" s="231"/>
      <c r="H192" s="232"/>
    </row>
    <row r="193">
      <c r="G193" s="231"/>
      <c r="H193" s="232"/>
    </row>
    <row r="194">
      <c r="G194" s="231"/>
      <c r="H194" s="232"/>
    </row>
    <row r="195">
      <c r="G195" s="231"/>
      <c r="H195" s="232"/>
    </row>
    <row r="196">
      <c r="G196" s="231"/>
      <c r="H196" s="232"/>
    </row>
    <row r="197">
      <c r="G197" s="231"/>
      <c r="H197" s="232"/>
    </row>
    <row r="198">
      <c r="G198" s="231"/>
      <c r="H198" s="232"/>
    </row>
    <row r="199">
      <c r="G199" s="231"/>
      <c r="H199" s="232"/>
    </row>
    <row r="200">
      <c r="G200" s="231"/>
      <c r="H200" s="232"/>
    </row>
    <row r="201">
      <c r="G201" s="231"/>
      <c r="H201" s="232"/>
    </row>
    <row r="202">
      <c r="G202" s="231"/>
      <c r="H202" s="232"/>
    </row>
    <row r="203">
      <c r="G203" s="231"/>
      <c r="H203" s="232"/>
    </row>
    <row r="204">
      <c r="G204" s="231"/>
      <c r="H204" s="232"/>
    </row>
    <row r="205">
      <c r="G205" s="231"/>
      <c r="H205" s="232"/>
    </row>
    <row r="206">
      <c r="G206" s="231"/>
      <c r="H206" s="232"/>
    </row>
    <row r="207">
      <c r="G207" s="231"/>
      <c r="H207" s="232"/>
    </row>
    <row r="208">
      <c r="G208" s="231"/>
      <c r="H208" s="232"/>
    </row>
    <row r="209">
      <c r="G209" s="231"/>
      <c r="H209" s="232"/>
    </row>
    <row r="210">
      <c r="G210" s="231"/>
      <c r="H210" s="232"/>
    </row>
    <row r="211">
      <c r="G211" s="231"/>
      <c r="H211" s="232"/>
    </row>
    <row r="212">
      <c r="G212" s="231"/>
      <c r="H212" s="232"/>
    </row>
    <row r="213">
      <c r="G213" s="231"/>
      <c r="H213" s="232"/>
    </row>
    <row r="214">
      <c r="G214" s="231"/>
      <c r="H214" s="232"/>
    </row>
    <row r="215">
      <c r="G215" s="231"/>
      <c r="H215" s="232"/>
    </row>
    <row r="216">
      <c r="G216" s="231"/>
      <c r="H216" s="232"/>
    </row>
    <row r="217">
      <c r="G217" s="231"/>
      <c r="H217" s="232"/>
    </row>
    <row r="218">
      <c r="G218" s="231"/>
      <c r="H218" s="232"/>
    </row>
    <row r="219">
      <c r="G219" s="231"/>
      <c r="H219" s="232"/>
    </row>
    <row r="220">
      <c r="G220" s="231"/>
      <c r="H220" s="232"/>
    </row>
    <row r="221">
      <c r="G221" s="231"/>
      <c r="H221" s="232"/>
    </row>
    <row r="222">
      <c r="G222" s="231"/>
      <c r="H222" s="232"/>
    </row>
    <row r="223">
      <c r="G223" s="231"/>
      <c r="H223" s="232"/>
    </row>
    <row r="224">
      <c r="G224" s="231"/>
      <c r="H224" s="232"/>
    </row>
    <row r="225">
      <c r="G225" s="231"/>
      <c r="H225" s="232"/>
    </row>
    <row r="226">
      <c r="G226" s="231"/>
      <c r="H226" s="232"/>
    </row>
    <row r="227">
      <c r="G227" s="231"/>
      <c r="H227" s="232"/>
    </row>
    <row r="228">
      <c r="G228" s="231"/>
      <c r="H228" s="232"/>
    </row>
    <row r="229">
      <c r="G229" s="231"/>
      <c r="H229" s="232"/>
    </row>
    <row r="230">
      <c r="G230" s="231"/>
      <c r="H230" s="232"/>
    </row>
    <row r="231">
      <c r="G231" s="231"/>
      <c r="H231" s="232"/>
    </row>
    <row r="232">
      <c r="G232" s="231"/>
      <c r="H232" s="232"/>
    </row>
    <row r="233">
      <c r="G233" s="231"/>
      <c r="H233" s="232"/>
    </row>
    <row r="234">
      <c r="G234" s="231"/>
      <c r="H234" s="232"/>
    </row>
    <row r="235">
      <c r="G235" s="231"/>
      <c r="H235" s="232"/>
    </row>
    <row r="236">
      <c r="G236" s="231"/>
      <c r="H236" s="232"/>
    </row>
    <row r="237">
      <c r="G237" s="231"/>
      <c r="H237" s="232"/>
    </row>
    <row r="238">
      <c r="G238" s="231"/>
      <c r="H238" s="232"/>
    </row>
    <row r="239">
      <c r="G239" s="231"/>
      <c r="H239" s="232"/>
    </row>
    <row r="240">
      <c r="G240" s="231"/>
      <c r="H240" s="232"/>
    </row>
    <row r="241">
      <c r="G241" s="231"/>
      <c r="H241" s="232"/>
    </row>
    <row r="242">
      <c r="G242" s="231"/>
      <c r="H242" s="232"/>
    </row>
    <row r="243">
      <c r="G243" s="231"/>
      <c r="H243" s="232"/>
    </row>
    <row r="244">
      <c r="G244" s="231"/>
      <c r="H244" s="232"/>
    </row>
    <row r="245">
      <c r="G245" s="231"/>
      <c r="H245" s="232"/>
    </row>
    <row r="246">
      <c r="G246" s="231"/>
      <c r="H246" s="232"/>
    </row>
    <row r="247">
      <c r="G247" s="231"/>
      <c r="H247" s="232"/>
    </row>
    <row r="248">
      <c r="G248" s="231"/>
      <c r="H248" s="232"/>
    </row>
    <row r="249">
      <c r="G249" s="231"/>
      <c r="H249" s="232"/>
    </row>
    <row r="250">
      <c r="G250" s="231"/>
      <c r="H250" s="232"/>
    </row>
    <row r="251">
      <c r="G251" s="231"/>
      <c r="H251" s="232"/>
    </row>
    <row r="252">
      <c r="G252" s="231"/>
      <c r="H252" s="232"/>
    </row>
    <row r="253">
      <c r="G253" s="231"/>
      <c r="H253" s="232"/>
    </row>
    <row r="254">
      <c r="G254" s="231"/>
      <c r="H254" s="232"/>
    </row>
    <row r="255">
      <c r="G255" s="231"/>
      <c r="H255" s="232"/>
    </row>
    <row r="256">
      <c r="G256" s="231"/>
      <c r="H256" s="232"/>
    </row>
    <row r="257">
      <c r="G257" s="231"/>
      <c r="H257" s="232"/>
    </row>
    <row r="258">
      <c r="G258" s="231"/>
      <c r="H258" s="232"/>
    </row>
    <row r="259">
      <c r="G259" s="231"/>
      <c r="H259" s="232"/>
    </row>
    <row r="260">
      <c r="G260" s="231"/>
      <c r="H260" s="232"/>
    </row>
    <row r="261">
      <c r="G261" s="231"/>
      <c r="H261" s="232"/>
    </row>
    <row r="262">
      <c r="G262" s="231"/>
      <c r="H262" s="232"/>
    </row>
    <row r="263">
      <c r="G263" s="231"/>
      <c r="H263" s="232"/>
    </row>
    <row r="264">
      <c r="G264" s="231"/>
      <c r="H264" s="232"/>
    </row>
    <row r="265">
      <c r="G265" s="231"/>
      <c r="H265" s="232"/>
    </row>
    <row r="266">
      <c r="G266" s="231"/>
      <c r="H266" s="232"/>
    </row>
    <row r="267">
      <c r="G267" s="231"/>
      <c r="H267" s="232"/>
    </row>
    <row r="268">
      <c r="G268" s="231"/>
      <c r="H268" s="232"/>
    </row>
    <row r="269">
      <c r="G269" s="231"/>
      <c r="H269" s="232"/>
    </row>
    <row r="270">
      <c r="G270" s="231"/>
      <c r="H270" s="232"/>
    </row>
    <row r="271">
      <c r="G271" s="231"/>
      <c r="H271" s="232"/>
    </row>
    <row r="272">
      <c r="G272" s="231"/>
      <c r="H272" s="232"/>
    </row>
    <row r="273">
      <c r="G273" s="231"/>
      <c r="H273" s="232"/>
    </row>
    <row r="274">
      <c r="G274" s="231"/>
      <c r="H274" s="232"/>
    </row>
    <row r="275">
      <c r="G275" s="231"/>
      <c r="H275" s="232"/>
    </row>
    <row r="276">
      <c r="G276" s="231"/>
      <c r="H276" s="232"/>
    </row>
    <row r="277">
      <c r="G277" s="231"/>
      <c r="H277" s="232"/>
    </row>
    <row r="278">
      <c r="G278" s="231"/>
      <c r="H278" s="232"/>
    </row>
    <row r="279">
      <c r="G279" s="231"/>
      <c r="H279" s="232"/>
    </row>
    <row r="280">
      <c r="G280" s="231"/>
      <c r="H280" s="232"/>
    </row>
    <row r="281">
      <c r="G281" s="231"/>
      <c r="H281" s="232"/>
    </row>
    <row r="282">
      <c r="G282" s="231"/>
      <c r="H282" s="232"/>
    </row>
    <row r="283">
      <c r="G283" s="231"/>
      <c r="H283" s="232"/>
    </row>
    <row r="284">
      <c r="G284" s="231"/>
      <c r="H284" s="232"/>
    </row>
    <row r="285">
      <c r="G285" s="231"/>
      <c r="H285" s="232"/>
    </row>
    <row r="286">
      <c r="G286" s="231"/>
      <c r="H286" s="232"/>
    </row>
    <row r="287">
      <c r="G287" s="231"/>
      <c r="H287" s="232"/>
    </row>
    <row r="288">
      <c r="G288" s="231"/>
      <c r="H288" s="232"/>
    </row>
    <row r="289">
      <c r="G289" s="231"/>
      <c r="H289" s="232"/>
    </row>
    <row r="290">
      <c r="G290" s="231"/>
      <c r="H290" s="232"/>
    </row>
    <row r="291">
      <c r="G291" s="231"/>
      <c r="H291" s="232"/>
    </row>
    <row r="292">
      <c r="G292" s="231"/>
      <c r="H292" s="232"/>
    </row>
    <row r="293">
      <c r="G293" s="231"/>
      <c r="H293" s="232"/>
    </row>
    <row r="294">
      <c r="G294" s="231"/>
      <c r="H294" s="232"/>
    </row>
    <row r="295">
      <c r="G295" s="231"/>
      <c r="H295" s="232"/>
    </row>
    <row r="296">
      <c r="G296" s="231"/>
      <c r="H296" s="232"/>
    </row>
    <row r="297">
      <c r="G297" s="231"/>
      <c r="H297" s="232"/>
    </row>
    <row r="298">
      <c r="G298" s="231"/>
      <c r="H298" s="232"/>
    </row>
    <row r="299">
      <c r="G299" s="231"/>
      <c r="H299" s="232"/>
    </row>
    <row r="300">
      <c r="G300" s="231"/>
      <c r="H300" s="232"/>
    </row>
    <row r="301">
      <c r="G301" s="231"/>
      <c r="H301" s="232"/>
    </row>
    <row r="302">
      <c r="G302" s="231"/>
      <c r="H302" s="232"/>
    </row>
    <row r="303">
      <c r="G303" s="231"/>
      <c r="H303" s="232"/>
    </row>
    <row r="304">
      <c r="G304" s="231"/>
      <c r="H304" s="232"/>
    </row>
    <row r="305">
      <c r="G305" s="231"/>
      <c r="H305" s="232"/>
    </row>
    <row r="306">
      <c r="G306" s="231"/>
      <c r="H306" s="232"/>
    </row>
    <row r="307">
      <c r="G307" s="231"/>
      <c r="H307" s="232"/>
    </row>
    <row r="308">
      <c r="G308" s="231"/>
      <c r="H308" s="232"/>
    </row>
    <row r="309">
      <c r="G309" s="231"/>
      <c r="H309" s="232"/>
    </row>
    <row r="310">
      <c r="G310" s="231"/>
      <c r="H310" s="232"/>
    </row>
    <row r="311">
      <c r="G311" s="231"/>
      <c r="H311" s="232"/>
    </row>
    <row r="312">
      <c r="G312" s="231"/>
      <c r="H312" s="232"/>
    </row>
    <row r="313">
      <c r="G313" s="231"/>
      <c r="H313" s="232"/>
    </row>
    <row r="314">
      <c r="G314" s="231"/>
      <c r="H314" s="232"/>
    </row>
    <row r="315">
      <c r="G315" s="231"/>
      <c r="H315" s="232"/>
    </row>
    <row r="316">
      <c r="G316" s="231"/>
      <c r="H316" s="232"/>
    </row>
    <row r="317">
      <c r="G317" s="231"/>
      <c r="H317" s="232"/>
    </row>
    <row r="318">
      <c r="G318" s="231"/>
      <c r="H318" s="232"/>
    </row>
    <row r="319">
      <c r="G319" s="231"/>
      <c r="H319" s="232"/>
    </row>
    <row r="320">
      <c r="G320" s="231"/>
      <c r="H320" s="232"/>
    </row>
    <row r="321">
      <c r="G321" s="231"/>
      <c r="H321" s="232"/>
    </row>
    <row r="322">
      <c r="G322" s="231"/>
      <c r="H322" s="232"/>
    </row>
    <row r="323">
      <c r="G323" s="231"/>
      <c r="H323" s="232"/>
    </row>
    <row r="324">
      <c r="G324" s="231"/>
      <c r="H324" s="232"/>
    </row>
    <row r="325">
      <c r="G325" s="231"/>
      <c r="H325" s="232"/>
    </row>
    <row r="326">
      <c r="G326" s="231"/>
      <c r="H326" s="232"/>
    </row>
    <row r="327">
      <c r="G327" s="231"/>
      <c r="H327" s="232"/>
    </row>
    <row r="328">
      <c r="G328" s="231"/>
      <c r="H328" s="232"/>
    </row>
    <row r="329">
      <c r="G329" s="231"/>
      <c r="H329" s="232"/>
    </row>
    <row r="330">
      <c r="G330" s="231"/>
      <c r="H330" s="232"/>
    </row>
    <row r="331">
      <c r="G331" s="231"/>
      <c r="H331" s="232"/>
    </row>
    <row r="332">
      <c r="G332" s="231"/>
      <c r="H332" s="232"/>
    </row>
    <row r="333">
      <c r="G333" s="231"/>
      <c r="H333" s="232"/>
    </row>
    <row r="334">
      <c r="G334" s="231"/>
      <c r="H334" s="232"/>
    </row>
    <row r="335">
      <c r="G335" s="231"/>
      <c r="H335" s="232"/>
    </row>
    <row r="336">
      <c r="G336" s="231"/>
      <c r="H336" s="232"/>
    </row>
    <row r="337">
      <c r="G337" s="231"/>
      <c r="H337" s="232"/>
    </row>
    <row r="338">
      <c r="G338" s="231"/>
      <c r="H338" s="232"/>
    </row>
    <row r="339">
      <c r="G339" s="231"/>
      <c r="H339" s="232"/>
    </row>
    <row r="340">
      <c r="G340" s="231"/>
      <c r="H340" s="232"/>
    </row>
    <row r="341">
      <c r="G341" s="231"/>
      <c r="H341" s="232"/>
    </row>
    <row r="342">
      <c r="G342" s="231"/>
      <c r="H342" s="232"/>
    </row>
    <row r="343">
      <c r="G343" s="231"/>
      <c r="H343" s="232"/>
    </row>
    <row r="344">
      <c r="G344" s="231"/>
      <c r="H344" s="232"/>
    </row>
    <row r="345">
      <c r="G345" s="231"/>
      <c r="H345" s="232"/>
    </row>
    <row r="346">
      <c r="G346" s="231"/>
      <c r="H346" s="232"/>
    </row>
    <row r="347">
      <c r="G347" s="231"/>
      <c r="H347" s="232"/>
    </row>
    <row r="348">
      <c r="G348" s="231"/>
      <c r="H348" s="232"/>
    </row>
    <row r="349">
      <c r="G349" s="231"/>
      <c r="H349" s="232"/>
    </row>
    <row r="350">
      <c r="G350" s="231"/>
      <c r="H350" s="232"/>
    </row>
    <row r="351">
      <c r="G351" s="231"/>
      <c r="H351" s="232"/>
    </row>
    <row r="352">
      <c r="G352" s="231"/>
      <c r="H352" s="232"/>
    </row>
    <row r="353">
      <c r="G353" s="231"/>
      <c r="H353" s="232"/>
    </row>
    <row r="354">
      <c r="G354" s="231"/>
      <c r="H354" s="232"/>
    </row>
    <row r="355">
      <c r="G355" s="231"/>
      <c r="H355" s="232"/>
    </row>
    <row r="356">
      <c r="G356" s="231"/>
      <c r="H356" s="232"/>
    </row>
    <row r="357">
      <c r="G357" s="231"/>
      <c r="H357" s="232"/>
    </row>
    <row r="358">
      <c r="G358" s="231"/>
      <c r="H358" s="232"/>
    </row>
    <row r="359">
      <c r="G359" s="231"/>
      <c r="H359" s="232"/>
    </row>
    <row r="360">
      <c r="G360" s="231"/>
      <c r="H360" s="232"/>
    </row>
    <row r="361">
      <c r="G361" s="231"/>
      <c r="H361" s="232"/>
    </row>
    <row r="362">
      <c r="G362" s="231"/>
      <c r="H362" s="232"/>
    </row>
    <row r="363">
      <c r="G363" s="231"/>
      <c r="H363" s="232"/>
    </row>
    <row r="364">
      <c r="G364" s="231"/>
      <c r="H364" s="232"/>
    </row>
    <row r="365">
      <c r="G365" s="231"/>
      <c r="H365" s="232"/>
    </row>
    <row r="366">
      <c r="G366" s="231"/>
      <c r="H366" s="232"/>
    </row>
    <row r="367">
      <c r="G367" s="231"/>
      <c r="H367" s="232"/>
    </row>
    <row r="368">
      <c r="G368" s="231"/>
      <c r="H368" s="232"/>
    </row>
    <row r="369">
      <c r="G369" s="231"/>
      <c r="H369" s="232"/>
    </row>
    <row r="370">
      <c r="G370" s="231"/>
      <c r="H370" s="232"/>
    </row>
    <row r="371">
      <c r="G371" s="231"/>
      <c r="H371" s="232"/>
    </row>
    <row r="372">
      <c r="G372" s="231"/>
      <c r="H372" s="232"/>
    </row>
    <row r="373">
      <c r="G373" s="231"/>
      <c r="H373" s="232"/>
    </row>
    <row r="374">
      <c r="G374" s="231"/>
      <c r="H374" s="232"/>
    </row>
    <row r="375">
      <c r="G375" s="231"/>
      <c r="H375" s="232"/>
    </row>
    <row r="376">
      <c r="G376" s="231"/>
      <c r="H376" s="232"/>
    </row>
    <row r="377">
      <c r="G377" s="231"/>
      <c r="H377" s="232"/>
    </row>
    <row r="378">
      <c r="G378" s="231"/>
      <c r="H378" s="232"/>
    </row>
    <row r="379">
      <c r="G379" s="231"/>
      <c r="H379" s="232"/>
    </row>
    <row r="380">
      <c r="G380" s="231"/>
      <c r="H380" s="232"/>
    </row>
    <row r="381">
      <c r="G381" s="231"/>
      <c r="H381" s="232"/>
    </row>
    <row r="382">
      <c r="G382" s="231"/>
      <c r="H382" s="232"/>
    </row>
    <row r="383">
      <c r="G383" s="231"/>
      <c r="H383" s="232"/>
    </row>
    <row r="384">
      <c r="G384" s="231"/>
      <c r="H384" s="232"/>
    </row>
    <row r="385">
      <c r="G385" s="231"/>
      <c r="H385" s="232"/>
    </row>
    <row r="386">
      <c r="G386" s="231"/>
      <c r="H386" s="232"/>
    </row>
    <row r="387">
      <c r="G387" s="231"/>
      <c r="H387" s="232"/>
    </row>
    <row r="388">
      <c r="G388" s="231"/>
      <c r="H388" s="232"/>
    </row>
    <row r="389">
      <c r="G389" s="231"/>
      <c r="H389" s="232"/>
    </row>
    <row r="390">
      <c r="G390" s="231"/>
      <c r="H390" s="232"/>
    </row>
    <row r="391">
      <c r="G391" s="231"/>
      <c r="H391" s="232"/>
    </row>
    <row r="392">
      <c r="G392" s="231"/>
      <c r="H392" s="232"/>
    </row>
    <row r="393">
      <c r="G393" s="231"/>
      <c r="H393" s="232"/>
    </row>
    <row r="394">
      <c r="G394" s="231"/>
      <c r="H394" s="232"/>
    </row>
    <row r="395">
      <c r="G395" s="231"/>
      <c r="H395" s="232"/>
    </row>
    <row r="396">
      <c r="G396" s="231"/>
      <c r="H396" s="232"/>
    </row>
    <row r="397">
      <c r="G397" s="231"/>
      <c r="H397" s="232"/>
    </row>
    <row r="398">
      <c r="G398" s="231"/>
      <c r="H398" s="232"/>
    </row>
    <row r="399">
      <c r="G399" s="231"/>
      <c r="H399" s="232"/>
    </row>
    <row r="400">
      <c r="G400" s="231"/>
      <c r="H400" s="232"/>
    </row>
    <row r="401">
      <c r="G401" s="231"/>
      <c r="H401" s="232"/>
    </row>
    <row r="402">
      <c r="G402" s="231"/>
      <c r="H402" s="232"/>
    </row>
    <row r="403">
      <c r="G403" s="231"/>
      <c r="H403" s="232"/>
    </row>
    <row r="404">
      <c r="G404" s="231"/>
      <c r="H404" s="232"/>
    </row>
    <row r="405">
      <c r="G405" s="231"/>
      <c r="H405" s="232"/>
    </row>
    <row r="406">
      <c r="G406" s="231"/>
      <c r="H406" s="232"/>
    </row>
    <row r="407">
      <c r="G407" s="231"/>
      <c r="H407" s="232"/>
    </row>
    <row r="408">
      <c r="G408" s="231"/>
      <c r="H408" s="232"/>
    </row>
    <row r="409">
      <c r="G409" s="231"/>
      <c r="H409" s="232"/>
    </row>
    <row r="410">
      <c r="G410" s="231"/>
      <c r="H410" s="232"/>
    </row>
    <row r="411">
      <c r="G411" s="231"/>
      <c r="H411" s="232"/>
    </row>
    <row r="412">
      <c r="G412" s="231"/>
      <c r="H412" s="232"/>
    </row>
    <row r="413">
      <c r="G413" s="231"/>
      <c r="H413" s="232"/>
    </row>
    <row r="414">
      <c r="G414" s="231"/>
      <c r="H414" s="232"/>
    </row>
    <row r="415">
      <c r="G415" s="231"/>
      <c r="H415" s="232"/>
    </row>
    <row r="416">
      <c r="G416" s="231"/>
      <c r="H416" s="232"/>
    </row>
    <row r="417">
      <c r="G417" s="231"/>
      <c r="H417" s="232"/>
    </row>
    <row r="418">
      <c r="G418" s="231"/>
      <c r="H418" s="232"/>
    </row>
    <row r="419">
      <c r="G419" s="231"/>
      <c r="H419" s="232"/>
    </row>
    <row r="420">
      <c r="G420" s="231"/>
      <c r="H420" s="232"/>
    </row>
    <row r="421">
      <c r="G421" s="231"/>
      <c r="H421" s="232"/>
    </row>
    <row r="422">
      <c r="G422" s="231"/>
      <c r="H422" s="232"/>
    </row>
    <row r="423">
      <c r="G423" s="231"/>
      <c r="H423" s="232"/>
    </row>
    <row r="424">
      <c r="G424" s="231"/>
      <c r="H424" s="232"/>
    </row>
    <row r="425">
      <c r="G425" s="231"/>
      <c r="H425" s="232"/>
    </row>
    <row r="426">
      <c r="G426" s="231"/>
      <c r="H426" s="232"/>
    </row>
    <row r="427">
      <c r="G427" s="231"/>
      <c r="H427" s="232"/>
    </row>
    <row r="428">
      <c r="G428" s="231"/>
      <c r="H428" s="232"/>
    </row>
    <row r="429">
      <c r="G429" s="231"/>
      <c r="H429" s="232"/>
    </row>
    <row r="430">
      <c r="G430" s="231"/>
      <c r="H430" s="232"/>
    </row>
    <row r="431">
      <c r="G431" s="231"/>
      <c r="H431" s="232"/>
    </row>
    <row r="432">
      <c r="G432" s="231"/>
      <c r="H432" s="232"/>
    </row>
    <row r="433">
      <c r="G433" s="231"/>
      <c r="H433" s="232"/>
    </row>
    <row r="434">
      <c r="G434" s="231"/>
      <c r="H434" s="232"/>
    </row>
    <row r="435">
      <c r="G435" s="231"/>
      <c r="H435" s="232"/>
    </row>
    <row r="436">
      <c r="G436" s="231"/>
      <c r="H436" s="232"/>
    </row>
    <row r="437">
      <c r="G437" s="231"/>
      <c r="H437" s="232"/>
    </row>
    <row r="438">
      <c r="G438" s="231"/>
      <c r="H438" s="232"/>
    </row>
    <row r="439">
      <c r="G439" s="231"/>
      <c r="H439" s="232"/>
    </row>
    <row r="440">
      <c r="G440" s="231"/>
      <c r="H440" s="232"/>
    </row>
    <row r="441">
      <c r="G441" s="231"/>
      <c r="H441" s="232"/>
    </row>
    <row r="442">
      <c r="G442" s="231"/>
      <c r="H442" s="232"/>
    </row>
    <row r="443">
      <c r="G443" s="231"/>
      <c r="H443" s="232"/>
    </row>
    <row r="444">
      <c r="G444" s="231"/>
      <c r="H444" s="232"/>
    </row>
    <row r="445">
      <c r="G445" s="231"/>
      <c r="H445" s="232"/>
    </row>
    <row r="446">
      <c r="G446" s="231"/>
      <c r="H446" s="232"/>
    </row>
    <row r="447">
      <c r="G447" s="231"/>
      <c r="H447" s="232"/>
    </row>
    <row r="448">
      <c r="G448" s="231"/>
      <c r="H448" s="232"/>
    </row>
    <row r="449">
      <c r="G449" s="231"/>
      <c r="H449" s="232"/>
    </row>
    <row r="450">
      <c r="G450" s="231"/>
      <c r="H450" s="232"/>
    </row>
    <row r="451">
      <c r="G451" s="231"/>
      <c r="H451" s="232"/>
    </row>
    <row r="452">
      <c r="G452" s="231"/>
      <c r="H452" s="232"/>
    </row>
    <row r="453">
      <c r="G453" s="231"/>
      <c r="H453" s="232"/>
    </row>
    <row r="454">
      <c r="G454" s="231"/>
      <c r="H454" s="232"/>
    </row>
    <row r="455">
      <c r="G455" s="231"/>
      <c r="H455" s="232"/>
    </row>
    <row r="456">
      <c r="G456" s="231"/>
      <c r="H456" s="232"/>
    </row>
    <row r="457">
      <c r="G457" s="231"/>
      <c r="H457" s="232"/>
    </row>
    <row r="458">
      <c r="G458" s="231"/>
      <c r="H458" s="232"/>
    </row>
    <row r="459">
      <c r="G459" s="231"/>
      <c r="H459" s="232"/>
    </row>
    <row r="460">
      <c r="G460" s="231"/>
      <c r="H460" s="232"/>
    </row>
    <row r="461">
      <c r="G461" s="231"/>
      <c r="H461" s="232"/>
    </row>
    <row r="462">
      <c r="G462" s="231"/>
      <c r="H462" s="232"/>
    </row>
    <row r="463">
      <c r="G463" s="231"/>
      <c r="H463" s="232"/>
    </row>
    <row r="464">
      <c r="G464" s="231"/>
      <c r="H464" s="232"/>
    </row>
    <row r="465">
      <c r="G465" s="231"/>
      <c r="H465" s="232"/>
    </row>
    <row r="466">
      <c r="G466" s="231"/>
      <c r="H466" s="232"/>
    </row>
    <row r="467">
      <c r="G467" s="231"/>
      <c r="H467" s="232"/>
    </row>
    <row r="468">
      <c r="G468" s="231"/>
      <c r="H468" s="232"/>
    </row>
    <row r="469">
      <c r="G469" s="231"/>
      <c r="H469" s="232"/>
    </row>
    <row r="470">
      <c r="G470" s="231"/>
      <c r="H470" s="232"/>
    </row>
    <row r="471">
      <c r="G471" s="231"/>
      <c r="H471" s="232"/>
    </row>
    <row r="472">
      <c r="G472" s="231"/>
      <c r="H472" s="232"/>
    </row>
    <row r="473">
      <c r="G473" s="231"/>
      <c r="H473" s="232"/>
    </row>
    <row r="474">
      <c r="G474" s="231"/>
      <c r="H474" s="232"/>
    </row>
    <row r="475">
      <c r="G475" s="231"/>
      <c r="H475" s="232"/>
    </row>
    <row r="476">
      <c r="G476" s="231"/>
      <c r="H476" s="232"/>
    </row>
    <row r="477">
      <c r="G477" s="231"/>
      <c r="H477" s="232"/>
    </row>
    <row r="478">
      <c r="G478" s="231"/>
      <c r="H478" s="232"/>
    </row>
    <row r="479">
      <c r="G479" s="231"/>
      <c r="H479" s="232"/>
    </row>
    <row r="480">
      <c r="G480" s="231"/>
      <c r="H480" s="232"/>
    </row>
    <row r="481">
      <c r="G481" s="231"/>
      <c r="H481" s="232"/>
    </row>
    <row r="482">
      <c r="G482" s="231"/>
      <c r="H482" s="232"/>
    </row>
    <row r="483">
      <c r="G483" s="231"/>
      <c r="H483" s="232"/>
    </row>
    <row r="484">
      <c r="G484" s="231"/>
      <c r="H484" s="232"/>
    </row>
    <row r="485">
      <c r="G485" s="231"/>
      <c r="H485" s="232"/>
    </row>
    <row r="486">
      <c r="G486" s="231"/>
      <c r="H486" s="232"/>
    </row>
    <row r="487">
      <c r="G487" s="231"/>
      <c r="H487" s="232"/>
    </row>
    <row r="488">
      <c r="G488" s="231"/>
      <c r="H488" s="232"/>
    </row>
    <row r="489">
      <c r="G489" s="231"/>
      <c r="H489" s="232"/>
    </row>
    <row r="490">
      <c r="G490" s="231"/>
      <c r="H490" s="232"/>
    </row>
    <row r="491">
      <c r="G491" s="231"/>
      <c r="H491" s="232"/>
    </row>
    <row r="492">
      <c r="G492" s="231"/>
      <c r="H492" s="232"/>
    </row>
    <row r="493">
      <c r="G493" s="231"/>
      <c r="H493" s="232"/>
    </row>
    <row r="494">
      <c r="G494" s="231"/>
      <c r="H494" s="232"/>
    </row>
    <row r="495">
      <c r="G495" s="231"/>
      <c r="H495" s="232"/>
    </row>
    <row r="496">
      <c r="G496" s="231"/>
      <c r="H496" s="232"/>
    </row>
    <row r="497">
      <c r="G497" s="231"/>
      <c r="H497" s="232"/>
    </row>
    <row r="498">
      <c r="G498" s="231"/>
      <c r="H498" s="232"/>
    </row>
    <row r="499">
      <c r="G499" s="231"/>
      <c r="H499" s="232"/>
    </row>
    <row r="500">
      <c r="G500" s="231"/>
      <c r="H500" s="232"/>
    </row>
    <row r="501">
      <c r="G501" s="231"/>
      <c r="H501" s="232"/>
    </row>
    <row r="502">
      <c r="G502" s="231"/>
      <c r="H502" s="232"/>
    </row>
    <row r="503">
      <c r="G503" s="231"/>
      <c r="H503" s="232"/>
    </row>
    <row r="504">
      <c r="G504" s="231"/>
      <c r="H504" s="232"/>
    </row>
    <row r="505">
      <c r="G505" s="231"/>
      <c r="H505" s="232"/>
    </row>
    <row r="506">
      <c r="G506" s="231"/>
      <c r="H506" s="232"/>
    </row>
    <row r="507">
      <c r="G507" s="231"/>
      <c r="H507" s="232"/>
    </row>
    <row r="508">
      <c r="G508" s="231"/>
      <c r="H508" s="232"/>
    </row>
    <row r="509">
      <c r="G509" s="231"/>
      <c r="H509" s="232"/>
    </row>
    <row r="510">
      <c r="G510" s="231"/>
      <c r="H510" s="232"/>
    </row>
    <row r="511">
      <c r="G511" s="231"/>
      <c r="H511" s="232"/>
    </row>
    <row r="512">
      <c r="G512" s="231"/>
      <c r="H512" s="232"/>
    </row>
    <row r="513">
      <c r="G513" s="231"/>
      <c r="H513" s="232"/>
    </row>
    <row r="514">
      <c r="G514" s="231"/>
      <c r="H514" s="232"/>
    </row>
    <row r="515">
      <c r="G515" s="231"/>
      <c r="H515" s="232"/>
    </row>
    <row r="516">
      <c r="G516" s="231"/>
      <c r="H516" s="232"/>
    </row>
    <row r="517">
      <c r="G517" s="231"/>
      <c r="H517" s="232"/>
    </row>
    <row r="518">
      <c r="G518" s="231"/>
      <c r="H518" s="232"/>
    </row>
    <row r="519">
      <c r="G519" s="231"/>
      <c r="H519" s="232"/>
    </row>
    <row r="520">
      <c r="G520" s="231"/>
      <c r="H520" s="232"/>
    </row>
    <row r="521">
      <c r="G521" s="231"/>
      <c r="H521" s="232"/>
    </row>
    <row r="522">
      <c r="G522" s="231"/>
      <c r="H522" s="232"/>
    </row>
    <row r="523">
      <c r="G523" s="231"/>
      <c r="H523" s="232"/>
    </row>
    <row r="524">
      <c r="G524" s="231"/>
      <c r="H524" s="232"/>
    </row>
    <row r="525">
      <c r="G525" s="231"/>
      <c r="H525" s="232"/>
    </row>
    <row r="526">
      <c r="G526" s="231"/>
      <c r="H526" s="232"/>
    </row>
    <row r="527">
      <c r="G527" s="231"/>
      <c r="H527" s="232"/>
    </row>
    <row r="528">
      <c r="G528" s="231"/>
      <c r="H528" s="232"/>
    </row>
    <row r="529">
      <c r="G529" s="231"/>
      <c r="H529" s="232"/>
    </row>
    <row r="530">
      <c r="G530" s="231"/>
      <c r="H530" s="232"/>
    </row>
    <row r="531">
      <c r="G531" s="231"/>
      <c r="H531" s="232"/>
    </row>
    <row r="532">
      <c r="G532" s="231"/>
      <c r="H532" s="232"/>
    </row>
    <row r="533">
      <c r="G533" s="231"/>
      <c r="H533" s="232"/>
    </row>
    <row r="534">
      <c r="G534" s="231"/>
      <c r="H534" s="232"/>
    </row>
    <row r="535">
      <c r="G535" s="231"/>
      <c r="H535" s="232"/>
    </row>
    <row r="536">
      <c r="G536" s="231"/>
      <c r="H536" s="232"/>
    </row>
    <row r="537">
      <c r="G537" s="231"/>
      <c r="H537" s="232"/>
    </row>
    <row r="538">
      <c r="G538" s="231"/>
      <c r="H538" s="232"/>
    </row>
    <row r="539">
      <c r="G539" s="231"/>
      <c r="H539" s="232"/>
    </row>
    <row r="540">
      <c r="G540" s="231"/>
      <c r="H540" s="232"/>
    </row>
    <row r="541">
      <c r="G541" s="231"/>
      <c r="H541" s="232"/>
    </row>
    <row r="542">
      <c r="G542" s="231"/>
      <c r="H542" s="232"/>
    </row>
    <row r="543">
      <c r="G543" s="231"/>
      <c r="H543" s="232"/>
    </row>
    <row r="544">
      <c r="G544" s="231"/>
      <c r="H544" s="232"/>
    </row>
    <row r="545">
      <c r="G545" s="231"/>
      <c r="H545" s="232"/>
    </row>
    <row r="546">
      <c r="G546" s="231"/>
      <c r="H546" s="232"/>
    </row>
    <row r="547">
      <c r="G547" s="231"/>
      <c r="H547" s="232"/>
    </row>
    <row r="548">
      <c r="G548" s="231"/>
      <c r="H548" s="232"/>
    </row>
    <row r="549">
      <c r="G549" s="231"/>
      <c r="H549" s="232"/>
    </row>
    <row r="550">
      <c r="G550" s="231"/>
      <c r="H550" s="232"/>
    </row>
    <row r="551">
      <c r="G551" s="231"/>
      <c r="H551" s="232"/>
    </row>
    <row r="552">
      <c r="G552" s="231"/>
      <c r="H552" s="232"/>
    </row>
    <row r="553">
      <c r="G553" s="231"/>
      <c r="H553" s="232"/>
    </row>
    <row r="554">
      <c r="G554" s="231"/>
      <c r="H554" s="232"/>
    </row>
    <row r="555">
      <c r="G555" s="231"/>
      <c r="H555" s="232"/>
    </row>
    <row r="556">
      <c r="G556" s="231"/>
      <c r="H556" s="232"/>
    </row>
    <row r="557">
      <c r="G557" s="231"/>
      <c r="H557" s="232"/>
    </row>
    <row r="558">
      <c r="G558" s="231"/>
      <c r="H558" s="232"/>
    </row>
    <row r="559">
      <c r="G559" s="231"/>
      <c r="H559" s="232"/>
    </row>
    <row r="560">
      <c r="G560" s="231"/>
      <c r="H560" s="232"/>
    </row>
    <row r="561">
      <c r="G561" s="231"/>
      <c r="H561" s="232"/>
    </row>
    <row r="562">
      <c r="G562" s="231"/>
      <c r="H562" s="232"/>
    </row>
    <row r="563">
      <c r="G563" s="231"/>
      <c r="H563" s="232"/>
    </row>
    <row r="564">
      <c r="G564" s="231"/>
      <c r="H564" s="232"/>
    </row>
    <row r="565">
      <c r="G565" s="231"/>
      <c r="H565" s="232"/>
    </row>
    <row r="566">
      <c r="G566" s="231"/>
      <c r="H566" s="232"/>
    </row>
    <row r="567">
      <c r="G567" s="231"/>
      <c r="H567" s="232"/>
    </row>
    <row r="568">
      <c r="G568" s="231"/>
      <c r="H568" s="232"/>
    </row>
    <row r="569">
      <c r="G569" s="231"/>
      <c r="H569" s="232"/>
    </row>
    <row r="570">
      <c r="G570" s="231"/>
      <c r="H570" s="232"/>
    </row>
    <row r="571">
      <c r="G571" s="231"/>
      <c r="H571" s="232"/>
    </row>
    <row r="572">
      <c r="G572" s="231"/>
      <c r="H572" s="232"/>
    </row>
    <row r="573">
      <c r="G573" s="231"/>
      <c r="H573" s="232"/>
    </row>
    <row r="574">
      <c r="G574" s="231"/>
      <c r="H574" s="232"/>
    </row>
    <row r="575">
      <c r="G575" s="231"/>
      <c r="H575" s="232"/>
    </row>
    <row r="576">
      <c r="G576" s="231"/>
      <c r="H576" s="232"/>
    </row>
    <row r="577">
      <c r="G577" s="231"/>
      <c r="H577" s="232"/>
    </row>
    <row r="578">
      <c r="G578" s="231"/>
      <c r="H578" s="232"/>
    </row>
    <row r="579">
      <c r="G579" s="231"/>
      <c r="H579" s="232"/>
    </row>
    <row r="580">
      <c r="G580" s="231"/>
      <c r="H580" s="232"/>
    </row>
    <row r="581">
      <c r="G581" s="231"/>
      <c r="H581" s="232"/>
    </row>
    <row r="582">
      <c r="G582" s="231"/>
      <c r="H582" s="232"/>
    </row>
    <row r="583">
      <c r="G583" s="231"/>
      <c r="H583" s="232"/>
    </row>
    <row r="584">
      <c r="G584" s="231"/>
      <c r="H584" s="232"/>
    </row>
    <row r="585">
      <c r="G585" s="231"/>
      <c r="H585" s="232"/>
    </row>
    <row r="586">
      <c r="G586" s="231"/>
      <c r="H586" s="232"/>
    </row>
    <row r="587">
      <c r="G587" s="231"/>
      <c r="H587" s="232"/>
    </row>
    <row r="588">
      <c r="G588" s="231"/>
      <c r="H588" s="232"/>
    </row>
    <row r="589">
      <c r="G589" s="231"/>
      <c r="H589" s="232"/>
    </row>
    <row r="590">
      <c r="G590" s="231"/>
      <c r="H590" s="232"/>
    </row>
    <row r="591">
      <c r="G591" s="231"/>
      <c r="H591" s="232"/>
    </row>
    <row r="592">
      <c r="G592" s="231"/>
      <c r="H592" s="232"/>
    </row>
    <row r="593">
      <c r="G593" s="231"/>
      <c r="H593" s="232"/>
    </row>
    <row r="594">
      <c r="G594" s="231"/>
      <c r="H594" s="232"/>
    </row>
    <row r="595">
      <c r="G595" s="231"/>
      <c r="H595" s="232"/>
    </row>
    <row r="596">
      <c r="G596" s="231"/>
      <c r="H596" s="232"/>
    </row>
    <row r="597">
      <c r="G597" s="231"/>
      <c r="H597" s="232"/>
    </row>
    <row r="598">
      <c r="G598" s="231"/>
      <c r="H598" s="232"/>
    </row>
    <row r="599">
      <c r="G599" s="231"/>
      <c r="H599" s="232"/>
    </row>
    <row r="600">
      <c r="G600" s="231"/>
      <c r="H600" s="232"/>
    </row>
    <row r="601">
      <c r="G601" s="231"/>
      <c r="H601" s="232"/>
    </row>
    <row r="602">
      <c r="G602" s="231"/>
      <c r="H602" s="232"/>
    </row>
    <row r="603">
      <c r="G603" s="231"/>
      <c r="H603" s="232"/>
    </row>
    <row r="604">
      <c r="G604" s="231"/>
      <c r="H604" s="232"/>
    </row>
    <row r="605">
      <c r="G605" s="231"/>
      <c r="H605" s="232"/>
    </row>
    <row r="606">
      <c r="G606" s="231"/>
      <c r="H606" s="232"/>
    </row>
    <row r="607">
      <c r="G607" s="231"/>
      <c r="H607" s="232"/>
    </row>
    <row r="608">
      <c r="G608" s="231"/>
      <c r="H608" s="232"/>
    </row>
    <row r="609">
      <c r="G609" s="231"/>
      <c r="H609" s="232"/>
    </row>
    <row r="610">
      <c r="G610" s="231"/>
      <c r="H610" s="232"/>
    </row>
    <row r="611">
      <c r="G611" s="231"/>
      <c r="H611" s="232"/>
    </row>
    <row r="612">
      <c r="G612" s="231"/>
      <c r="H612" s="232"/>
    </row>
    <row r="613">
      <c r="G613" s="231"/>
      <c r="H613" s="232"/>
    </row>
    <row r="614">
      <c r="G614" s="231"/>
      <c r="H614" s="232"/>
    </row>
    <row r="615">
      <c r="G615" s="231"/>
      <c r="H615" s="232"/>
    </row>
    <row r="616">
      <c r="G616" s="231"/>
      <c r="H616" s="232"/>
    </row>
    <row r="617">
      <c r="G617" s="231"/>
      <c r="H617" s="232"/>
    </row>
    <row r="618">
      <c r="G618" s="231"/>
      <c r="H618" s="232"/>
    </row>
    <row r="619">
      <c r="G619" s="231"/>
      <c r="H619" s="232"/>
    </row>
    <row r="620">
      <c r="G620" s="231"/>
      <c r="H620" s="232"/>
    </row>
    <row r="621">
      <c r="G621" s="231"/>
      <c r="H621" s="232"/>
    </row>
    <row r="622">
      <c r="G622" s="231"/>
      <c r="H622" s="232"/>
    </row>
    <row r="623">
      <c r="G623" s="231"/>
      <c r="H623" s="232"/>
    </row>
    <row r="624">
      <c r="G624" s="231"/>
      <c r="H624" s="232"/>
    </row>
    <row r="625">
      <c r="G625" s="231"/>
      <c r="H625" s="232"/>
    </row>
    <row r="626">
      <c r="G626" s="231"/>
      <c r="H626" s="232"/>
    </row>
    <row r="627">
      <c r="G627" s="231"/>
      <c r="H627" s="232"/>
    </row>
    <row r="628">
      <c r="G628" s="231"/>
      <c r="H628" s="232"/>
    </row>
    <row r="629">
      <c r="G629" s="231"/>
      <c r="H629" s="232"/>
    </row>
    <row r="630">
      <c r="G630" s="231"/>
      <c r="H630" s="232"/>
    </row>
    <row r="631">
      <c r="G631" s="231"/>
      <c r="H631" s="232"/>
    </row>
    <row r="632">
      <c r="G632" s="231"/>
      <c r="H632" s="232"/>
    </row>
    <row r="633">
      <c r="G633" s="231"/>
      <c r="H633" s="232"/>
    </row>
    <row r="634">
      <c r="G634" s="231"/>
      <c r="H634" s="232"/>
    </row>
    <row r="635">
      <c r="G635" s="231"/>
      <c r="H635" s="232"/>
    </row>
    <row r="636">
      <c r="G636" s="231"/>
      <c r="H636" s="232"/>
    </row>
    <row r="637">
      <c r="G637" s="231"/>
      <c r="H637" s="232"/>
    </row>
    <row r="638">
      <c r="G638" s="231"/>
      <c r="H638" s="232"/>
    </row>
    <row r="639">
      <c r="G639" s="231"/>
      <c r="H639" s="232"/>
    </row>
    <row r="640">
      <c r="G640" s="231"/>
      <c r="H640" s="232"/>
    </row>
    <row r="641">
      <c r="G641" s="231"/>
      <c r="H641" s="232"/>
    </row>
    <row r="642">
      <c r="G642" s="231"/>
      <c r="H642" s="232"/>
    </row>
    <row r="643">
      <c r="G643" s="231"/>
      <c r="H643" s="232"/>
    </row>
    <row r="644">
      <c r="G644" s="231"/>
      <c r="H644" s="232"/>
    </row>
    <row r="645">
      <c r="G645" s="231"/>
      <c r="H645" s="232"/>
    </row>
    <row r="646">
      <c r="G646" s="231"/>
      <c r="H646" s="232"/>
    </row>
    <row r="647">
      <c r="G647" s="231"/>
      <c r="H647" s="232"/>
    </row>
    <row r="648">
      <c r="G648" s="231"/>
      <c r="H648" s="232"/>
    </row>
    <row r="649">
      <c r="G649" s="231"/>
      <c r="H649" s="232"/>
    </row>
    <row r="650">
      <c r="G650" s="231"/>
      <c r="H650" s="232"/>
    </row>
    <row r="651">
      <c r="G651" s="231"/>
      <c r="H651" s="232"/>
    </row>
    <row r="652">
      <c r="G652" s="231"/>
      <c r="H652" s="232"/>
    </row>
    <row r="653">
      <c r="G653" s="231"/>
      <c r="H653" s="232"/>
    </row>
    <row r="654">
      <c r="G654" s="231"/>
      <c r="H654" s="232"/>
    </row>
    <row r="655">
      <c r="G655" s="231"/>
      <c r="H655" s="232"/>
    </row>
    <row r="656">
      <c r="G656" s="231"/>
      <c r="H656" s="232"/>
    </row>
    <row r="657">
      <c r="G657" s="231"/>
      <c r="H657" s="232"/>
    </row>
    <row r="658">
      <c r="G658" s="231"/>
      <c r="H658" s="232"/>
    </row>
    <row r="659">
      <c r="G659" s="231"/>
      <c r="H659" s="232"/>
    </row>
    <row r="660">
      <c r="G660" s="231"/>
      <c r="H660" s="232"/>
    </row>
    <row r="661">
      <c r="G661" s="231"/>
      <c r="H661" s="232"/>
    </row>
    <row r="662">
      <c r="G662" s="231"/>
      <c r="H662" s="232"/>
    </row>
    <row r="663">
      <c r="G663" s="231"/>
      <c r="H663" s="232"/>
    </row>
    <row r="664">
      <c r="G664" s="231"/>
      <c r="H664" s="232"/>
    </row>
    <row r="665">
      <c r="G665" s="231"/>
      <c r="H665" s="232"/>
    </row>
    <row r="666">
      <c r="G666" s="231"/>
      <c r="H666" s="232"/>
    </row>
    <row r="667">
      <c r="G667" s="231"/>
      <c r="H667" s="232"/>
    </row>
    <row r="668">
      <c r="G668" s="231"/>
      <c r="H668" s="232"/>
    </row>
    <row r="669">
      <c r="G669" s="231"/>
      <c r="H669" s="232"/>
    </row>
    <row r="670">
      <c r="G670" s="231"/>
      <c r="H670" s="232"/>
    </row>
    <row r="671">
      <c r="G671" s="231"/>
      <c r="H671" s="232"/>
    </row>
    <row r="672">
      <c r="G672" s="231"/>
      <c r="H672" s="232"/>
    </row>
    <row r="673">
      <c r="G673" s="231"/>
      <c r="H673" s="232"/>
    </row>
    <row r="674">
      <c r="G674" s="231"/>
      <c r="H674" s="232"/>
    </row>
    <row r="675">
      <c r="G675" s="231"/>
      <c r="H675" s="232"/>
    </row>
    <row r="676">
      <c r="G676" s="231"/>
      <c r="H676" s="232"/>
    </row>
    <row r="677">
      <c r="G677" s="231"/>
      <c r="H677" s="232"/>
    </row>
    <row r="678">
      <c r="G678" s="231"/>
      <c r="H678" s="232"/>
    </row>
    <row r="679">
      <c r="G679" s="231"/>
      <c r="H679" s="232"/>
    </row>
    <row r="680">
      <c r="G680" s="231"/>
      <c r="H680" s="232"/>
    </row>
    <row r="681">
      <c r="G681" s="231"/>
      <c r="H681" s="232"/>
    </row>
    <row r="682">
      <c r="G682" s="231"/>
      <c r="H682" s="232"/>
    </row>
    <row r="683">
      <c r="G683" s="231"/>
      <c r="H683" s="232"/>
    </row>
    <row r="684">
      <c r="G684" s="231"/>
      <c r="H684" s="232"/>
    </row>
    <row r="685">
      <c r="G685" s="231"/>
      <c r="H685" s="232"/>
    </row>
    <row r="686">
      <c r="G686" s="231"/>
      <c r="H686" s="232"/>
    </row>
    <row r="687">
      <c r="G687" s="231"/>
      <c r="H687" s="232"/>
    </row>
    <row r="688">
      <c r="G688" s="231"/>
      <c r="H688" s="232"/>
    </row>
    <row r="689">
      <c r="G689" s="231"/>
      <c r="H689" s="232"/>
    </row>
    <row r="690">
      <c r="G690" s="231"/>
      <c r="H690" s="232"/>
    </row>
    <row r="691">
      <c r="G691" s="231"/>
      <c r="H691" s="232"/>
    </row>
    <row r="692">
      <c r="G692" s="231"/>
      <c r="H692" s="232"/>
    </row>
    <row r="693">
      <c r="G693" s="231"/>
      <c r="H693" s="232"/>
    </row>
    <row r="694">
      <c r="G694" s="231"/>
      <c r="H694" s="232"/>
    </row>
    <row r="695">
      <c r="G695" s="231"/>
      <c r="H695" s="232"/>
    </row>
    <row r="696">
      <c r="G696" s="231"/>
      <c r="H696" s="232"/>
    </row>
    <row r="697">
      <c r="G697" s="231"/>
      <c r="H697" s="232"/>
    </row>
    <row r="698">
      <c r="G698" s="231"/>
      <c r="H698" s="232"/>
    </row>
    <row r="699">
      <c r="G699" s="231"/>
      <c r="H699" s="232"/>
    </row>
    <row r="700">
      <c r="G700" s="231"/>
      <c r="H700" s="232"/>
    </row>
    <row r="701">
      <c r="G701" s="231"/>
      <c r="H701" s="232"/>
    </row>
    <row r="702">
      <c r="G702" s="231"/>
      <c r="H702" s="232"/>
    </row>
    <row r="703">
      <c r="G703" s="231"/>
      <c r="H703" s="232"/>
    </row>
    <row r="704">
      <c r="G704" s="231"/>
      <c r="H704" s="232"/>
    </row>
    <row r="705">
      <c r="G705" s="231"/>
      <c r="H705" s="232"/>
    </row>
    <row r="706">
      <c r="G706" s="231"/>
      <c r="H706" s="232"/>
    </row>
    <row r="707">
      <c r="G707" s="231"/>
      <c r="H707" s="232"/>
    </row>
    <row r="708">
      <c r="G708" s="231"/>
      <c r="H708" s="232"/>
    </row>
    <row r="709">
      <c r="G709" s="231"/>
      <c r="H709" s="232"/>
    </row>
    <row r="710">
      <c r="G710" s="231"/>
      <c r="H710" s="232"/>
    </row>
    <row r="711">
      <c r="G711" s="231"/>
      <c r="H711" s="232"/>
    </row>
    <row r="712">
      <c r="G712" s="231"/>
      <c r="H712" s="232"/>
    </row>
    <row r="713">
      <c r="G713" s="231"/>
      <c r="H713" s="232"/>
    </row>
    <row r="714">
      <c r="G714" s="231"/>
      <c r="H714" s="232"/>
    </row>
    <row r="715">
      <c r="G715" s="231"/>
      <c r="H715" s="232"/>
    </row>
    <row r="716">
      <c r="G716" s="231"/>
      <c r="H716" s="232"/>
    </row>
    <row r="717">
      <c r="G717" s="231"/>
      <c r="H717" s="232"/>
    </row>
    <row r="718">
      <c r="G718" s="231"/>
      <c r="H718" s="232"/>
    </row>
    <row r="719">
      <c r="G719" s="231"/>
      <c r="H719" s="232"/>
    </row>
    <row r="720">
      <c r="G720" s="231"/>
      <c r="H720" s="232"/>
    </row>
    <row r="721">
      <c r="G721" s="231"/>
      <c r="H721" s="232"/>
    </row>
    <row r="722">
      <c r="G722" s="231"/>
      <c r="H722" s="232"/>
    </row>
    <row r="723">
      <c r="G723" s="231"/>
      <c r="H723" s="232"/>
    </row>
    <row r="724">
      <c r="G724" s="231"/>
      <c r="H724" s="232"/>
    </row>
    <row r="725">
      <c r="G725" s="231"/>
      <c r="H725" s="232"/>
    </row>
    <row r="726">
      <c r="G726" s="231"/>
      <c r="H726" s="232"/>
    </row>
    <row r="727">
      <c r="G727" s="231"/>
      <c r="H727" s="232"/>
    </row>
    <row r="728">
      <c r="G728" s="231"/>
      <c r="H728" s="232"/>
    </row>
    <row r="729">
      <c r="G729" s="231"/>
      <c r="H729" s="232"/>
    </row>
    <row r="730">
      <c r="G730" s="231"/>
      <c r="H730" s="232"/>
    </row>
    <row r="731">
      <c r="G731" s="231"/>
      <c r="H731" s="232"/>
    </row>
    <row r="732">
      <c r="G732" s="231"/>
      <c r="H732" s="232"/>
    </row>
    <row r="733">
      <c r="G733" s="231"/>
      <c r="H733" s="232"/>
    </row>
    <row r="734">
      <c r="G734" s="231"/>
      <c r="H734" s="232"/>
    </row>
    <row r="735">
      <c r="G735" s="231"/>
      <c r="H735" s="232"/>
    </row>
    <row r="736">
      <c r="G736" s="231"/>
      <c r="H736" s="232"/>
    </row>
    <row r="737">
      <c r="G737" s="231"/>
      <c r="H737" s="232"/>
    </row>
    <row r="738">
      <c r="G738" s="231"/>
      <c r="H738" s="232"/>
    </row>
    <row r="739">
      <c r="G739" s="231"/>
      <c r="H739" s="232"/>
    </row>
    <row r="740">
      <c r="G740" s="231"/>
      <c r="H740" s="232"/>
    </row>
    <row r="741">
      <c r="G741" s="231"/>
      <c r="H741" s="232"/>
    </row>
    <row r="742">
      <c r="G742" s="231"/>
      <c r="H742" s="232"/>
    </row>
    <row r="743">
      <c r="G743" s="231"/>
      <c r="H743" s="232"/>
    </row>
    <row r="744">
      <c r="G744" s="231"/>
      <c r="H744" s="232"/>
    </row>
    <row r="745">
      <c r="G745" s="231"/>
      <c r="H745" s="232"/>
    </row>
    <row r="746">
      <c r="G746" s="231"/>
      <c r="H746" s="232"/>
    </row>
    <row r="747">
      <c r="G747" s="231"/>
      <c r="H747" s="232"/>
    </row>
    <row r="748">
      <c r="G748" s="231"/>
      <c r="H748" s="232"/>
    </row>
    <row r="749">
      <c r="G749" s="231"/>
      <c r="H749" s="232"/>
    </row>
    <row r="750">
      <c r="G750" s="231"/>
      <c r="H750" s="232"/>
    </row>
    <row r="751">
      <c r="G751" s="231"/>
      <c r="H751" s="232"/>
    </row>
    <row r="752">
      <c r="G752" s="231"/>
      <c r="H752" s="232"/>
    </row>
    <row r="753">
      <c r="G753" s="231"/>
      <c r="H753" s="232"/>
    </row>
    <row r="754">
      <c r="G754" s="231"/>
      <c r="H754" s="232"/>
    </row>
    <row r="755">
      <c r="G755" s="231"/>
      <c r="H755" s="232"/>
    </row>
    <row r="756">
      <c r="G756" s="231"/>
      <c r="H756" s="232"/>
    </row>
    <row r="757">
      <c r="G757" s="231"/>
      <c r="H757" s="232"/>
    </row>
    <row r="758">
      <c r="G758" s="231"/>
      <c r="H758" s="232"/>
    </row>
    <row r="759">
      <c r="G759" s="231"/>
      <c r="H759" s="232"/>
    </row>
    <row r="760">
      <c r="G760" s="231"/>
      <c r="H760" s="232"/>
    </row>
    <row r="761">
      <c r="G761" s="231"/>
      <c r="H761" s="232"/>
    </row>
    <row r="762">
      <c r="G762" s="231"/>
      <c r="H762" s="232"/>
    </row>
    <row r="763">
      <c r="G763" s="231"/>
      <c r="H763" s="232"/>
    </row>
    <row r="764">
      <c r="G764" s="231"/>
      <c r="H764" s="232"/>
    </row>
    <row r="765">
      <c r="G765" s="231"/>
      <c r="H765" s="232"/>
    </row>
    <row r="766">
      <c r="G766" s="231"/>
      <c r="H766" s="232"/>
    </row>
    <row r="767">
      <c r="G767" s="231"/>
      <c r="H767" s="232"/>
    </row>
    <row r="768">
      <c r="G768" s="231"/>
      <c r="H768" s="232"/>
    </row>
    <row r="769">
      <c r="G769" s="231"/>
      <c r="H769" s="232"/>
    </row>
    <row r="770">
      <c r="G770" s="231"/>
      <c r="H770" s="232"/>
    </row>
    <row r="771">
      <c r="G771" s="231"/>
      <c r="H771" s="232"/>
    </row>
    <row r="772">
      <c r="G772" s="231"/>
      <c r="H772" s="232"/>
    </row>
    <row r="773">
      <c r="G773" s="231"/>
      <c r="H773" s="232"/>
    </row>
    <row r="774">
      <c r="G774" s="231"/>
      <c r="H774" s="232"/>
    </row>
    <row r="775">
      <c r="G775" s="231"/>
      <c r="H775" s="232"/>
    </row>
    <row r="776">
      <c r="G776" s="231"/>
      <c r="H776" s="232"/>
    </row>
    <row r="777">
      <c r="G777" s="231"/>
      <c r="H777" s="232"/>
    </row>
    <row r="778">
      <c r="G778" s="231"/>
      <c r="H778" s="232"/>
    </row>
    <row r="779">
      <c r="G779" s="231"/>
      <c r="H779" s="232"/>
    </row>
    <row r="780">
      <c r="G780" s="231"/>
      <c r="H780" s="232"/>
    </row>
    <row r="781">
      <c r="G781" s="231"/>
      <c r="H781" s="232"/>
    </row>
    <row r="782">
      <c r="G782" s="231"/>
      <c r="H782" s="232"/>
    </row>
    <row r="783">
      <c r="G783" s="231"/>
      <c r="H783" s="232"/>
    </row>
    <row r="784">
      <c r="G784" s="231"/>
      <c r="H784" s="232"/>
    </row>
    <row r="785">
      <c r="G785" s="231"/>
      <c r="H785" s="232"/>
    </row>
    <row r="786">
      <c r="G786" s="231"/>
      <c r="H786" s="232"/>
    </row>
    <row r="787">
      <c r="G787" s="231"/>
      <c r="H787" s="232"/>
    </row>
    <row r="788">
      <c r="G788" s="231"/>
      <c r="H788" s="232"/>
    </row>
    <row r="789">
      <c r="G789" s="231"/>
      <c r="H789" s="232"/>
    </row>
    <row r="790">
      <c r="G790" s="231"/>
      <c r="H790" s="232"/>
    </row>
    <row r="791">
      <c r="G791" s="231"/>
      <c r="H791" s="232"/>
    </row>
    <row r="792">
      <c r="G792" s="231"/>
      <c r="H792" s="232"/>
    </row>
    <row r="793">
      <c r="G793" s="231"/>
      <c r="H793" s="232"/>
    </row>
    <row r="794">
      <c r="G794" s="231"/>
      <c r="H794" s="232"/>
    </row>
    <row r="795">
      <c r="G795" s="231"/>
      <c r="H795" s="232"/>
    </row>
    <row r="796">
      <c r="G796" s="231"/>
      <c r="H796" s="232"/>
    </row>
    <row r="797">
      <c r="G797" s="231"/>
      <c r="H797" s="232"/>
    </row>
    <row r="798">
      <c r="G798" s="231"/>
      <c r="H798" s="232"/>
    </row>
    <row r="799">
      <c r="G799" s="231"/>
      <c r="H799" s="232"/>
    </row>
    <row r="800">
      <c r="G800" s="231"/>
      <c r="H800" s="232"/>
    </row>
    <row r="801">
      <c r="G801" s="231"/>
      <c r="H801" s="232"/>
    </row>
    <row r="802">
      <c r="G802" s="231"/>
      <c r="H802" s="232"/>
    </row>
    <row r="803">
      <c r="G803" s="231"/>
      <c r="H803" s="232"/>
    </row>
    <row r="804">
      <c r="G804" s="231"/>
      <c r="H804" s="232"/>
    </row>
    <row r="805">
      <c r="G805" s="231"/>
      <c r="H805" s="232"/>
    </row>
    <row r="806">
      <c r="G806" s="231"/>
      <c r="H806" s="232"/>
    </row>
    <row r="807">
      <c r="G807" s="231"/>
      <c r="H807" s="232"/>
    </row>
    <row r="808">
      <c r="G808" s="231"/>
      <c r="H808" s="232"/>
    </row>
    <row r="809">
      <c r="G809" s="231"/>
      <c r="H809" s="232"/>
    </row>
    <row r="810">
      <c r="G810" s="231"/>
      <c r="H810" s="232"/>
    </row>
    <row r="811">
      <c r="G811" s="231"/>
      <c r="H811" s="232"/>
    </row>
    <row r="812">
      <c r="G812" s="231"/>
      <c r="H812" s="232"/>
    </row>
    <row r="813">
      <c r="G813" s="231"/>
      <c r="H813" s="232"/>
    </row>
    <row r="814">
      <c r="G814" s="231"/>
      <c r="H814" s="232"/>
    </row>
    <row r="815">
      <c r="G815" s="231"/>
      <c r="H815" s="232"/>
    </row>
    <row r="816">
      <c r="G816" s="231"/>
      <c r="H816" s="232"/>
    </row>
    <row r="817">
      <c r="G817" s="231"/>
      <c r="H817" s="232"/>
    </row>
    <row r="818">
      <c r="G818" s="231"/>
      <c r="H818" s="232"/>
    </row>
    <row r="819">
      <c r="G819" s="231"/>
      <c r="H819" s="232"/>
    </row>
    <row r="820">
      <c r="G820" s="231"/>
      <c r="H820" s="232"/>
    </row>
    <row r="821">
      <c r="G821" s="231"/>
      <c r="H821" s="232"/>
    </row>
    <row r="822">
      <c r="G822" s="231"/>
      <c r="H822" s="232"/>
    </row>
    <row r="823">
      <c r="G823" s="231"/>
      <c r="H823" s="232"/>
    </row>
    <row r="824">
      <c r="G824" s="231"/>
      <c r="H824" s="232"/>
    </row>
    <row r="825">
      <c r="G825" s="231"/>
      <c r="H825" s="232"/>
    </row>
    <row r="826">
      <c r="G826" s="231"/>
      <c r="H826" s="232"/>
    </row>
    <row r="827">
      <c r="G827" s="231"/>
      <c r="H827" s="232"/>
    </row>
    <row r="828">
      <c r="G828" s="231"/>
      <c r="H828" s="232"/>
    </row>
    <row r="829">
      <c r="G829" s="231"/>
      <c r="H829" s="232"/>
    </row>
    <row r="830">
      <c r="G830" s="231"/>
      <c r="H830" s="232"/>
    </row>
    <row r="831">
      <c r="G831" s="231"/>
      <c r="H831" s="232"/>
    </row>
    <row r="832">
      <c r="G832" s="231"/>
      <c r="H832" s="232"/>
    </row>
    <row r="833">
      <c r="G833" s="231"/>
      <c r="H833" s="232"/>
    </row>
    <row r="834">
      <c r="G834" s="231"/>
      <c r="H834" s="232"/>
    </row>
    <row r="835">
      <c r="G835" s="231"/>
      <c r="H835" s="232"/>
    </row>
    <row r="836">
      <c r="G836" s="231"/>
      <c r="H836" s="232"/>
    </row>
    <row r="837">
      <c r="G837" s="231"/>
      <c r="H837" s="232"/>
    </row>
    <row r="838">
      <c r="G838" s="231"/>
      <c r="H838" s="232"/>
    </row>
    <row r="839">
      <c r="G839" s="231"/>
      <c r="H839" s="232"/>
    </row>
    <row r="840">
      <c r="G840" s="231"/>
      <c r="H840" s="232"/>
    </row>
    <row r="841">
      <c r="G841" s="231"/>
      <c r="H841" s="232"/>
    </row>
    <row r="842">
      <c r="G842" s="231"/>
      <c r="H842" s="232"/>
    </row>
    <row r="843">
      <c r="G843" s="231"/>
      <c r="H843" s="232"/>
    </row>
    <row r="844">
      <c r="G844" s="231"/>
      <c r="H844" s="232"/>
    </row>
    <row r="845">
      <c r="G845" s="231"/>
      <c r="H845" s="232"/>
    </row>
    <row r="846">
      <c r="G846" s="231"/>
      <c r="H846" s="232"/>
    </row>
    <row r="847">
      <c r="G847" s="231"/>
      <c r="H847" s="232"/>
    </row>
    <row r="848">
      <c r="G848" s="231"/>
      <c r="H848" s="232"/>
    </row>
    <row r="849">
      <c r="G849" s="231"/>
      <c r="H849" s="232"/>
    </row>
    <row r="850">
      <c r="G850" s="231"/>
      <c r="H850" s="232"/>
    </row>
    <row r="851">
      <c r="G851" s="231"/>
      <c r="H851" s="232"/>
    </row>
    <row r="852">
      <c r="G852" s="231"/>
      <c r="H852" s="232"/>
    </row>
    <row r="853">
      <c r="G853" s="231"/>
      <c r="H853" s="232"/>
    </row>
    <row r="854">
      <c r="G854" s="231"/>
      <c r="H854" s="232"/>
    </row>
    <row r="855">
      <c r="G855" s="231"/>
      <c r="H855" s="232"/>
    </row>
    <row r="856">
      <c r="G856" s="231"/>
      <c r="H856" s="232"/>
    </row>
    <row r="857">
      <c r="G857" s="231"/>
      <c r="H857" s="232"/>
    </row>
    <row r="858">
      <c r="G858" s="231"/>
      <c r="H858" s="232"/>
    </row>
    <row r="859">
      <c r="G859" s="231"/>
      <c r="H859" s="232"/>
    </row>
    <row r="860">
      <c r="G860" s="231"/>
      <c r="H860" s="232"/>
    </row>
    <row r="861">
      <c r="G861" s="231"/>
      <c r="H861" s="232"/>
    </row>
    <row r="862">
      <c r="G862" s="231"/>
      <c r="H862" s="232"/>
    </row>
    <row r="863">
      <c r="G863" s="231"/>
      <c r="H863" s="232"/>
    </row>
    <row r="864">
      <c r="G864" s="231"/>
      <c r="H864" s="232"/>
    </row>
    <row r="865">
      <c r="G865" s="231"/>
      <c r="H865" s="232"/>
    </row>
    <row r="866">
      <c r="G866" s="231"/>
      <c r="H866" s="232"/>
    </row>
    <row r="867">
      <c r="G867" s="231"/>
      <c r="H867" s="232"/>
    </row>
    <row r="868">
      <c r="G868" s="231"/>
      <c r="H868" s="232"/>
    </row>
    <row r="869">
      <c r="G869" s="231"/>
      <c r="H869" s="232"/>
    </row>
    <row r="870">
      <c r="G870" s="231"/>
      <c r="H870" s="232"/>
    </row>
    <row r="871">
      <c r="G871" s="231"/>
      <c r="H871" s="232"/>
    </row>
    <row r="872">
      <c r="G872" s="231"/>
      <c r="H872" s="232"/>
    </row>
    <row r="873">
      <c r="G873" s="231"/>
      <c r="H873" s="232"/>
    </row>
    <row r="874">
      <c r="G874" s="231"/>
      <c r="H874" s="232"/>
    </row>
    <row r="875">
      <c r="G875" s="231"/>
      <c r="H875" s="232"/>
    </row>
    <row r="876">
      <c r="G876" s="231"/>
      <c r="H876" s="232"/>
    </row>
    <row r="877">
      <c r="G877" s="231"/>
      <c r="H877" s="232"/>
    </row>
    <row r="878">
      <c r="G878" s="231"/>
      <c r="H878" s="232"/>
    </row>
    <row r="879">
      <c r="G879" s="231"/>
      <c r="H879" s="232"/>
    </row>
    <row r="880">
      <c r="G880" s="231"/>
      <c r="H880" s="232"/>
    </row>
    <row r="881">
      <c r="G881" s="231"/>
      <c r="H881" s="232"/>
    </row>
    <row r="882">
      <c r="G882" s="231"/>
      <c r="H882" s="232"/>
    </row>
    <row r="883">
      <c r="G883" s="231"/>
      <c r="H883" s="232"/>
    </row>
    <row r="884">
      <c r="G884" s="231"/>
      <c r="H884" s="232"/>
    </row>
    <row r="885">
      <c r="G885" s="231"/>
      <c r="H885" s="232"/>
    </row>
    <row r="886">
      <c r="G886" s="231"/>
      <c r="H886" s="232"/>
    </row>
    <row r="887">
      <c r="G887" s="231"/>
      <c r="H887" s="232"/>
    </row>
    <row r="888">
      <c r="G888" s="231"/>
      <c r="H888" s="232"/>
    </row>
    <row r="889">
      <c r="G889" s="231"/>
      <c r="H889" s="232"/>
    </row>
    <row r="890">
      <c r="G890" s="231"/>
      <c r="H890" s="232"/>
    </row>
    <row r="891">
      <c r="G891" s="231"/>
      <c r="H891" s="232"/>
    </row>
    <row r="892">
      <c r="G892" s="231"/>
      <c r="H892" s="232"/>
    </row>
    <row r="893">
      <c r="G893" s="231"/>
      <c r="H893" s="232"/>
    </row>
    <row r="894">
      <c r="G894" s="231"/>
      <c r="H894" s="232"/>
    </row>
    <row r="895">
      <c r="G895" s="231"/>
      <c r="H895" s="232"/>
    </row>
    <row r="896">
      <c r="G896" s="231"/>
      <c r="H896" s="232"/>
    </row>
    <row r="897">
      <c r="G897" s="231"/>
      <c r="H897" s="232"/>
    </row>
    <row r="898">
      <c r="G898" s="231"/>
      <c r="H898" s="232"/>
    </row>
    <row r="899">
      <c r="G899" s="231"/>
      <c r="H899" s="232"/>
    </row>
    <row r="900">
      <c r="G900" s="231"/>
      <c r="H900" s="232"/>
    </row>
    <row r="901">
      <c r="G901" s="231"/>
      <c r="H901" s="232"/>
    </row>
    <row r="902">
      <c r="G902" s="231"/>
      <c r="H902" s="232"/>
    </row>
    <row r="903">
      <c r="G903" s="231"/>
      <c r="H903" s="232"/>
    </row>
    <row r="904">
      <c r="G904" s="231"/>
      <c r="H904" s="232"/>
    </row>
    <row r="905">
      <c r="G905" s="231"/>
      <c r="H905" s="232"/>
    </row>
    <row r="906">
      <c r="G906" s="231"/>
      <c r="H906" s="232"/>
    </row>
    <row r="907">
      <c r="G907" s="231"/>
      <c r="H907" s="232"/>
    </row>
    <row r="908">
      <c r="G908" s="231"/>
      <c r="H908" s="232"/>
    </row>
    <row r="909">
      <c r="G909" s="231"/>
      <c r="H909" s="232"/>
    </row>
    <row r="910">
      <c r="G910" s="231"/>
      <c r="H910" s="232"/>
    </row>
    <row r="911">
      <c r="G911" s="231"/>
      <c r="H911" s="232"/>
    </row>
    <row r="912">
      <c r="G912" s="231"/>
      <c r="H912" s="232"/>
    </row>
    <row r="913">
      <c r="G913" s="231"/>
      <c r="H913" s="232"/>
    </row>
    <row r="914">
      <c r="G914" s="231"/>
      <c r="H914" s="232"/>
    </row>
    <row r="915">
      <c r="G915" s="231"/>
      <c r="H915" s="232"/>
    </row>
    <row r="916">
      <c r="G916" s="231"/>
      <c r="H916" s="232"/>
    </row>
    <row r="917">
      <c r="G917" s="231"/>
      <c r="H917" s="232"/>
    </row>
    <row r="918">
      <c r="G918" s="231"/>
      <c r="H918" s="232"/>
    </row>
    <row r="919">
      <c r="G919" s="231"/>
      <c r="H919" s="232"/>
    </row>
    <row r="920">
      <c r="G920" s="231"/>
      <c r="H920" s="232"/>
    </row>
    <row r="921">
      <c r="G921" s="231"/>
      <c r="H921" s="232"/>
    </row>
    <row r="922">
      <c r="G922" s="231"/>
      <c r="H922" s="232"/>
    </row>
    <row r="923">
      <c r="G923" s="231"/>
      <c r="H923" s="232"/>
    </row>
    <row r="924">
      <c r="G924" s="231"/>
      <c r="H924" s="232"/>
    </row>
    <row r="925">
      <c r="G925" s="231"/>
      <c r="H925" s="232"/>
    </row>
    <row r="926">
      <c r="G926" s="231"/>
      <c r="H926" s="232"/>
    </row>
    <row r="927">
      <c r="G927" s="231"/>
      <c r="H927" s="232"/>
    </row>
    <row r="928">
      <c r="G928" s="231"/>
      <c r="H928" s="232"/>
    </row>
    <row r="929">
      <c r="G929" s="231"/>
      <c r="H929" s="232"/>
    </row>
    <row r="930">
      <c r="G930" s="231"/>
      <c r="H930" s="232"/>
    </row>
    <row r="931">
      <c r="G931" s="231"/>
      <c r="H931" s="232"/>
    </row>
    <row r="932">
      <c r="G932" s="231"/>
      <c r="H932" s="232"/>
    </row>
    <row r="933">
      <c r="G933" s="231"/>
      <c r="H933" s="232"/>
    </row>
    <row r="934">
      <c r="G934" s="231"/>
      <c r="H934" s="232"/>
    </row>
    <row r="935">
      <c r="G935" s="231"/>
      <c r="H935" s="232"/>
    </row>
    <row r="936">
      <c r="G936" s="231"/>
      <c r="H936" s="232"/>
    </row>
    <row r="937">
      <c r="G937" s="231"/>
      <c r="H937" s="232"/>
    </row>
    <row r="938">
      <c r="G938" s="231"/>
      <c r="H938" s="232"/>
    </row>
    <row r="939">
      <c r="G939" s="231"/>
      <c r="H939" s="232"/>
    </row>
    <row r="940">
      <c r="G940" s="231"/>
      <c r="H940" s="232"/>
    </row>
    <row r="941">
      <c r="G941" s="231"/>
      <c r="H941" s="232"/>
    </row>
    <row r="942">
      <c r="G942" s="231"/>
      <c r="H942" s="232"/>
    </row>
    <row r="943">
      <c r="G943" s="231"/>
      <c r="H943" s="232"/>
    </row>
    <row r="944">
      <c r="G944" s="231"/>
      <c r="H944" s="232"/>
    </row>
    <row r="945">
      <c r="G945" s="231"/>
      <c r="H945" s="232"/>
    </row>
    <row r="946">
      <c r="G946" s="231"/>
      <c r="H946" s="232"/>
    </row>
    <row r="947">
      <c r="G947" s="231"/>
      <c r="H947" s="232"/>
    </row>
    <row r="948">
      <c r="G948" s="231"/>
      <c r="H948" s="232"/>
    </row>
    <row r="949">
      <c r="G949" s="231"/>
      <c r="H949" s="232"/>
    </row>
    <row r="950">
      <c r="G950" s="231"/>
      <c r="H950" s="232"/>
    </row>
    <row r="951">
      <c r="G951" s="231"/>
      <c r="H951" s="232"/>
    </row>
    <row r="952">
      <c r="G952" s="231"/>
      <c r="H952" s="232"/>
    </row>
    <row r="953">
      <c r="G953" s="231"/>
      <c r="H953" s="232"/>
    </row>
    <row r="954">
      <c r="G954" s="231"/>
      <c r="H954" s="232"/>
    </row>
    <row r="955">
      <c r="G955" s="231"/>
      <c r="H955" s="232"/>
    </row>
    <row r="956">
      <c r="G956" s="231"/>
      <c r="H956" s="232"/>
    </row>
    <row r="957">
      <c r="G957" s="231"/>
      <c r="H957" s="232"/>
    </row>
    <row r="958">
      <c r="G958" s="231"/>
      <c r="H958" s="232"/>
    </row>
    <row r="959">
      <c r="G959" s="231"/>
      <c r="H959" s="232"/>
    </row>
    <row r="960">
      <c r="G960" s="231"/>
      <c r="H960" s="232"/>
    </row>
    <row r="961">
      <c r="G961" s="231"/>
      <c r="H961" s="232"/>
    </row>
    <row r="962">
      <c r="G962" s="231"/>
      <c r="H962" s="232"/>
    </row>
    <row r="963">
      <c r="G963" s="231"/>
      <c r="H963" s="232"/>
    </row>
    <row r="964">
      <c r="G964" s="231"/>
      <c r="H964" s="232"/>
    </row>
    <row r="965">
      <c r="G965" s="231"/>
      <c r="H965" s="232"/>
    </row>
    <row r="966">
      <c r="G966" s="231"/>
      <c r="H966" s="232"/>
    </row>
    <row r="967">
      <c r="G967" s="231"/>
      <c r="H967" s="232"/>
    </row>
    <row r="968">
      <c r="G968" s="231"/>
      <c r="H968" s="232"/>
    </row>
    <row r="969">
      <c r="G969" s="231"/>
      <c r="H969" s="232"/>
    </row>
    <row r="970">
      <c r="G970" s="231"/>
      <c r="H970" s="232"/>
    </row>
    <row r="971">
      <c r="G971" s="231"/>
      <c r="H971" s="232"/>
    </row>
    <row r="972">
      <c r="G972" s="231"/>
      <c r="H972" s="232"/>
    </row>
    <row r="973">
      <c r="G973" s="231"/>
      <c r="H973" s="232"/>
    </row>
    <row r="974">
      <c r="G974" s="231"/>
      <c r="H974" s="232"/>
    </row>
    <row r="975">
      <c r="G975" s="231"/>
      <c r="H975" s="232"/>
    </row>
    <row r="976">
      <c r="G976" s="231"/>
      <c r="H976" s="232"/>
    </row>
    <row r="977">
      <c r="G977" s="231"/>
      <c r="H977" s="232"/>
    </row>
    <row r="978">
      <c r="G978" s="231"/>
      <c r="H978" s="232"/>
    </row>
  </sheetData>
  <mergeCells count="26">
    <mergeCell ref="E5:E6"/>
    <mergeCell ref="G5:G6"/>
    <mergeCell ref="Z5:AA5"/>
    <mergeCell ref="AD5:AD6"/>
    <mergeCell ref="F1:AH1"/>
    <mergeCell ref="F2:AH2"/>
    <mergeCell ref="A3:B3"/>
    <mergeCell ref="A5:A6"/>
    <mergeCell ref="B5:B6"/>
    <mergeCell ref="C5:C6"/>
    <mergeCell ref="D5:D6"/>
    <mergeCell ref="AE5:AE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S5"/>
    <mergeCell ref="T5:U5"/>
    <mergeCell ref="V5:W5"/>
    <mergeCell ref="X5:Y5"/>
  </mergeCells>
  <conditionalFormatting sqref="AA3:AE3">
    <cfRule type="timePeriod" dxfId="3" priority="1" timePeriod="last7Days"/>
  </conditionalFormatting>
  <conditionalFormatting sqref="S7:S23 U7:U23 W7:W23 Y7:Y23 AA7:AA23">
    <cfRule type="containsText" dxfId="0" priority="2" operator="containsText" text="Akan Habis">
      <formula>NOT(ISERROR(SEARCH(("Akan Habis"),(S7))))</formula>
    </cfRule>
  </conditionalFormatting>
  <conditionalFormatting sqref="R38">
    <cfRule type="colorScale" priority="3">
      <colorScale>
        <cfvo type="min"/>
        <cfvo type="max"/>
        <color rgb="FFFFFFFF"/>
        <color rgb="FF57BB8A"/>
      </colorScale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1" t="s">
        <v>667</v>
      </c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</row>
    <row r="2"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2"/>
      <c r="AU2" s="282"/>
      <c r="AV2" s="282"/>
      <c r="AW2" s="282"/>
      <c r="AX2" s="282"/>
    </row>
    <row r="3">
      <c r="AH3" s="282"/>
      <c r="AI3" s="282"/>
      <c r="AJ3" s="282"/>
      <c r="AK3" s="282"/>
      <c r="AL3" s="282"/>
      <c r="AM3" s="282"/>
      <c r="AN3" s="282"/>
      <c r="AO3" s="282"/>
      <c r="AP3" s="282"/>
      <c r="AQ3" s="282"/>
      <c r="AR3" s="282"/>
      <c r="AS3" s="282"/>
      <c r="AT3" s="282"/>
      <c r="AU3" s="282"/>
      <c r="AV3" s="282"/>
      <c r="AW3" s="282"/>
      <c r="AX3" s="282"/>
    </row>
    <row r="4">
      <c r="A4" s="283"/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/>
      <c r="Q4" s="284"/>
      <c r="R4" s="284"/>
      <c r="S4" s="284"/>
      <c r="T4" s="285" t="s">
        <v>49</v>
      </c>
      <c r="U4" s="286"/>
      <c r="V4" s="285" t="s">
        <v>60</v>
      </c>
      <c r="W4" s="286"/>
      <c r="X4" s="285" t="s">
        <v>61</v>
      </c>
      <c r="Y4" s="286"/>
      <c r="Z4" s="285" t="s">
        <v>63</v>
      </c>
      <c r="AA4" s="286"/>
      <c r="AB4" s="285" t="s">
        <v>65</v>
      </c>
      <c r="AC4" s="286"/>
      <c r="AD4" s="285" t="s">
        <v>67</v>
      </c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6"/>
      <c r="AS4" s="286"/>
      <c r="AT4" s="286"/>
      <c r="AU4" s="286"/>
      <c r="AV4" s="286"/>
      <c r="AW4" s="286"/>
      <c r="AX4" s="286"/>
    </row>
    <row r="5" ht="21.0" customHeight="1">
      <c r="A5" s="5" t="s">
        <v>2</v>
      </c>
      <c r="B5" s="7" t="s">
        <v>3</v>
      </c>
      <c r="C5" s="7" t="s">
        <v>5</v>
      </c>
      <c r="D5" s="7"/>
      <c r="E5" s="7" t="s">
        <v>4</v>
      </c>
      <c r="F5" s="43" t="s">
        <v>126</v>
      </c>
      <c r="G5" s="7" t="s">
        <v>128</v>
      </c>
      <c r="H5" s="43" t="s">
        <v>130</v>
      </c>
      <c r="I5" s="43" t="s">
        <v>131</v>
      </c>
      <c r="J5" s="45" t="s">
        <v>132</v>
      </c>
      <c r="K5" s="45" t="s">
        <v>136</v>
      </c>
      <c r="L5" s="45" t="s">
        <v>137</v>
      </c>
      <c r="M5" s="45" t="s">
        <v>138</v>
      </c>
      <c r="N5" s="45" t="s">
        <v>139</v>
      </c>
      <c r="O5" s="43" t="s">
        <v>140</v>
      </c>
      <c r="P5" s="43" t="s">
        <v>141</v>
      </c>
      <c r="Q5" s="7" t="s">
        <v>143</v>
      </c>
      <c r="R5" s="7" t="s">
        <v>144</v>
      </c>
      <c r="S5" s="7" t="s">
        <v>146</v>
      </c>
      <c r="T5" s="32" t="s">
        <v>49</v>
      </c>
      <c r="U5" s="32" t="s">
        <v>148</v>
      </c>
      <c r="V5" s="32" t="s">
        <v>60</v>
      </c>
      <c r="W5" s="32" t="s">
        <v>148</v>
      </c>
      <c r="X5" s="32" t="s">
        <v>61</v>
      </c>
      <c r="Y5" s="32" t="s">
        <v>148</v>
      </c>
      <c r="Z5" s="32" t="s">
        <v>63</v>
      </c>
      <c r="AA5" s="40" t="s">
        <v>148</v>
      </c>
      <c r="AB5" s="32" t="s">
        <v>65</v>
      </c>
      <c r="AC5" s="40" t="s">
        <v>148</v>
      </c>
      <c r="AD5" s="32" t="s">
        <v>67</v>
      </c>
      <c r="AE5" s="40" t="s">
        <v>148</v>
      </c>
      <c r="AF5" s="40" t="s">
        <v>151</v>
      </c>
      <c r="AG5" s="40" t="s">
        <v>148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>
      <c r="A6" s="16">
        <v>1.0</v>
      </c>
      <c r="B6" s="16" t="s">
        <v>6</v>
      </c>
      <c r="C6" s="194" t="s">
        <v>153</v>
      </c>
      <c r="D6" s="194">
        <v>24.0</v>
      </c>
      <c r="E6" s="287" t="s">
        <v>8</v>
      </c>
      <c r="F6" s="194">
        <v>2016.0</v>
      </c>
      <c r="G6" s="194">
        <v>2016.0</v>
      </c>
      <c r="H6" s="194">
        <v>9.0</v>
      </c>
      <c r="I6" s="288" t="s">
        <v>158</v>
      </c>
      <c r="J6" s="194">
        <v>7684.0</v>
      </c>
      <c r="K6" s="194" t="s">
        <v>159</v>
      </c>
      <c r="L6" s="194" t="s">
        <v>160</v>
      </c>
      <c r="M6" s="194" t="s">
        <v>161</v>
      </c>
      <c r="N6" s="194">
        <v>2016.0</v>
      </c>
      <c r="O6" s="194">
        <v>9.0</v>
      </c>
      <c r="P6" s="194" t="s">
        <v>162</v>
      </c>
      <c r="Q6" s="194" t="s">
        <v>163</v>
      </c>
      <c r="R6" s="287" t="s">
        <v>164</v>
      </c>
      <c r="S6" s="287" t="s">
        <v>165</v>
      </c>
      <c r="T6" s="289">
        <v>46383.0</v>
      </c>
      <c r="U6" s="290" t="s">
        <v>668</v>
      </c>
      <c r="V6" s="289">
        <v>46383.0</v>
      </c>
      <c r="W6" s="290" t="s">
        <v>668</v>
      </c>
      <c r="X6" s="289">
        <v>46096.0</v>
      </c>
      <c r="Y6" s="290" t="s">
        <v>669</v>
      </c>
      <c r="Z6" s="289">
        <v>46096.0</v>
      </c>
      <c r="AA6" s="290" t="s">
        <v>668</v>
      </c>
      <c r="AB6" s="289">
        <v>46225.0</v>
      </c>
      <c r="AC6" s="290" t="s">
        <v>668</v>
      </c>
      <c r="AD6" s="291">
        <v>46155.0</v>
      </c>
      <c r="AE6" s="290" t="s">
        <v>668</v>
      </c>
      <c r="AF6" s="292" t="s">
        <v>166</v>
      </c>
      <c r="AG6" s="292" t="s">
        <v>167</v>
      </c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3"/>
      <c r="AX6" s="293"/>
    </row>
    <row r="7">
      <c r="A7" s="16">
        <v>2.0</v>
      </c>
      <c r="B7" s="16" t="s">
        <v>12</v>
      </c>
      <c r="C7" s="194" t="s">
        <v>153</v>
      </c>
      <c r="D7" s="194">
        <v>24.0</v>
      </c>
      <c r="E7" s="287" t="s">
        <v>8</v>
      </c>
      <c r="F7" s="194">
        <v>2016.0</v>
      </c>
      <c r="G7" s="194">
        <v>2016.0</v>
      </c>
      <c r="H7" s="194">
        <v>9.0</v>
      </c>
      <c r="I7" s="288" t="s">
        <v>158</v>
      </c>
      <c r="J7" s="194">
        <v>7684.0</v>
      </c>
      <c r="K7" s="194" t="s">
        <v>159</v>
      </c>
      <c r="L7" s="194" t="s">
        <v>160</v>
      </c>
      <c r="M7" s="194" t="s">
        <v>161</v>
      </c>
      <c r="N7" s="194">
        <v>2016.0</v>
      </c>
      <c r="O7" s="194">
        <v>9.0</v>
      </c>
      <c r="P7" s="194" t="s">
        <v>162</v>
      </c>
      <c r="Q7" s="194" t="s">
        <v>163</v>
      </c>
      <c r="R7" s="287" t="s">
        <v>174</v>
      </c>
      <c r="S7" s="287" t="s">
        <v>175</v>
      </c>
      <c r="T7" s="289">
        <v>46383.0</v>
      </c>
      <c r="U7" s="290" t="s">
        <v>668</v>
      </c>
      <c r="V7" s="289">
        <v>46383.0</v>
      </c>
      <c r="W7" s="290" t="s">
        <v>668</v>
      </c>
      <c r="X7" s="289">
        <v>46096.0</v>
      </c>
      <c r="Y7" s="290" t="s">
        <v>669</v>
      </c>
      <c r="Z7" s="289">
        <v>46096.0</v>
      </c>
      <c r="AA7" s="290" t="s">
        <v>668</v>
      </c>
      <c r="AB7" s="289">
        <v>46240.0</v>
      </c>
      <c r="AC7" s="290" t="s">
        <v>668</v>
      </c>
      <c r="AD7" s="291">
        <v>46155.0</v>
      </c>
      <c r="AE7" s="290" t="s">
        <v>668</v>
      </c>
      <c r="AF7" s="292" t="s">
        <v>166</v>
      </c>
      <c r="AG7" s="292" t="s">
        <v>167</v>
      </c>
      <c r="AH7" s="293"/>
      <c r="AI7" s="293"/>
      <c r="AJ7" s="293"/>
      <c r="AK7" s="293"/>
      <c r="AL7" s="293"/>
      <c r="AM7" s="293"/>
      <c r="AN7" s="293"/>
      <c r="AO7" s="293"/>
      <c r="AP7" s="293"/>
      <c r="AQ7" s="293"/>
      <c r="AR7" s="293"/>
      <c r="AS7" s="293"/>
      <c r="AT7" s="293"/>
      <c r="AU7" s="293"/>
      <c r="AV7" s="293"/>
      <c r="AW7" s="293"/>
      <c r="AX7" s="293"/>
    </row>
    <row r="8">
      <c r="A8" s="16">
        <v>3.0</v>
      </c>
      <c r="B8" s="16" t="s">
        <v>14</v>
      </c>
      <c r="C8" s="194" t="s">
        <v>153</v>
      </c>
      <c r="D8" s="194">
        <v>24.0</v>
      </c>
      <c r="E8" s="287" t="s">
        <v>8</v>
      </c>
      <c r="F8" s="194">
        <v>2016.0</v>
      </c>
      <c r="G8" s="194">
        <v>2017.0</v>
      </c>
      <c r="H8" s="194">
        <v>9.0</v>
      </c>
      <c r="I8" s="288" t="s">
        <v>184</v>
      </c>
      <c r="J8" s="194">
        <v>7684.0</v>
      </c>
      <c r="K8" s="194" t="s">
        <v>159</v>
      </c>
      <c r="L8" s="194" t="s">
        <v>160</v>
      </c>
      <c r="M8" s="194" t="s">
        <v>161</v>
      </c>
      <c r="N8" s="194">
        <v>2016.0</v>
      </c>
      <c r="O8" s="194">
        <v>9.0</v>
      </c>
      <c r="P8" s="194" t="s">
        <v>162</v>
      </c>
      <c r="Q8" s="194" t="s">
        <v>163</v>
      </c>
      <c r="R8" s="287" t="s">
        <v>186</v>
      </c>
      <c r="S8" s="287" t="s">
        <v>187</v>
      </c>
      <c r="T8" s="289">
        <v>46417.0</v>
      </c>
      <c r="U8" s="290" t="s">
        <v>668</v>
      </c>
      <c r="V8" s="289">
        <v>46417.0</v>
      </c>
      <c r="W8" s="290" t="s">
        <v>668</v>
      </c>
      <c r="X8" s="289">
        <v>46096.0</v>
      </c>
      <c r="Y8" s="290" t="s">
        <v>669</v>
      </c>
      <c r="Z8" s="289">
        <v>46096.0</v>
      </c>
      <c r="AA8" s="290" t="s">
        <v>668</v>
      </c>
      <c r="AB8" s="289">
        <v>46409.0</v>
      </c>
      <c r="AC8" s="290" t="s">
        <v>668</v>
      </c>
      <c r="AD8" s="291">
        <v>46089.0</v>
      </c>
      <c r="AE8" s="290" t="s">
        <v>668</v>
      </c>
      <c r="AF8" s="292" t="s">
        <v>166</v>
      </c>
      <c r="AG8" s="292" t="s">
        <v>167</v>
      </c>
      <c r="AH8" s="293"/>
      <c r="AI8" s="293"/>
      <c r="AJ8" s="293"/>
      <c r="AK8" s="293"/>
      <c r="AL8" s="293"/>
      <c r="AM8" s="293"/>
      <c r="AN8" s="293"/>
      <c r="AO8" s="293"/>
      <c r="AP8" s="293"/>
      <c r="AQ8" s="293"/>
      <c r="AR8" s="293"/>
      <c r="AS8" s="293"/>
      <c r="AT8" s="293"/>
      <c r="AU8" s="293"/>
      <c r="AV8" s="293"/>
      <c r="AW8" s="293"/>
      <c r="AX8" s="293"/>
    </row>
    <row r="9">
      <c r="A9" s="16">
        <v>4.0</v>
      </c>
      <c r="B9" s="16" t="s">
        <v>670</v>
      </c>
      <c r="C9" s="194" t="s">
        <v>153</v>
      </c>
      <c r="D9" s="194">
        <v>24.0</v>
      </c>
      <c r="E9" s="287" t="s">
        <v>124</v>
      </c>
      <c r="F9" s="194">
        <v>2016.0</v>
      </c>
      <c r="G9" s="194">
        <v>2017.0</v>
      </c>
      <c r="H9" s="194">
        <v>10.0</v>
      </c>
      <c r="I9" s="288" t="s">
        <v>671</v>
      </c>
      <c r="J9" s="194">
        <v>7698.0</v>
      </c>
      <c r="K9" s="194" t="s">
        <v>159</v>
      </c>
      <c r="L9" s="194" t="s">
        <v>160</v>
      </c>
      <c r="M9" s="194" t="s">
        <v>161</v>
      </c>
      <c r="N9" s="194">
        <v>2016.0</v>
      </c>
      <c r="O9" s="194">
        <v>10.0</v>
      </c>
      <c r="P9" s="194" t="s">
        <v>162</v>
      </c>
      <c r="Q9" s="194" t="s">
        <v>199</v>
      </c>
      <c r="R9" s="287" t="s">
        <v>672</v>
      </c>
      <c r="S9" s="287" t="s">
        <v>673</v>
      </c>
      <c r="T9" s="294">
        <v>46392.0</v>
      </c>
      <c r="U9" s="290" t="s">
        <v>668</v>
      </c>
      <c r="V9" s="294">
        <v>46392.0</v>
      </c>
      <c r="W9" s="290" t="s">
        <v>668</v>
      </c>
      <c r="X9" s="289">
        <v>46181.0</v>
      </c>
      <c r="Y9" s="290" t="s">
        <v>668</v>
      </c>
      <c r="Z9" s="289">
        <v>46188.0</v>
      </c>
      <c r="AA9" s="290" t="s">
        <v>668</v>
      </c>
      <c r="AB9" s="289">
        <v>46186.0</v>
      </c>
      <c r="AC9" s="290" t="s">
        <v>668</v>
      </c>
      <c r="AD9" s="291">
        <v>46186.0</v>
      </c>
      <c r="AE9" s="290" t="s">
        <v>668</v>
      </c>
      <c r="AF9" s="292" t="s">
        <v>166</v>
      </c>
      <c r="AG9" s="292" t="s">
        <v>167</v>
      </c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</row>
    <row r="10">
      <c r="A10" s="16">
        <v>5.0</v>
      </c>
      <c r="B10" s="16" t="s">
        <v>675</v>
      </c>
      <c r="C10" s="194" t="s">
        <v>153</v>
      </c>
      <c r="D10" s="194">
        <v>24.0</v>
      </c>
      <c r="E10" s="287" t="s">
        <v>124</v>
      </c>
      <c r="F10" s="194">
        <v>2016.0</v>
      </c>
      <c r="G10" s="194">
        <v>2017.0</v>
      </c>
      <c r="H10" s="194">
        <v>10.0</v>
      </c>
      <c r="I10" s="288" t="s">
        <v>671</v>
      </c>
      <c r="J10" s="194">
        <v>7698.0</v>
      </c>
      <c r="K10" s="194" t="s">
        <v>159</v>
      </c>
      <c r="L10" s="194" t="s">
        <v>160</v>
      </c>
      <c r="M10" s="194" t="s">
        <v>161</v>
      </c>
      <c r="N10" s="194">
        <v>2016.0</v>
      </c>
      <c r="O10" s="194">
        <v>10.0</v>
      </c>
      <c r="P10" s="194" t="s">
        <v>162</v>
      </c>
      <c r="Q10" s="194" t="s">
        <v>199</v>
      </c>
      <c r="R10" s="287" t="s">
        <v>676</v>
      </c>
      <c r="S10" s="287" t="s">
        <v>677</v>
      </c>
      <c r="T10" s="294">
        <v>46392.0</v>
      </c>
      <c r="U10" s="290" t="s">
        <v>668</v>
      </c>
      <c r="V10" s="294">
        <v>46392.0</v>
      </c>
      <c r="W10" s="290" t="s">
        <v>668</v>
      </c>
      <c r="X10" s="289">
        <v>46181.0</v>
      </c>
      <c r="Y10" s="290" t="s">
        <v>668</v>
      </c>
      <c r="Z10" s="289">
        <v>46188.0</v>
      </c>
      <c r="AA10" s="290" t="s">
        <v>668</v>
      </c>
      <c r="AB10" s="289">
        <v>46405.0</v>
      </c>
      <c r="AC10" s="290" t="s">
        <v>668</v>
      </c>
      <c r="AD10" s="291">
        <v>46184.0</v>
      </c>
      <c r="AE10" s="290" t="s">
        <v>668</v>
      </c>
      <c r="AF10" s="292" t="s">
        <v>166</v>
      </c>
      <c r="AG10" s="292" t="s">
        <v>167</v>
      </c>
      <c r="AH10" s="293"/>
      <c r="AI10" s="293"/>
      <c r="AJ10" s="293"/>
      <c r="AK10" s="293"/>
      <c r="AL10" s="293"/>
      <c r="AM10" s="293"/>
      <c r="AN10" s="293"/>
      <c r="AO10" s="293"/>
      <c r="AP10" s="293"/>
      <c r="AQ10" s="293"/>
      <c r="AR10" s="293"/>
      <c r="AS10" s="293"/>
      <c r="AT10" s="293"/>
      <c r="AU10" s="293"/>
      <c r="AV10" s="293"/>
      <c r="AW10" s="293"/>
      <c r="AX10" s="293"/>
    </row>
    <row r="11">
      <c r="A11" s="16">
        <v>6.0</v>
      </c>
      <c r="B11" s="16" t="s">
        <v>358</v>
      </c>
      <c r="C11" s="194" t="s">
        <v>240</v>
      </c>
      <c r="D11" s="194">
        <v>16.0</v>
      </c>
      <c r="E11" s="287" t="s">
        <v>142</v>
      </c>
      <c r="F11" s="194">
        <v>2016.0</v>
      </c>
      <c r="G11" s="194">
        <v>2017.0</v>
      </c>
      <c r="H11" s="194">
        <v>10.0</v>
      </c>
      <c r="I11" s="288" t="s">
        <v>678</v>
      </c>
      <c r="J11" s="194">
        <v>7790.0</v>
      </c>
      <c r="K11" s="194" t="s">
        <v>159</v>
      </c>
      <c r="L11" s="194" t="s">
        <v>160</v>
      </c>
      <c r="M11" s="194" t="s">
        <v>332</v>
      </c>
      <c r="N11" s="194">
        <v>2016.0</v>
      </c>
      <c r="O11" s="194">
        <v>10.0</v>
      </c>
      <c r="P11" s="194" t="s">
        <v>245</v>
      </c>
      <c r="Q11" s="194" t="s">
        <v>467</v>
      </c>
      <c r="R11" s="194" t="s">
        <v>680</v>
      </c>
      <c r="S11" s="287" t="s">
        <v>681</v>
      </c>
      <c r="T11" s="289">
        <v>46417.0</v>
      </c>
      <c r="U11" s="290" t="s">
        <v>668</v>
      </c>
      <c r="V11" s="289">
        <v>46417.0</v>
      </c>
      <c r="W11" s="290" t="s">
        <v>668</v>
      </c>
      <c r="X11" s="294">
        <v>46062.0</v>
      </c>
      <c r="Y11" s="290" t="s">
        <v>669</v>
      </c>
      <c r="Z11" s="289">
        <v>46062.0</v>
      </c>
      <c r="AA11" s="290" t="s">
        <v>669</v>
      </c>
      <c r="AB11" s="289">
        <v>46065.0</v>
      </c>
      <c r="AC11" s="290" t="s">
        <v>669</v>
      </c>
      <c r="AD11" s="291">
        <v>46077.0</v>
      </c>
      <c r="AE11" s="290" t="s">
        <v>668</v>
      </c>
      <c r="AF11" s="292" t="s">
        <v>166</v>
      </c>
      <c r="AG11" s="292" t="s">
        <v>167</v>
      </c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</row>
    <row r="12">
      <c r="A12" s="16">
        <v>7.0</v>
      </c>
      <c r="B12" s="16" t="s">
        <v>359</v>
      </c>
      <c r="C12" s="194" t="s">
        <v>240</v>
      </c>
      <c r="D12" s="194">
        <v>16.0</v>
      </c>
      <c r="E12" s="287" t="s">
        <v>142</v>
      </c>
      <c r="F12" s="194">
        <v>2016.0</v>
      </c>
      <c r="G12" s="194">
        <v>2017.0</v>
      </c>
      <c r="H12" s="194">
        <v>10.0</v>
      </c>
      <c r="I12" s="288" t="s">
        <v>678</v>
      </c>
      <c r="J12" s="194">
        <v>7790.0</v>
      </c>
      <c r="K12" s="194" t="s">
        <v>159</v>
      </c>
      <c r="L12" s="194" t="s">
        <v>160</v>
      </c>
      <c r="M12" s="194" t="s">
        <v>332</v>
      </c>
      <c r="N12" s="194">
        <v>2016.0</v>
      </c>
      <c r="O12" s="194">
        <v>10.0</v>
      </c>
      <c r="P12" s="194" t="s">
        <v>245</v>
      </c>
      <c r="Q12" s="194" t="s">
        <v>467</v>
      </c>
      <c r="R12" s="194" t="s">
        <v>682</v>
      </c>
      <c r="S12" s="287" t="s">
        <v>681</v>
      </c>
      <c r="T12" s="289">
        <v>46417.0</v>
      </c>
      <c r="U12" s="290" t="s">
        <v>668</v>
      </c>
      <c r="V12" s="289">
        <v>46417.0</v>
      </c>
      <c r="W12" s="290" t="s">
        <v>668</v>
      </c>
      <c r="X12" s="294">
        <v>46062.0</v>
      </c>
      <c r="Y12" s="290" t="s">
        <v>669</v>
      </c>
      <c r="Z12" s="289">
        <v>46062.0</v>
      </c>
      <c r="AA12" s="290" t="s">
        <v>669</v>
      </c>
      <c r="AB12" s="289">
        <v>46438.0</v>
      </c>
      <c r="AC12" s="290" t="s">
        <v>668</v>
      </c>
      <c r="AD12" s="291">
        <v>46155.0</v>
      </c>
      <c r="AE12" s="290" t="s">
        <v>668</v>
      </c>
      <c r="AF12" s="292" t="s">
        <v>166</v>
      </c>
      <c r="AG12" s="292" t="s">
        <v>167</v>
      </c>
      <c r="AH12" s="293"/>
      <c r="AI12" s="293"/>
      <c r="AJ12" s="293"/>
      <c r="AK12" s="293"/>
      <c r="AL12" s="293"/>
      <c r="AM12" s="293"/>
      <c r="AN12" s="293"/>
      <c r="AO12" s="293"/>
      <c r="AP12" s="293"/>
      <c r="AQ12" s="293"/>
      <c r="AR12" s="293"/>
      <c r="AS12" s="293"/>
      <c r="AT12" s="293"/>
      <c r="AU12" s="293"/>
      <c r="AV12" s="293"/>
      <c r="AW12" s="293"/>
      <c r="AX12" s="293"/>
    </row>
  </sheetData>
  <mergeCells count="2">
    <mergeCell ref="A1:AG3"/>
    <mergeCell ref="A4:S4"/>
  </mergeCells>
  <conditionalFormatting sqref="AA5:AE5">
    <cfRule type="timePeriod" dxfId="3" priority="1" timePeriod="last7Days"/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8.0"/>
    <col customWidth="1" min="3" max="3" width="9.38"/>
    <col customWidth="1" min="4" max="4" width="4.38"/>
    <col customWidth="1" min="5" max="34" width="3.63"/>
  </cols>
  <sheetData>
    <row r="1">
      <c r="A1" s="295" t="s">
        <v>674</v>
      </c>
    </row>
    <row r="2">
      <c r="A2" s="295" t="s">
        <v>679</v>
      </c>
    </row>
    <row r="3">
      <c r="A3" s="295" t="s">
        <v>179</v>
      </c>
    </row>
    <row r="4">
      <c r="A4" s="6"/>
    </row>
    <row r="5">
      <c r="A5" s="296" t="s">
        <v>2</v>
      </c>
      <c r="B5" s="296" t="s">
        <v>683</v>
      </c>
      <c r="C5" s="296" t="s">
        <v>684</v>
      </c>
      <c r="D5" s="296" t="s">
        <v>5</v>
      </c>
      <c r="E5" s="297" t="s">
        <v>192</v>
      </c>
      <c r="F5" s="297" t="s">
        <v>193</v>
      </c>
      <c r="G5" s="298" t="s">
        <v>194</v>
      </c>
      <c r="H5" s="297" t="s">
        <v>188</v>
      </c>
      <c r="I5" s="298" t="s">
        <v>189</v>
      </c>
      <c r="J5" s="297" t="s">
        <v>190</v>
      </c>
      <c r="K5" s="297" t="s">
        <v>191</v>
      </c>
      <c r="L5" s="297" t="s">
        <v>192</v>
      </c>
      <c r="M5" s="297" t="s">
        <v>193</v>
      </c>
      <c r="N5" s="298" t="s">
        <v>194</v>
      </c>
      <c r="O5" s="297" t="s">
        <v>188</v>
      </c>
      <c r="P5" s="298" t="s">
        <v>189</v>
      </c>
      <c r="Q5" s="297" t="s">
        <v>190</v>
      </c>
      <c r="R5" s="297" t="s">
        <v>191</v>
      </c>
      <c r="S5" s="297" t="s">
        <v>192</v>
      </c>
      <c r="T5" s="297" t="s">
        <v>193</v>
      </c>
      <c r="U5" s="298" t="s">
        <v>194</v>
      </c>
      <c r="V5" s="297" t="s">
        <v>188</v>
      </c>
      <c r="W5" s="298" t="s">
        <v>189</v>
      </c>
      <c r="X5" s="297" t="s">
        <v>190</v>
      </c>
      <c r="Y5" s="297" t="s">
        <v>191</v>
      </c>
      <c r="Z5" s="297" t="s">
        <v>192</v>
      </c>
      <c r="AA5" s="297" t="s">
        <v>193</v>
      </c>
      <c r="AB5" s="298" t="s">
        <v>194</v>
      </c>
      <c r="AC5" s="297" t="s">
        <v>188</v>
      </c>
      <c r="AD5" s="298" t="s">
        <v>189</v>
      </c>
      <c r="AE5" s="297" t="s">
        <v>190</v>
      </c>
      <c r="AF5" s="297" t="s">
        <v>191</v>
      </c>
      <c r="AG5" s="297" t="s">
        <v>192</v>
      </c>
      <c r="AH5" s="297" t="s">
        <v>193</v>
      </c>
    </row>
    <row r="6">
      <c r="A6" s="48"/>
      <c r="B6" s="48"/>
      <c r="C6" s="48"/>
      <c r="D6" s="48"/>
      <c r="E6" s="297">
        <v>1.0</v>
      </c>
      <c r="F6" s="297">
        <v>2.0</v>
      </c>
      <c r="G6" s="298">
        <v>3.0</v>
      </c>
      <c r="H6" s="297">
        <v>4.0</v>
      </c>
      <c r="I6" s="298">
        <v>5.0</v>
      </c>
      <c r="J6" s="297">
        <v>6.0</v>
      </c>
      <c r="K6" s="297">
        <v>7.0</v>
      </c>
      <c r="L6" s="297">
        <v>8.0</v>
      </c>
      <c r="M6" s="297">
        <v>9.0</v>
      </c>
      <c r="N6" s="298">
        <v>10.0</v>
      </c>
      <c r="O6" s="297">
        <v>11.0</v>
      </c>
      <c r="P6" s="298">
        <v>12.0</v>
      </c>
      <c r="Q6" s="297">
        <v>13.0</v>
      </c>
      <c r="R6" s="297">
        <v>14.0</v>
      </c>
      <c r="S6" s="297">
        <v>15.0</v>
      </c>
      <c r="T6" s="297">
        <v>16.0</v>
      </c>
      <c r="U6" s="298">
        <v>17.0</v>
      </c>
      <c r="V6" s="297">
        <v>18.0</v>
      </c>
      <c r="W6" s="298">
        <v>19.0</v>
      </c>
      <c r="X6" s="297">
        <v>20.0</v>
      </c>
      <c r="Y6" s="297">
        <v>21.0</v>
      </c>
      <c r="Z6" s="297">
        <v>22.0</v>
      </c>
      <c r="AA6" s="297">
        <v>23.0</v>
      </c>
      <c r="AB6" s="298">
        <v>24.0</v>
      </c>
      <c r="AC6" s="297">
        <v>25.0</v>
      </c>
      <c r="AD6" s="298">
        <v>26.0</v>
      </c>
      <c r="AE6" s="297">
        <v>27.0</v>
      </c>
      <c r="AF6" s="297">
        <v>28.0</v>
      </c>
      <c r="AG6" s="297">
        <v>29.0</v>
      </c>
      <c r="AH6" s="297">
        <v>30.0</v>
      </c>
    </row>
    <row r="7">
      <c r="A7" s="296">
        <v>1.0</v>
      </c>
      <c r="B7" s="298" t="s">
        <v>685</v>
      </c>
      <c r="C7" s="299" t="s">
        <v>26</v>
      </c>
      <c r="D7" s="296">
        <v>16.0</v>
      </c>
      <c r="E7" s="300"/>
      <c r="F7" s="300"/>
      <c r="G7" s="298" t="s">
        <v>686</v>
      </c>
      <c r="H7" s="300"/>
      <c r="I7" s="13"/>
      <c r="J7" s="300"/>
      <c r="K7" s="300"/>
      <c r="L7" s="300"/>
      <c r="M7" s="300"/>
      <c r="N7" s="13"/>
      <c r="O7" s="300"/>
      <c r="P7" s="13"/>
      <c r="Q7" s="300"/>
      <c r="R7" s="300"/>
      <c r="S7" s="300"/>
      <c r="T7" s="300"/>
      <c r="U7" s="13"/>
      <c r="V7" s="300"/>
      <c r="W7" s="13"/>
      <c r="X7" s="300"/>
      <c r="Y7" s="300"/>
      <c r="Z7" s="300"/>
      <c r="AA7" s="300"/>
      <c r="AB7" s="13"/>
      <c r="AC7" s="300"/>
      <c r="AD7" s="13"/>
      <c r="AE7" s="300"/>
      <c r="AF7" s="300"/>
      <c r="AG7" s="300"/>
      <c r="AH7" s="300"/>
    </row>
    <row r="8">
      <c r="A8" s="48"/>
      <c r="B8" s="298" t="s">
        <v>687</v>
      </c>
      <c r="C8" s="48"/>
      <c r="D8" s="48"/>
      <c r="E8" s="300"/>
      <c r="F8" s="300"/>
      <c r="G8" s="13"/>
      <c r="H8" s="300"/>
      <c r="I8" s="13"/>
      <c r="J8" s="300"/>
      <c r="K8" s="300"/>
      <c r="L8" s="300"/>
      <c r="M8" s="300"/>
      <c r="N8" s="13"/>
      <c r="O8" s="300"/>
      <c r="P8" s="13"/>
      <c r="Q8" s="300"/>
      <c r="R8" s="300"/>
      <c r="S8" s="300"/>
      <c r="T8" s="300"/>
      <c r="U8" s="13"/>
      <c r="V8" s="300"/>
      <c r="W8" s="13"/>
      <c r="X8" s="300"/>
      <c r="Y8" s="300"/>
      <c r="Z8" s="300"/>
      <c r="AA8" s="300"/>
      <c r="AB8" s="13"/>
      <c r="AC8" s="300"/>
      <c r="AD8" s="13"/>
      <c r="AE8" s="300"/>
      <c r="AF8" s="300"/>
      <c r="AG8" s="300"/>
      <c r="AH8" s="300"/>
    </row>
    <row r="9">
      <c r="A9" s="296">
        <v>2.0</v>
      </c>
      <c r="B9" s="298" t="s">
        <v>685</v>
      </c>
      <c r="C9" s="299" t="s">
        <v>28</v>
      </c>
      <c r="D9" s="296">
        <v>16.0</v>
      </c>
      <c r="E9" s="300"/>
      <c r="F9" s="300"/>
      <c r="G9" s="298" t="s">
        <v>686</v>
      </c>
      <c r="H9" s="300"/>
      <c r="I9" s="13"/>
      <c r="J9" s="300"/>
      <c r="K9" s="300"/>
      <c r="L9" s="300"/>
      <c r="M9" s="300"/>
      <c r="N9" s="13"/>
      <c r="O9" s="300"/>
      <c r="P9" s="13"/>
      <c r="Q9" s="300"/>
      <c r="R9" s="300"/>
      <c r="S9" s="300"/>
      <c r="T9" s="300"/>
      <c r="U9" s="13"/>
      <c r="V9" s="300"/>
      <c r="W9" s="13"/>
      <c r="X9" s="300"/>
      <c r="Y9" s="300"/>
      <c r="Z9" s="300"/>
      <c r="AA9" s="300"/>
      <c r="AB9" s="13"/>
      <c r="AC9" s="300"/>
      <c r="AD9" s="13"/>
      <c r="AE9" s="300"/>
      <c r="AF9" s="300"/>
      <c r="AG9" s="300"/>
      <c r="AH9" s="300"/>
    </row>
    <row r="10">
      <c r="A10" s="48"/>
      <c r="B10" s="298" t="s">
        <v>687</v>
      </c>
      <c r="C10" s="48"/>
      <c r="D10" s="48"/>
      <c r="E10" s="300"/>
      <c r="F10" s="300"/>
      <c r="G10" s="13"/>
      <c r="H10" s="300"/>
      <c r="I10" s="13"/>
      <c r="J10" s="300"/>
      <c r="K10" s="300"/>
      <c r="L10" s="300"/>
      <c r="M10" s="300"/>
      <c r="N10" s="13"/>
      <c r="O10" s="300"/>
      <c r="P10" s="13"/>
      <c r="Q10" s="300"/>
      <c r="R10" s="300"/>
      <c r="S10" s="300"/>
      <c r="T10" s="300"/>
      <c r="U10" s="13"/>
      <c r="V10" s="300"/>
      <c r="W10" s="13"/>
      <c r="X10" s="300"/>
      <c r="Y10" s="300"/>
      <c r="Z10" s="300"/>
      <c r="AA10" s="300"/>
      <c r="AB10" s="13"/>
      <c r="AC10" s="300"/>
      <c r="AD10" s="13"/>
      <c r="AE10" s="300"/>
      <c r="AF10" s="300"/>
      <c r="AG10" s="300"/>
      <c r="AH10" s="300"/>
    </row>
    <row r="11">
      <c r="A11" s="296">
        <v>3.0</v>
      </c>
      <c r="B11" s="298" t="s">
        <v>685</v>
      </c>
      <c r="C11" s="299" t="s">
        <v>115</v>
      </c>
      <c r="D11" s="296">
        <v>16.0</v>
      </c>
      <c r="E11" s="300"/>
      <c r="F11" s="300"/>
      <c r="G11" s="298" t="s">
        <v>686</v>
      </c>
      <c r="H11" s="300"/>
      <c r="I11" s="13"/>
      <c r="J11" s="300"/>
      <c r="K11" s="300"/>
      <c r="L11" s="300"/>
      <c r="M11" s="300"/>
      <c r="N11" s="13"/>
      <c r="O11" s="300"/>
      <c r="P11" s="13"/>
      <c r="Q11" s="300"/>
      <c r="R11" s="300"/>
      <c r="S11" s="300"/>
      <c r="T11" s="300"/>
      <c r="U11" s="13"/>
      <c r="V11" s="300"/>
      <c r="W11" s="13"/>
      <c r="X11" s="300"/>
      <c r="Y11" s="300"/>
      <c r="Z11" s="300"/>
      <c r="AA11" s="300"/>
      <c r="AB11" s="13"/>
      <c r="AC11" s="300"/>
      <c r="AD11" s="13"/>
      <c r="AE11" s="300"/>
      <c r="AF11" s="300"/>
      <c r="AG11" s="300"/>
      <c r="AH11" s="300"/>
    </row>
    <row r="12">
      <c r="A12" s="48"/>
      <c r="B12" s="298" t="s">
        <v>687</v>
      </c>
      <c r="C12" s="48"/>
      <c r="D12" s="48"/>
      <c r="E12" s="300"/>
      <c r="F12" s="300"/>
      <c r="G12" s="13"/>
      <c r="H12" s="300"/>
      <c r="I12" s="13"/>
      <c r="J12" s="300"/>
      <c r="K12" s="300"/>
      <c r="L12" s="300"/>
      <c r="M12" s="300"/>
      <c r="N12" s="13"/>
      <c r="O12" s="300"/>
      <c r="P12" s="13"/>
      <c r="Q12" s="300"/>
      <c r="R12" s="300"/>
      <c r="S12" s="300"/>
      <c r="T12" s="300"/>
      <c r="U12" s="13"/>
      <c r="V12" s="300"/>
      <c r="W12" s="13"/>
      <c r="X12" s="300"/>
      <c r="Y12" s="300"/>
      <c r="Z12" s="300"/>
      <c r="AA12" s="300"/>
      <c r="AB12" s="13"/>
      <c r="AC12" s="300"/>
      <c r="AD12" s="13"/>
      <c r="AE12" s="300"/>
      <c r="AF12" s="300"/>
      <c r="AG12" s="300"/>
      <c r="AH12" s="300"/>
    </row>
    <row r="13">
      <c r="A13" s="296">
        <v>4.0</v>
      </c>
      <c r="B13" s="298" t="s">
        <v>685</v>
      </c>
      <c r="C13" s="299" t="s">
        <v>92</v>
      </c>
      <c r="D13" s="296">
        <v>16.0</v>
      </c>
      <c r="E13" s="300"/>
      <c r="F13" s="300"/>
      <c r="G13" s="298" t="s">
        <v>686</v>
      </c>
      <c r="H13" s="300"/>
      <c r="I13" s="13"/>
      <c r="J13" s="300"/>
      <c r="K13" s="300"/>
      <c r="L13" s="300"/>
      <c r="M13" s="300"/>
      <c r="N13" s="13"/>
      <c r="O13" s="300"/>
      <c r="P13" s="13"/>
      <c r="Q13" s="300"/>
      <c r="R13" s="300"/>
      <c r="S13" s="300"/>
      <c r="T13" s="300"/>
      <c r="U13" s="13"/>
      <c r="V13" s="300"/>
      <c r="W13" s="13"/>
      <c r="X13" s="300"/>
      <c r="Y13" s="300"/>
      <c r="Z13" s="300"/>
      <c r="AA13" s="300"/>
      <c r="AB13" s="13"/>
      <c r="AC13" s="300"/>
      <c r="AD13" s="13"/>
      <c r="AE13" s="300"/>
      <c r="AF13" s="300"/>
      <c r="AG13" s="300"/>
      <c r="AH13" s="300"/>
    </row>
    <row r="14">
      <c r="A14" s="48"/>
      <c r="B14" s="298" t="s">
        <v>687</v>
      </c>
      <c r="C14" s="48"/>
      <c r="D14" s="48"/>
      <c r="E14" s="300"/>
      <c r="F14" s="300"/>
      <c r="G14" s="13"/>
      <c r="H14" s="300"/>
      <c r="I14" s="13"/>
      <c r="J14" s="300"/>
      <c r="K14" s="300"/>
      <c r="L14" s="300"/>
      <c r="M14" s="300"/>
      <c r="N14" s="13"/>
      <c r="O14" s="300"/>
      <c r="P14" s="13"/>
      <c r="Q14" s="300"/>
      <c r="R14" s="300"/>
      <c r="S14" s="300"/>
      <c r="T14" s="300"/>
      <c r="U14" s="13"/>
      <c r="V14" s="300"/>
      <c r="W14" s="13"/>
      <c r="X14" s="300"/>
      <c r="Y14" s="300"/>
      <c r="Z14" s="300"/>
      <c r="AA14" s="300"/>
      <c r="AB14" s="13"/>
      <c r="AC14" s="300"/>
      <c r="AD14" s="13"/>
      <c r="AE14" s="300"/>
      <c r="AF14" s="300"/>
      <c r="AG14" s="300"/>
      <c r="AH14" s="300"/>
    </row>
    <row r="15">
      <c r="A15" s="296">
        <v>5.0</v>
      </c>
      <c r="B15" s="298" t="s">
        <v>685</v>
      </c>
      <c r="C15" s="299" t="s">
        <v>120</v>
      </c>
      <c r="D15" s="296">
        <v>8.0</v>
      </c>
      <c r="E15" s="300"/>
      <c r="F15" s="300"/>
      <c r="G15" s="13"/>
      <c r="H15" s="300"/>
      <c r="I15" s="298" t="s">
        <v>686</v>
      </c>
      <c r="J15" s="300"/>
      <c r="K15" s="300"/>
      <c r="L15" s="300"/>
      <c r="M15" s="300"/>
      <c r="N15" s="13"/>
      <c r="O15" s="300"/>
      <c r="P15" s="13"/>
      <c r="Q15" s="300"/>
      <c r="R15" s="300"/>
      <c r="S15" s="300"/>
      <c r="T15" s="300"/>
      <c r="U15" s="13"/>
      <c r="V15" s="300"/>
      <c r="W15" s="13"/>
      <c r="X15" s="300"/>
      <c r="Y15" s="300"/>
      <c r="Z15" s="300"/>
      <c r="AA15" s="300"/>
      <c r="AB15" s="13"/>
      <c r="AC15" s="300"/>
      <c r="AD15" s="13"/>
      <c r="AE15" s="300"/>
      <c r="AF15" s="300"/>
      <c r="AG15" s="300"/>
      <c r="AH15" s="300"/>
    </row>
    <row r="16">
      <c r="A16" s="48"/>
      <c r="B16" s="298" t="s">
        <v>687</v>
      </c>
      <c r="C16" s="48"/>
      <c r="D16" s="48"/>
      <c r="E16" s="300"/>
      <c r="F16" s="300"/>
      <c r="G16" s="13"/>
      <c r="H16" s="300"/>
      <c r="I16" s="13"/>
      <c r="J16" s="300"/>
      <c r="K16" s="300"/>
      <c r="L16" s="300"/>
      <c r="M16" s="300"/>
      <c r="N16" s="13"/>
      <c r="O16" s="300"/>
      <c r="P16" s="13"/>
      <c r="Q16" s="300"/>
      <c r="R16" s="300"/>
      <c r="S16" s="300"/>
      <c r="T16" s="300"/>
      <c r="U16" s="13"/>
      <c r="V16" s="300"/>
      <c r="W16" s="13"/>
      <c r="X16" s="300"/>
      <c r="Y16" s="300"/>
      <c r="Z16" s="300"/>
      <c r="AA16" s="300"/>
      <c r="AB16" s="13"/>
      <c r="AC16" s="300"/>
      <c r="AD16" s="13"/>
      <c r="AE16" s="300"/>
      <c r="AF16" s="300"/>
      <c r="AG16" s="300"/>
      <c r="AH16" s="300"/>
    </row>
    <row r="17">
      <c r="A17" s="296">
        <v>6.0</v>
      </c>
      <c r="B17" s="298" t="s">
        <v>685</v>
      </c>
      <c r="C17" s="299" t="s">
        <v>122</v>
      </c>
      <c r="D17" s="296">
        <v>16.0</v>
      </c>
      <c r="E17" s="300"/>
      <c r="F17" s="300"/>
      <c r="G17" s="13"/>
      <c r="H17" s="300"/>
      <c r="I17" s="298" t="s">
        <v>686</v>
      </c>
      <c r="J17" s="300"/>
      <c r="K17" s="300"/>
      <c r="L17" s="300"/>
      <c r="M17" s="300"/>
      <c r="N17" s="13"/>
      <c r="O17" s="300"/>
      <c r="P17" s="13"/>
      <c r="Q17" s="300"/>
      <c r="R17" s="300"/>
      <c r="S17" s="300"/>
      <c r="T17" s="300"/>
      <c r="U17" s="13"/>
      <c r="V17" s="300"/>
      <c r="W17" s="13"/>
      <c r="X17" s="300"/>
      <c r="Y17" s="300"/>
      <c r="Z17" s="300"/>
      <c r="AA17" s="300"/>
      <c r="AB17" s="13"/>
      <c r="AC17" s="300"/>
      <c r="AD17" s="13"/>
      <c r="AE17" s="300"/>
      <c r="AF17" s="300"/>
      <c r="AG17" s="300"/>
      <c r="AH17" s="300"/>
    </row>
    <row r="18">
      <c r="A18" s="48"/>
      <c r="B18" s="298" t="s">
        <v>687</v>
      </c>
      <c r="C18" s="48"/>
      <c r="D18" s="48"/>
      <c r="E18" s="300"/>
      <c r="F18" s="300"/>
      <c r="G18" s="13"/>
      <c r="H18" s="300"/>
      <c r="I18" s="13"/>
      <c r="J18" s="300"/>
      <c r="K18" s="300"/>
      <c r="L18" s="300"/>
      <c r="M18" s="300"/>
      <c r="N18" s="13"/>
      <c r="O18" s="300"/>
      <c r="P18" s="13"/>
      <c r="Q18" s="300"/>
      <c r="R18" s="300"/>
      <c r="S18" s="300"/>
      <c r="T18" s="300"/>
      <c r="U18" s="13"/>
      <c r="V18" s="300"/>
      <c r="W18" s="13"/>
      <c r="X18" s="300"/>
      <c r="Y18" s="300"/>
      <c r="Z18" s="300"/>
      <c r="AA18" s="300"/>
      <c r="AB18" s="13"/>
      <c r="AC18" s="300"/>
      <c r="AD18" s="13"/>
      <c r="AE18" s="300"/>
      <c r="AF18" s="300"/>
      <c r="AG18" s="300"/>
      <c r="AH18" s="300"/>
    </row>
    <row r="19">
      <c r="A19" s="296">
        <v>7.0</v>
      </c>
      <c r="B19" s="298" t="s">
        <v>685</v>
      </c>
      <c r="C19" s="299" t="s">
        <v>145</v>
      </c>
      <c r="D19" s="296">
        <v>24.0</v>
      </c>
      <c r="E19" s="300"/>
      <c r="F19" s="300"/>
      <c r="G19" s="13"/>
      <c r="H19" s="300"/>
      <c r="I19" s="298" t="s">
        <v>686</v>
      </c>
      <c r="J19" s="300"/>
      <c r="K19" s="300"/>
      <c r="L19" s="300"/>
      <c r="M19" s="300"/>
      <c r="N19" s="13"/>
      <c r="O19" s="300"/>
      <c r="P19" s="13"/>
      <c r="Q19" s="300"/>
      <c r="R19" s="300"/>
      <c r="S19" s="300"/>
      <c r="T19" s="300"/>
      <c r="U19" s="13"/>
      <c r="V19" s="300"/>
      <c r="W19" s="13"/>
      <c r="X19" s="300"/>
      <c r="Y19" s="300"/>
      <c r="Z19" s="300"/>
      <c r="AA19" s="300"/>
      <c r="AB19" s="13"/>
      <c r="AC19" s="300"/>
      <c r="AD19" s="13"/>
      <c r="AE19" s="300"/>
      <c r="AF19" s="300"/>
      <c r="AG19" s="300"/>
      <c r="AH19" s="300"/>
    </row>
    <row r="20">
      <c r="A20" s="48"/>
      <c r="B20" s="298" t="s">
        <v>687</v>
      </c>
      <c r="C20" s="48"/>
      <c r="D20" s="48"/>
      <c r="E20" s="300"/>
      <c r="F20" s="300"/>
      <c r="G20" s="13"/>
      <c r="H20" s="300"/>
      <c r="I20" s="13"/>
      <c r="J20" s="300"/>
      <c r="K20" s="300"/>
      <c r="L20" s="300"/>
      <c r="M20" s="300"/>
      <c r="N20" s="13"/>
      <c r="O20" s="300"/>
      <c r="P20" s="13"/>
      <c r="Q20" s="300"/>
      <c r="R20" s="300"/>
      <c r="S20" s="300"/>
      <c r="T20" s="300"/>
      <c r="U20" s="13"/>
      <c r="V20" s="300"/>
      <c r="W20" s="13"/>
      <c r="X20" s="300"/>
      <c r="Y20" s="300"/>
      <c r="Z20" s="300"/>
      <c r="AA20" s="300"/>
      <c r="AB20" s="13"/>
      <c r="AC20" s="300"/>
      <c r="AD20" s="13"/>
      <c r="AE20" s="300"/>
      <c r="AF20" s="300"/>
      <c r="AG20" s="300"/>
      <c r="AH20" s="300"/>
    </row>
    <row r="21">
      <c r="A21" s="296">
        <v>8.0</v>
      </c>
      <c r="B21" s="298" t="s">
        <v>685</v>
      </c>
      <c r="C21" s="299" t="s">
        <v>147</v>
      </c>
      <c r="D21" s="296">
        <v>16.0</v>
      </c>
      <c r="E21" s="300"/>
      <c r="F21" s="300"/>
      <c r="G21" s="13"/>
      <c r="H21" s="300"/>
      <c r="I21" s="13"/>
      <c r="J21" s="300"/>
      <c r="K21" s="300"/>
      <c r="L21" s="300"/>
      <c r="M21" s="300"/>
      <c r="N21" s="298" t="s">
        <v>686</v>
      </c>
      <c r="O21" s="300"/>
      <c r="P21" s="13"/>
      <c r="Q21" s="300"/>
      <c r="R21" s="300"/>
      <c r="S21" s="300"/>
      <c r="T21" s="300"/>
      <c r="U21" s="13"/>
      <c r="V21" s="300"/>
      <c r="W21" s="13"/>
      <c r="X21" s="300"/>
      <c r="Y21" s="300"/>
      <c r="Z21" s="300"/>
      <c r="AA21" s="300"/>
      <c r="AB21" s="13"/>
      <c r="AC21" s="300"/>
      <c r="AD21" s="13"/>
      <c r="AE21" s="300"/>
      <c r="AF21" s="300"/>
      <c r="AG21" s="300"/>
      <c r="AH21" s="300"/>
    </row>
    <row r="22">
      <c r="A22" s="48"/>
      <c r="B22" s="298" t="s">
        <v>687</v>
      </c>
      <c r="C22" s="48"/>
      <c r="D22" s="48"/>
      <c r="E22" s="300"/>
      <c r="F22" s="300"/>
      <c r="G22" s="13"/>
      <c r="H22" s="300"/>
      <c r="I22" s="13"/>
      <c r="J22" s="300"/>
      <c r="K22" s="300"/>
      <c r="L22" s="300"/>
      <c r="M22" s="300"/>
      <c r="N22" s="13"/>
      <c r="O22" s="300"/>
      <c r="P22" s="13"/>
      <c r="Q22" s="300"/>
      <c r="R22" s="300"/>
      <c r="S22" s="300"/>
      <c r="T22" s="300"/>
      <c r="U22" s="13"/>
      <c r="V22" s="300"/>
      <c r="W22" s="13"/>
      <c r="X22" s="300"/>
      <c r="Y22" s="300"/>
      <c r="Z22" s="300"/>
      <c r="AA22" s="300"/>
      <c r="AB22" s="13"/>
      <c r="AC22" s="300"/>
      <c r="AD22" s="13"/>
      <c r="AE22" s="300"/>
      <c r="AF22" s="300"/>
      <c r="AG22" s="300"/>
      <c r="AH22" s="300"/>
    </row>
    <row r="23">
      <c r="A23" s="296">
        <v>9.0</v>
      </c>
      <c r="B23" s="298" t="s">
        <v>685</v>
      </c>
      <c r="C23" s="301" t="s">
        <v>150</v>
      </c>
      <c r="D23" s="296">
        <v>16.0</v>
      </c>
      <c r="E23" s="300"/>
      <c r="F23" s="300"/>
      <c r="G23" s="13"/>
      <c r="H23" s="300"/>
      <c r="I23" s="13"/>
      <c r="J23" s="300"/>
      <c r="K23" s="300"/>
      <c r="L23" s="300"/>
      <c r="M23" s="300"/>
      <c r="N23" s="298" t="s">
        <v>686</v>
      </c>
      <c r="O23" s="300"/>
      <c r="P23" s="13"/>
      <c r="Q23" s="300"/>
      <c r="R23" s="300"/>
      <c r="S23" s="300"/>
      <c r="T23" s="300"/>
      <c r="U23" s="13"/>
      <c r="V23" s="300"/>
      <c r="W23" s="13"/>
      <c r="X23" s="300"/>
      <c r="Y23" s="300"/>
      <c r="Z23" s="300"/>
      <c r="AA23" s="300"/>
      <c r="AB23" s="13"/>
      <c r="AC23" s="300"/>
      <c r="AD23" s="13"/>
      <c r="AE23" s="300"/>
      <c r="AF23" s="300"/>
      <c r="AG23" s="300"/>
      <c r="AH23" s="300"/>
    </row>
    <row r="24">
      <c r="A24" s="48"/>
      <c r="B24" s="298" t="s">
        <v>687</v>
      </c>
      <c r="C24" s="48"/>
      <c r="D24" s="48"/>
      <c r="E24" s="300"/>
      <c r="F24" s="300"/>
      <c r="G24" s="13"/>
      <c r="H24" s="300"/>
      <c r="I24" s="13"/>
      <c r="J24" s="300"/>
      <c r="K24" s="300"/>
      <c r="L24" s="300"/>
      <c r="M24" s="300"/>
      <c r="N24" s="13"/>
      <c r="O24" s="300"/>
      <c r="P24" s="13"/>
      <c r="Q24" s="300"/>
      <c r="R24" s="300"/>
      <c r="S24" s="300"/>
      <c r="T24" s="300"/>
      <c r="U24" s="13"/>
      <c r="V24" s="300"/>
      <c r="W24" s="13"/>
      <c r="X24" s="300"/>
      <c r="Y24" s="300"/>
      <c r="Z24" s="300"/>
      <c r="AA24" s="300"/>
      <c r="AB24" s="13"/>
      <c r="AC24" s="300"/>
      <c r="AD24" s="13"/>
      <c r="AE24" s="300"/>
      <c r="AF24" s="300"/>
      <c r="AG24" s="300"/>
      <c r="AH24" s="300"/>
    </row>
    <row r="25">
      <c r="A25" s="296">
        <v>10.0</v>
      </c>
      <c r="B25" s="298" t="s">
        <v>685</v>
      </c>
      <c r="C25" s="301" t="s">
        <v>152</v>
      </c>
      <c r="D25" s="296">
        <v>16.0</v>
      </c>
      <c r="E25" s="300"/>
      <c r="F25" s="300"/>
      <c r="G25" s="13"/>
      <c r="H25" s="300"/>
      <c r="I25" s="13"/>
      <c r="J25" s="300"/>
      <c r="K25" s="300"/>
      <c r="L25" s="300"/>
      <c r="M25" s="300"/>
      <c r="N25" s="298" t="s">
        <v>686</v>
      </c>
      <c r="O25" s="300"/>
      <c r="P25" s="13"/>
      <c r="Q25" s="300"/>
      <c r="R25" s="300"/>
      <c r="S25" s="300"/>
      <c r="T25" s="300"/>
      <c r="U25" s="13"/>
      <c r="V25" s="300"/>
      <c r="W25" s="13"/>
      <c r="X25" s="300"/>
      <c r="Y25" s="300"/>
      <c r="Z25" s="300"/>
      <c r="AA25" s="300"/>
      <c r="AB25" s="13"/>
      <c r="AC25" s="300"/>
      <c r="AD25" s="13"/>
      <c r="AE25" s="300"/>
      <c r="AF25" s="300"/>
      <c r="AG25" s="300"/>
      <c r="AH25" s="300"/>
    </row>
    <row r="26">
      <c r="A26" s="48"/>
      <c r="B26" s="298" t="s">
        <v>687</v>
      </c>
      <c r="C26" s="48"/>
      <c r="D26" s="48"/>
      <c r="E26" s="300"/>
      <c r="F26" s="300"/>
      <c r="G26" s="13"/>
      <c r="H26" s="300"/>
      <c r="I26" s="13"/>
      <c r="J26" s="300"/>
      <c r="K26" s="300"/>
      <c r="L26" s="300"/>
      <c r="M26" s="300"/>
      <c r="N26" s="13"/>
      <c r="O26" s="300"/>
      <c r="P26" s="13"/>
      <c r="Q26" s="300"/>
      <c r="R26" s="300"/>
      <c r="S26" s="300"/>
      <c r="T26" s="300"/>
      <c r="U26" s="13"/>
      <c r="V26" s="300"/>
      <c r="W26" s="13"/>
      <c r="X26" s="300"/>
      <c r="Y26" s="300"/>
      <c r="Z26" s="300"/>
      <c r="AA26" s="300"/>
      <c r="AB26" s="13"/>
      <c r="AC26" s="300"/>
      <c r="AD26" s="13"/>
      <c r="AE26" s="300"/>
      <c r="AF26" s="300"/>
      <c r="AG26" s="300"/>
      <c r="AH26" s="300"/>
    </row>
    <row r="27">
      <c r="A27" s="296">
        <v>11.0</v>
      </c>
      <c r="B27" s="298" t="s">
        <v>685</v>
      </c>
      <c r="C27" s="301" t="s">
        <v>102</v>
      </c>
      <c r="D27" s="296">
        <v>16.0</v>
      </c>
      <c r="E27" s="300"/>
      <c r="F27" s="300"/>
      <c r="G27" s="13"/>
      <c r="H27" s="300"/>
      <c r="I27" s="13"/>
      <c r="J27" s="300"/>
      <c r="K27" s="300"/>
      <c r="L27" s="300"/>
      <c r="M27" s="300"/>
      <c r="N27" s="13"/>
      <c r="O27" s="300"/>
      <c r="P27" s="298" t="s">
        <v>686</v>
      </c>
      <c r="Q27" s="300"/>
      <c r="R27" s="300"/>
      <c r="S27" s="300"/>
      <c r="T27" s="300"/>
      <c r="U27" s="13"/>
      <c r="V27" s="300"/>
      <c r="W27" s="13"/>
      <c r="X27" s="300"/>
      <c r="Y27" s="300"/>
      <c r="Z27" s="300"/>
      <c r="AA27" s="300"/>
      <c r="AB27" s="13"/>
      <c r="AC27" s="300"/>
      <c r="AD27" s="13"/>
      <c r="AE27" s="300"/>
      <c r="AF27" s="300"/>
      <c r="AG27" s="300"/>
      <c r="AH27" s="300"/>
    </row>
    <row r="28">
      <c r="A28" s="48"/>
      <c r="B28" s="298" t="s">
        <v>687</v>
      </c>
      <c r="C28" s="48"/>
      <c r="D28" s="48"/>
      <c r="E28" s="300"/>
      <c r="F28" s="300"/>
      <c r="G28" s="13"/>
      <c r="H28" s="300"/>
      <c r="I28" s="13"/>
      <c r="J28" s="300"/>
      <c r="K28" s="300"/>
      <c r="L28" s="300"/>
      <c r="M28" s="300"/>
      <c r="N28" s="13"/>
      <c r="O28" s="300"/>
      <c r="P28" s="13"/>
      <c r="Q28" s="300"/>
      <c r="R28" s="300"/>
      <c r="S28" s="300"/>
      <c r="T28" s="300"/>
      <c r="U28" s="13"/>
      <c r="V28" s="300"/>
      <c r="W28" s="13"/>
      <c r="X28" s="300"/>
      <c r="Y28" s="300"/>
      <c r="Z28" s="300"/>
      <c r="AA28" s="300"/>
      <c r="AB28" s="13"/>
      <c r="AC28" s="300"/>
      <c r="AD28" s="13"/>
      <c r="AE28" s="300"/>
      <c r="AF28" s="300"/>
      <c r="AG28" s="300"/>
      <c r="AH28" s="300"/>
    </row>
    <row r="29">
      <c r="A29" s="296">
        <v>12.0</v>
      </c>
      <c r="B29" s="298" t="s">
        <v>685</v>
      </c>
      <c r="C29" s="299" t="s">
        <v>127</v>
      </c>
      <c r="D29" s="296">
        <v>24.0</v>
      </c>
      <c r="E29" s="300"/>
      <c r="F29" s="300"/>
      <c r="G29" s="13"/>
      <c r="H29" s="300"/>
      <c r="I29" s="13"/>
      <c r="J29" s="300"/>
      <c r="K29" s="300"/>
      <c r="L29" s="300"/>
      <c r="M29" s="300"/>
      <c r="N29" s="13"/>
      <c r="O29" s="300"/>
      <c r="P29" s="298" t="s">
        <v>686</v>
      </c>
      <c r="Q29" s="300"/>
      <c r="R29" s="300"/>
      <c r="S29" s="300"/>
      <c r="T29" s="300"/>
      <c r="U29" s="13"/>
      <c r="V29" s="300"/>
      <c r="W29" s="13"/>
      <c r="X29" s="300"/>
      <c r="Y29" s="300"/>
      <c r="Z29" s="300"/>
      <c r="AA29" s="300"/>
      <c r="AB29" s="13"/>
      <c r="AC29" s="300"/>
      <c r="AD29" s="13"/>
      <c r="AE29" s="300"/>
      <c r="AF29" s="300"/>
      <c r="AG29" s="300"/>
      <c r="AH29" s="300"/>
    </row>
    <row r="30">
      <c r="A30" s="48"/>
      <c r="B30" s="298" t="s">
        <v>687</v>
      </c>
      <c r="C30" s="48"/>
      <c r="D30" s="48"/>
      <c r="E30" s="300"/>
      <c r="F30" s="300"/>
      <c r="G30" s="13"/>
      <c r="H30" s="300"/>
      <c r="I30" s="13"/>
      <c r="J30" s="300"/>
      <c r="K30" s="300"/>
      <c r="L30" s="300"/>
      <c r="M30" s="300"/>
      <c r="N30" s="13"/>
      <c r="O30" s="300"/>
      <c r="P30" s="13"/>
      <c r="Q30" s="300"/>
      <c r="R30" s="300"/>
      <c r="S30" s="300"/>
      <c r="T30" s="300"/>
      <c r="U30" s="13"/>
      <c r="V30" s="300"/>
      <c r="W30" s="13"/>
      <c r="X30" s="300"/>
      <c r="Y30" s="300"/>
      <c r="Z30" s="300"/>
      <c r="AA30" s="300"/>
      <c r="AB30" s="13"/>
      <c r="AC30" s="300"/>
      <c r="AD30" s="13"/>
      <c r="AE30" s="300"/>
      <c r="AF30" s="300"/>
      <c r="AG30" s="300"/>
      <c r="AH30" s="300"/>
    </row>
    <row r="31">
      <c r="A31" s="296">
        <v>13.0</v>
      </c>
      <c r="B31" s="298" t="s">
        <v>685</v>
      </c>
      <c r="C31" s="299" t="s">
        <v>117</v>
      </c>
      <c r="D31" s="296">
        <v>16.0</v>
      </c>
      <c r="E31" s="300"/>
      <c r="F31" s="300"/>
      <c r="G31" s="13"/>
      <c r="H31" s="300"/>
      <c r="I31" s="13"/>
      <c r="J31" s="300"/>
      <c r="K31" s="300"/>
      <c r="L31" s="300"/>
      <c r="M31" s="300"/>
      <c r="N31" s="13"/>
      <c r="O31" s="300"/>
      <c r="P31" s="298" t="s">
        <v>686</v>
      </c>
      <c r="Q31" s="300"/>
      <c r="R31" s="300"/>
      <c r="S31" s="300"/>
      <c r="T31" s="300"/>
      <c r="U31" s="13"/>
      <c r="V31" s="300"/>
      <c r="W31" s="13"/>
      <c r="X31" s="300"/>
      <c r="Y31" s="300"/>
      <c r="Z31" s="300"/>
      <c r="AA31" s="300"/>
      <c r="AB31" s="13"/>
      <c r="AC31" s="300"/>
      <c r="AD31" s="13"/>
      <c r="AE31" s="300"/>
      <c r="AF31" s="300"/>
      <c r="AG31" s="300"/>
      <c r="AH31" s="300"/>
    </row>
    <row r="32">
      <c r="A32" s="48"/>
      <c r="B32" s="298" t="s">
        <v>687</v>
      </c>
      <c r="C32" s="48"/>
      <c r="D32" s="48"/>
      <c r="E32" s="300"/>
      <c r="F32" s="300"/>
      <c r="G32" s="13"/>
      <c r="H32" s="300"/>
      <c r="I32" s="13"/>
      <c r="J32" s="300"/>
      <c r="K32" s="300"/>
      <c r="L32" s="300"/>
      <c r="M32" s="300"/>
      <c r="N32" s="13"/>
      <c r="O32" s="300"/>
      <c r="P32" s="13"/>
      <c r="Q32" s="300"/>
      <c r="R32" s="300"/>
      <c r="S32" s="300"/>
      <c r="T32" s="300"/>
      <c r="U32" s="13"/>
      <c r="V32" s="300"/>
      <c r="W32" s="13"/>
      <c r="X32" s="300"/>
      <c r="Y32" s="300"/>
      <c r="Z32" s="300"/>
      <c r="AA32" s="300"/>
      <c r="AB32" s="13"/>
      <c r="AC32" s="300"/>
      <c r="AD32" s="13"/>
      <c r="AE32" s="300"/>
      <c r="AF32" s="300"/>
      <c r="AG32" s="300"/>
      <c r="AH32" s="300"/>
    </row>
    <row r="33">
      <c r="A33" s="6"/>
      <c r="B33" s="6"/>
      <c r="C33" s="6"/>
      <c r="D33" s="6"/>
    </row>
    <row r="34">
      <c r="A34" s="6"/>
      <c r="C34" s="302" t="s">
        <v>688</v>
      </c>
    </row>
    <row r="35">
      <c r="A35" s="6"/>
      <c r="C35" s="303"/>
      <c r="D35" s="303"/>
    </row>
    <row r="36">
      <c r="A36" s="6"/>
      <c r="C36" s="302" t="s">
        <v>689</v>
      </c>
      <c r="D36" s="303"/>
      <c r="O36" s="233" t="s">
        <v>690</v>
      </c>
      <c r="AC36" s="233" t="s">
        <v>691</v>
      </c>
    </row>
    <row r="37">
      <c r="A37" s="6"/>
      <c r="C37" s="302" t="s">
        <v>692</v>
      </c>
      <c r="D37" s="303"/>
      <c r="O37" s="233" t="s">
        <v>693</v>
      </c>
      <c r="AC37" s="233" t="s">
        <v>694</v>
      </c>
    </row>
    <row r="38">
      <c r="A38" s="6"/>
      <c r="C38" s="6"/>
      <c r="D38" s="6"/>
    </row>
    <row r="39">
      <c r="A39" s="6"/>
      <c r="C39" s="6"/>
      <c r="D39" s="6"/>
    </row>
    <row r="40">
      <c r="A40" s="6"/>
      <c r="C40" s="6"/>
      <c r="D40" s="6"/>
    </row>
    <row r="41">
      <c r="A41" s="6"/>
      <c r="C41" s="302" t="s">
        <v>695</v>
      </c>
      <c r="O41" s="233" t="s">
        <v>696</v>
      </c>
      <c r="AC41" s="233" t="s">
        <v>697</v>
      </c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</row>
    <row r="45">
      <c r="A45" s="6"/>
      <c r="B45" s="6"/>
    </row>
    <row r="46">
      <c r="A46" s="6"/>
      <c r="B46" s="6"/>
    </row>
    <row r="47">
      <c r="A47" s="6"/>
      <c r="B47" s="6"/>
    </row>
    <row r="48">
      <c r="A48" s="6"/>
      <c r="B48" s="6"/>
    </row>
    <row r="49">
      <c r="A49" s="6"/>
      <c r="B49" s="6"/>
    </row>
    <row r="50">
      <c r="A50" s="6"/>
      <c r="B50" s="6"/>
    </row>
    <row r="51">
      <c r="A51" s="6"/>
      <c r="B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  <row r="1001">
      <c r="A1001" s="6"/>
      <c r="B1001" s="6"/>
      <c r="C1001" s="6"/>
      <c r="D1001" s="6"/>
    </row>
    <row r="1002">
      <c r="A1002" s="6"/>
      <c r="B1002" s="6"/>
      <c r="C1002" s="6"/>
      <c r="D1002" s="6"/>
    </row>
    <row r="1003">
      <c r="A1003" s="6"/>
      <c r="B1003" s="6"/>
      <c r="C1003" s="6"/>
      <c r="D1003" s="6"/>
    </row>
    <row r="1004">
      <c r="A1004" s="6"/>
      <c r="B1004" s="6"/>
      <c r="C1004" s="6"/>
      <c r="D1004" s="6"/>
    </row>
    <row r="1005">
      <c r="A1005" s="6"/>
      <c r="B1005" s="6"/>
      <c r="C1005" s="6"/>
      <c r="D1005" s="6"/>
    </row>
    <row r="1006">
      <c r="A1006" s="6"/>
      <c r="B1006" s="6"/>
      <c r="C1006" s="6"/>
      <c r="D1006" s="6"/>
    </row>
    <row r="1007">
      <c r="A1007" s="6"/>
      <c r="B1007" s="6"/>
      <c r="C1007" s="6"/>
      <c r="D1007" s="6"/>
    </row>
    <row r="1008">
      <c r="A1008" s="6"/>
      <c r="B1008" s="6"/>
      <c r="C1008" s="6"/>
      <c r="D1008" s="6"/>
    </row>
    <row r="1009">
      <c r="A1009" s="6"/>
      <c r="B1009" s="6"/>
      <c r="C1009" s="6"/>
      <c r="D1009" s="6"/>
    </row>
    <row r="1010">
      <c r="A1010" s="6"/>
      <c r="B1010" s="6"/>
      <c r="C1010" s="6"/>
      <c r="D1010" s="6"/>
    </row>
    <row r="1011">
      <c r="A1011" s="6"/>
      <c r="B1011" s="6"/>
      <c r="C1011" s="6"/>
      <c r="D1011" s="6"/>
    </row>
    <row r="1012">
      <c r="A1012" s="6"/>
      <c r="B1012" s="6"/>
      <c r="C1012" s="6"/>
      <c r="D1012" s="6"/>
    </row>
    <row r="1013">
      <c r="A1013" s="6"/>
      <c r="B1013" s="6"/>
      <c r="C1013" s="6"/>
      <c r="D1013" s="6"/>
    </row>
    <row r="1014">
      <c r="A1014" s="6"/>
      <c r="B1014" s="6"/>
      <c r="C1014" s="6"/>
      <c r="D1014" s="6"/>
    </row>
  </sheetData>
  <mergeCells count="49">
    <mergeCell ref="A1:AH1"/>
    <mergeCell ref="A2:AH2"/>
    <mergeCell ref="A3:AH3"/>
    <mergeCell ref="A4:AH4"/>
    <mergeCell ref="B5:B6"/>
    <mergeCell ref="C5:C6"/>
    <mergeCell ref="D5:D6"/>
    <mergeCell ref="A5:A6"/>
    <mergeCell ref="A7:A8"/>
    <mergeCell ref="C7:C8"/>
    <mergeCell ref="D7:D8"/>
    <mergeCell ref="A9:A10"/>
    <mergeCell ref="D9:D10"/>
    <mergeCell ref="D11:D12"/>
    <mergeCell ref="C17:C18"/>
    <mergeCell ref="C19:C20"/>
    <mergeCell ref="C21:C22"/>
    <mergeCell ref="C23:C24"/>
    <mergeCell ref="C25:C26"/>
    <mergeCell ref="C27:C28"/>
    <mergeCell ref="C29:C30"/>
    <mergeCell ref="C31:C32"/>
    <mergeCell ref="C9:C10"/>
    <mergeCell ref="C11:C12"/>
    <mergeCell ref="C13:C14"/>
    <mergeCell ref="D13:D14"/>
    <mergeCell ref="C15:C16"/>
    <mergeCell ref="D15:D16"/>
    <mergeCell ref="D17:D18"/>
    <mergeCell ref="A25:A26"/>
    <mergeCell ref="A27:A28"/>
    <mergeCell ref="A29:A30"/>
    <mergeCell ref="A31:A32"/>
    <mergeCell ref="A11:A12"/>
    <mergeCell ref="A13:A14"/>
    <mergeCell ref="A15:A16"/>
    <mergeCell ref="A17:A18"/>
    <mergeCell ref="A19:A20"/>
    <mergeCell ref="A21:A22"/>
    <mergeCell ref="A23:A24"/>
    <mergeCell ref="C34:F34"/>
    <mergeCell ref="C41:H41"/>
    <mergeCell ref="D19:D20"/>
    <mergeCell ref="D21:D22"/>
    <mergeCell ref="D23:D24"/>
    <mergeCell ref="D25:D26"/>
    <mergeCell ref="D27:D28"/>
    <mergeCell ref="D29:D30"/>
    <mergeCell ref="D31:D32"/>
  </mergeCells>
  <printOptions horizontalCentered="1"/>
  <pageMargins bottom="0.75" footer="0.0" header="0.0" left="0.25" right="0.25" top="0.75"/>
  <pageSetup paperSize="9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5.38"/>
    <col customWidth="1" min="2" max="2" width="7.0"/>
    <col customWidth="1" min="3" max="4" width="7.5"/>
    <col customWidth="1" min="5" max="5" width="23.25"/>
    <col customWidth="1" min="6" max="12" width="8.63"/>
    <col customWidth="1" min="13" max="13" width="11.13"/>
    <col customWidth="1" min="14" max="17" width="8.63"/>
    <col customWidth="1" min="18" max="18" width="15.5"/>
    <col customWidth="1" min="19" max="19" width="13.88"/>
    <col customWidth="1" min="20" max="20" width="11.63"/>
    <col customWidth="1" min="21" max="21" width="8.63"/>
    <col customWidth="1" min="22" max="22" width="11.75"/>
    <col customWidth="1" min="23" max="23" width="8.63"/>
    <col customWidth="1" min="24" max="24" width="11.0"/>
    <col customWidth="1" min="25" max="25" width="12.5"/>
    <col customWidth="1" min="27" max="27" width="12.5"/>
    <col customWidth="1" min="28" max="28" width="11.13"/>
    <col customWidth="1" min="29" max="29" width="12.5"/>
    <col customWidth="1" min="30" max="30" width="16.25"/>
    <col customWidth="1" min="31" max="31" width="7.13"/>
    <col customWidth="1" min="35" max="35" width="107.63"/>
    <col customWidth="1" min="36" max="36" width="3.5"/>
    <col customWidth="1" min="37" max="37" width="9.0"/>
    <col customWidth="1" min="38" max="38" width="6.5"/>
    <col customWidth="1" min="39" max="39" width="7.25"/>
    <col customWidth="1" min="40" max="40" width="7.88"/>
    <col customWidth="1" min="41" max="41" width="9.63"/>
  </cols>
  <sheetData>
    <row r="1">
      <c r="A1" s="8"/>
      <c r="B1" s="8"/>
      <c r="C1" s="8"/>
      <c r="D1" s="8"/>
      <c r="E1" s="8"/>
      <c r="F1" s="8" t="s">
        <v>7</v>
      </c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>
      <c r="A2" s="8"/>
      <c r="B2" s="8"/>
      <c r="C2" s="8"/>
      <c r="D2" s="8"/>
      <c r="E2" s="8"/>
      <c r="F2" s="8" t="s">
        <v>10</v>
      </c>
      <c r="AI2" s="18">
        <v>1.91755E-5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>
      <c r="A3" s="20"/>
      <c r="C3" s="21"/>
      <c r="D3" s="21"/>
      <c r="E3" s="21"/>
      <c r="F3" s="21"/>
      <c r="G3" s="21"/>
      <c r="H3" s="21"/>
      <c r="I3" s="2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AA3" s="25"/>
      <c r="AB3" s="25"/>
      <c r="AC3" s="25"/>
      <c r="AD3" s="25"/>
      <c r="AE3" s="25"/>
      <c r="AF3" s="25"/>
      <c r="AG3" s="25"/>
      <c r="AH3" s="25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ht="27.0" customHeight="1">
      <c r="A4" s="27">
        <v>2026.0</v>
      </c>
      <c r="B4" s="30"/>
      <c r="C4" s="21"/>
      <c r="D4" s="21"/>
      <c r="E4" s="21"/>
      <c r="F4" s="21"/>
      <c r="G4" s="21"/>
      <c r="H4" s="21"/>
      <c r="I4" s="23"/>
      <c r="J4" s="21"/>
      <c r="K4" s="21"/>
      <c r="L4" s="21"/>
      <c r="M4" s="21"/>
      <c r="N4" s="21"/>
      <c r="O4" s="21"/>
      <c r="P4" s="21"/>
      <c r="Q4" s="21"/>
      <c r="R4" s="21"/>
      <c r="S4" s="21"/>
      <c r="T4" s="32" t="s">
        <v>49</v>
      </c>
      <c r="U4" s="21"/>
      <c r="V4" s="32" t="s">
        <v>60</v>
      </c>
      <c r="W4" s="21"/>
      <c r="X4" s="32" t="s">
        <v>61</v>
      </c>
      <c r="Y4" s="21"/>
      <c r="Z4" s="32" t="s">
        <v>63</v>
      </c>
      <c r="AA4" s="25"/>
      <c r="AB4" s="32" t="s">
        <v>65</v>
      </c>
      <c r="AC4" s="25"/>
      <c r="AD4" s="32" t="s">
        <v>67</v>
      </c>
      <c r="AE4" s="25"/>
      <c r="AF4" s="25"/>
      <c r="AG4" s="25"/>
      <c r="AH4" s="25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ht="21.0" customHeight="1">
      <c r="A5" s="34"/>
      <c r="B5" s="34"/>
      <c r="C5" s="34"/>
      <c r="D5" s="34"/>
      <c r="E5" s="34"/>
      <c r="F5" s="34"/>
      <c r="G5" s="34"/>
      <c r="H5" s="34"/>
      <c r="I5" s="35"/>
      <c r="J5" s="34"/>
      <c r="K5" s="34"/>
      <c r="L5" s="34"/>
      <c r="M5" s="34"/>
      <c r="N5" s="34"/>
      <c r="O5" s="34"/>
      <c r="P5" s="34"/>
      <c r="Q5" s="34"/>
      <c r="R5" s="34"/>
      <c r="S5" s="34"/>
      <c r="T5" s="36" t="s">
        <v>82</v>
      </c>
      <c r="U5" s="37"/>
      <c r="V5" s="38" t="s">
        <v>90</v>
      </c>
      <c r="W5" s="37"/>
      <c r="X5" s="36" t="s">
        <v>96</v>
      </c>
      <c r="Y5" s="37"/>
      <c r="Z5" s="36" t="s">
        <v>99</v>
      </c>
      <c r="AA5" s="37"/>
      <c r="AB5" s="32"/>
      <c r="AC5" s="32"/>
      <c r="AD5" s="32"/>
      <c r="AE5" s="32"/>
      <c r="AF5" s="40"/>
      <c r="AG5" s="40"/>
      <c r="AH5" s="41" t="s">
        <v>107</v>
      </c>
      <c r="AI5" s="42" t="s">
        <v>112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ht="21.0" customHeight="1">
      <c r="A6" s="5" t="s">
        <v>2</v>
      </c>
      <c r="B6" s="7" t="s">
        <v>3</v>
      </c>
      <c r="C6" s="7" t="s">
        <v>5</v>
      </c>
      <c r="D6" s="7"/>
      <c r="E6" s="7" t="s">
        <v>4</v>
      </c>
      <c r="F6" s="43" t="s">
        <v>126</v>
      </c>
      <c r="G6" s="7" t="s">
        <v>128</v>
      </c>
      <c r="H6" s="43" t="s">
        <v>130</v>
      </c>
      <c r="I6" s="43" t="s">
        <v>131</v>
      </c>
      <c r="J6" s="45" t="s">
        <v>132</v>
      </c>
      <c r="K6" s="45" t="s">
        <v>136</v>
      </c>
      <c r="L6" s="45" t="s">
        <v>137</v>
      </c>
      <c r="M6" s="45" t="s">
        <v>138</v>
      </c>
      <c r="N6" s="45" t="s">
        <v>139</v>
      </c>
      <c r="O6" s="43" t="s">
        <v>140</v>
      </c>
      <c r="P6" s="43" t="s">
        <v>141</v>
      </c>
      <c r="Q6" s="7" t="s">
        <v>143</v>
      </c>
      <c r="R6" s="7" t="s">
        <v>144</v>
      </c>
      <c r="S6" s="7" t="s">
        <v>146</v>
      </c>
      <c r="T6" s="32" t="s">
        <v>49</v>
      </c>
      <c r="U6" s="32" t="s">
        <v>148</v>
      </c>
      <c r="V6" s="32" t="s">
        <v>60</v>
      </c>
      <c r="W6" s="32" t="s">
        <v>148</v>
      </c>
      <c r="X6" s="32" t="s">
        <v>61</v>
      </c>
      <c r="Y6" s="32" t="s">
        <v>148</v>
      </c>
      <c r="Z6" s="32" t="s">
        <v>63</v>
      </c>
      <c r="AA6" s="40" t="s">
        <v>148</v>
      </c>
      <c r="AB6" s="32" t="s">
        <v>65</v>
      </c>
      <c r="AC6" s="40" t="s">
        <v>148</v>
      </c>
      <c r="AD6" s="32" t="s">
        <v>67</v>
      </c>
      <c r="AE6" s="40" t="s">
        <v>148</v>
      </c>
      <c r="AF6" s="40" t="s">
        <v>151</v>
      </c>
      <c r="AG6" s="40" t="s">
        <v>148</v>
      </c>
      <c r="AH6" s="48"/>
      <c r="AI6" s="48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>
      <c r="A7" s="9">
        <v>1.0</v>
      </c>
      <c r="B7" s="311" t="s">
        <v>6</v>
      </c>
      <c r="C7" s="11" t="s">
        <v>153</v>
      </c>
      <c r="D7" s="11">
        <v>24.0</v>
      </c>
      <c r="E7" s="14" t="s">
        <v>8</v>
      </c>
      <c r="F7" s="11">
        <v>2016.0</v>
      </c>
      <c r="G7" s="11">
        <v>2016.0</v>
      </c>
      <c r="H7" s="11">
        <f>A4-F7</f>
        <v>10</v>
      </c>
      <c r="I7" s="51" t="s">
        <v>158</v>
      </c>
      <c r="J7" s="11">
        <v>7684.0</v>
      </c>
      <c r="K7" s="11" t="s">
        <v>159</v>
      </c>
      <c r="L7" s="11" t="s">
        <v>160</v>
      </c>
      <c r="M7" s="11" t="s">
        <v>161</v>
      </c>
      <c r="N7" s="11">
        <v>2016.0</v>
      </c>
      <c r="O7" s="11">
        <f>A4-N7</f>
        <v>10</v>
      </c>
      <c r="P7" s="11" t="s">
        <v>162</v>
      </c>
      <c r="Q7" s="11" t="s">
        <v>163</v>
      </c>
      <c r="R7" s="52" t="s">
        <v>164</v>
      </c>
      <c r="S7" s="52" t="s">
        <v>165</v>
      </c>
      <c r="T7" s="53">
        <v>46383.0</v>
      </c>
      <c r="U7" s="54" t="str">
        <f t="shared" ref="U7:U91" si="1">IF(TODAY()&gt;=T7,"Habis",
 IF(TODAY()&gt;=T7-7,"Habis dalam 7-1 Hari",
 IF(TODAY()&gt;=T7-21,"Akan Habis",
 "Berlaku")))
</f>
        <v>Berlaku</v>
      </c>
      <c r="V7" s="53">
        <v>46383.0</v>
      </c>
      <c r="W7" s="54" t="str">
        <f t="shared" ref="W7:W91" si="2">IF(TODAY()&gt;=V7,"Habis",
 IF(TODAY()&gt;=V7-7,"Habis dalam 7-1 Hari",
 IF(TODAY()&gt;=V7-50,"Akan Habis",
 "Berlaku")))</f>
        <v>Berlaku</v>
      </c>
      <c r="X7" s="53">
        <v>46271.0</v>
      </c>
      <c r="Y7" s="54" t="str">
        <f t="shared" ref="Y7:Y91" si="3">IF(TODAY()&gt;=X7,"Habis",
 IF(TODAY()&gt;=X7-7,"Habis dalam 7-1 Hari",
 IF(TODAY()&gt;=X7-50,"Akan Habis",
 "Berlaku")))</f>
        <v>Habis</v>
      </c>
      <c r="Z7" s="53">
        <v>46271.0</v>
      </c>
      <c r="AA7" s="54" t="str">
        <f t="shared" ref="AA7:AA91" si="4">IF(TODAY()&gt;=Z7,"Habis",
 IF(TODAY()&gt;=Z7-7,"Habis dalam 7-1 Hari",
 IF(TODAY()&gt;=Z7-21,"Akan Habis",
 "Berlaku")))
</f>
        <v>Habis</v>
      </c>
      <c r="AB7" s="53">
        <f>VLOOKUP(B7,'DATA EXP TERA'!$C$3:$D$85,2,0)</f>
        <v>46225</v>
      </c>
      <c r="AC7" s="54" t="str">
        <f t="shared" ref="AC7:AC91" si="5">IF(TODAY()&gt;=AB7,"Habis",
 IF(TODAY()&gt;=AB7-7,"Habis dalam 7-1 Hari",
 IF(TODAY()&gt;=AB7-65,"Akan Habis",
 "Berlaku")))</f>
        <v>Habis</v>
      </c>
      <c r="AD7" s="315">
        <v>46340.0</v>
      </c>
      <c r="AE7" s="56" t="str">
        <f t="shared" ref="AE7:AE91" si="6">IF(TODAY()&gt;=AD7,"Habis",
 IF(TODAY()&gt;=AD7-7,"Habis dalam 7-1 Hari",
 IF(TODAY()&gt;=AD7-21,"Akan Habis",
 "Berlaku")))
</f>
        <v>Berlaku</v>
      </c>
      <c r="AF7" s="57" t="s">
        <v>166</v>
      </c>
      <c r="AG7" s="57" t="s">
        <v>167</v>
      </c>
      <c r="AH7" s="54"/>
      <c r="AI7" s="58"/>
      <c r="AJ7" s="59"/>
      <c r="AK7" s="60" t="s">
        <v>168</v>
      </c>
      <c r="AL7" s="61"/>
      <c r="AM7" s="61"/>
      <c r="AN7" s="62"/>
      <c r="AO7" s="63" t="s">
        <v>169</v>
      </c>
      <c r="AP7" s="62"/>
      <c r="AQ7" s="63" t="s">
        <v>170</v>
      </c>
      <c r="AR7" s="62"/>
      <c r="AS7" s="63" t="s">
        <v>171</v>
      </c>
      <c r="AT7" s="62"/>
      <c r="AU7" s="63" t="s">
        <v>172</v>
      </c>
      <c r="AV7" s="62"/>
      <c r="AW7" s="63" t="s">
        <v>173</v>
      </c>
      <c r="AX7" s="62"/>
    </row>
    <row r="8">
      <c r="A8" s="9">
        <v>2.0</v>
      </c>
      <c r="B8" s="311" t="s">
        <v>12</v>
      </c>
      <c r="C8" s="11" t="s">
        <v>153</v>
      </c>
      <c r="D8" s="11">
        <v>24.0</v>
      </c>
      <c r="E8" s="14" t="s">
        <v>8</v>
      </c>
      <c r="F8" s="11">
        <v>2016.0</v>
      </c>
      <c r="G8" s="11">
        <v>2016.0</v>
      </c>
      <c r="H8" s="11">
        <f>A4-F8</f>
        <v>10</v>
      </c>
      <c r="I8" s="51" t="s">
        <v>158</v>
      </c>
      <c r="J8" s="11">
        <v>7684.0</v>
      </c>
      <c r="K8" s="11" t="s">
        <v>159</v>
      </c>
      <c r="L8" s="11" t="s">
        <v>160</v>
      </c>
      <c r="M8" s="11" t="s">
        <v>161</v>
      </c>
      <c r="N8" s="11">
        <v>2016.0</v>
      </c>
      <c r="O8" s="11">
        <f>A4-N8</f>
        <v>10</v>
      </c>
      <c r="P8" s="11" t="s">
        <v>162</v>
      </c>
      <c r="Q8" s="11" t="s">
        <v>163</v>
      </c>
      <c r="R8" s="52" t="s">
        <v>174</v>
      </c>
      <c r="S8" s="52" t="s">
        <v>175</v>
      </c>
      <c r="T8" s="53">
        <v>46383.0</v>
      </c>
      <c r="U8" s="54" t="str">
        <f t="shared" si="1"/>
        <v>Berlaku</v>
      </c>
      <c r="V8" s="317">
        <v>46383.0</v>
      </c>
      <c r="W8" s="54" t="str">
        <f t="shared" si="2"/>
        <v>Berlaku</v>
      </c>
      <c r="X8" s="53">
        <v>46271.0</v>
      </c>
      <c r="Y8" s="54" t="str">
        <f t="shared" si="3"/>
        <v>Habis</v>
      </c>
      <c r="Z8" s="53">
        <v>46271.0</v>
      </c>
      <c r="AA8" s="54" t="str">
        <f t="shared" si="4"/>
        <v>Habis</v>
      </c>
      <c r="AB8" s="53">
        <f>VLOOKUP(B8,'DATA EXP TERA'!$C$3:$D$85,2,0)</f>
        <v>46240</v>
      </c>
      <c r="AC8" s="54" t="str">
        <f t="shared" si="5"/>
        <v>Habis</v>
      </c>
      <c r="AD8" s="315">
        <v>46340.0</v>
      </c>
      <c r="AE8" s="56" t="str">
        <f t="shared" si="6"/>
        <v>Berlaku</v>
      </c>
      <c r="AF8" s="57" t="s">
        <v>166</v>
      </c>
      <c r="AG8" s="57" t="s">
        <v>167</v>
      </c>
      <c r="AH8" s="54"/>
      <c r="AI8" s="58"/>
      <c r="AJ8" s="59"/>
      <c r="AK8" s="66" t="s">
        <v>178</v>
      </c>
      <c r="AL8" s="68" t="s">
        <v>180</v>
      </c>
      <c r="AM8" s="70" t="s">
        <v>181</v>
      </c>
      <c r="AN8" s="62"/>
      <c r="AO8" s="68" t="s">
        <v>182</v>
      </c>
      <c r="AP8" s="68" t="s">
        <v>183</v>
      </c>
      <c r="AQ8" s="68" t="s">
        <v>182</v>
      </c>
      <c r="AR8" s="68" t="s">
        <v>183</v>
      </c>
      <c r="AS8" s="68" t="s">
        <v>182</v>
      </c>
      <c r="AT8" s="68" t="s">
        <v>183</v>
      </c>
      <c r="AU8" s="68" t="s">
        <v>182</v>
      </c>
      <c r="AV8" s="68" t="s">
        <v>183</v>
      </c>
      <c r="AW8" s="68" t="s">
        <v>182</v>
      </c>
      <c r="AX8" s="68" t="s">
        <v>183</v>
      </c>
    </row>
    <row r="9">
      <c r="A9" s="9">
        <v>3.0</v>
      </c>
      <c r="B9" s="311" t="s">
        <v>14</v>
      </c>
      <c r="C9" s="11" t="s">
        <v>153</v>
      </c>
      <c r="D9" s="11">
        <v>24.0</v>
      </c>
      <c r="E9" s="14" t="s">
        <v>8</v>
      </c>
      <c r="F9" s="11">
        <v>2016.0</v>
      </c>
      <c r="G9" s="11">
        <v>2017.0</v>
      </c>
      <c r="H9" s="11">
        <f>A4-F9</f>
        <v>10</v>
      </c>
      <c r="I9" s="51" t="s">
        <v>184</v>
      </c>
      <c r="J9" s="11">
        <v>7684.0</v>
      </c>
      <c r="K9" s="11" t="s">
        <v>159</v>
      </c>
      <c r="L9" s="11" t="s">
        <v>160</v>
      </c>
      <c r="M9" s="11" t="s">
        <v>161</v>
      </c>
      <c r="N9" s="11">
        <v>2016.0</v>
      </c>
      <c r="O9" s="11">
        <f>A4-N9</f>
        <v>10</v>
      </c>
      <c r="P9" s="11" t="s">
        <v>162</v>
      </c>
      <c r="Q9" s="11" t="s">
        <v>163</v>
      </c>
      <c r="R9" s="52" t="s">
        <v>186</v>
      </c>
      <c r="S9" s="52" t="s">
        <v>187</v>
      </c>
      <c r="T9" s="53">
        <v>46417.0</v>
      </c>
      <c r="U9" s="54" t="str">
        <f t="shared" si="1"/>
        <v>Berlaku</v>
      </c>
      <c r="V9" s="317">
        <v>46417.0</v>
      </c>
      <c r="W9" s="54" t="str">
        <f t="shared" si="2"/>
        <v>Berlaku</v>
      </c>
      <c r="X9" s="53">
        <v>46271.0</v>
      </c>
      <c r="Y9" s="54" t="str">
        <f t="shared" si="3"/>
        <v>Habis</v>
      </c>
      <c r="Z9" s="53">
        <v>46271.0</v>
      </c>
      <c r="AA9" s="54" t="str">
        <f t="shared" si="4"/>
        <v>Habis</v>
      </c>
      <c r="AB9" s="53">
        <f>VLOOKUP(B9,'DATA EXP TERA'!$C$3:$D$85,2,0)</f>
        <v>46409</v>
      </c>
      <c r="AC9" s="54" t="str">
        <f t="shared" si="5"/>
        <v>Berlaku</v>
      </c>
      <c r="AD9" s="315">
        <v>46273.0</v>
      </c>
      <c r="AE9" s="56" t="str">
        <f t="shared" si="6"/>
        <v>Habis</v>
      </c>
      <c r="AF9" s="57" t="s">
        <v>166</v>
      </c>
      <c r="AG9" s="57" t="s">
        <v>167</v>
      </c>
      <c r="AH9" s="54"/>
      <c r="AI9" s="58"/>
      <c r="AJ9" s="59"/>
      <c r="AK9" s="76"/>
      <c r="AL9" s="78" t="s">
        <v>195</v>
      </c>
      <c r="AM9" s="80">
        <v>32.0</v>
      </c>
      <c r="AN9" s="62"/>
      <c r="AO9" s="82"/>
      <c r="AP9" s="84">
        <v>0.0</v>
      </c>
      <c r="AQ9" s="85"/>
      <c r="AR9" s="86">
        <v>0.0</v>
      </c>
      <c r="AS9" s="85"/>
      <c r="AT9" s="85"/>
      <c r="AU9" s="85"/>
      <c r="AV9" s="86">
        <v>0.0</v>
      </c>
      <c r="AW9" s="85"/>
      <c r="AX9" s="86">
        <v>0.0</v>
      </c>
    </row>
    <row r="10">
      <c r="A10" s="9">
        <v>4.0</v>
      </c>
      <c r="B10" s="311" t="s">
        <v>17</v>
      </c>
      <c r="C10" s="11" t="s">
        <v>153</v>
      </c>
      <c r="D10" s="11">
        <v>24.0</v>
      </c>
      <c r="E10" s="14" t="s">
        <v>8</v>
      </c>
      <c r="F10" s="11">
        <v>2018.0</v>
      </c>
      <c r="G10" s="11">
        <v>2018.0</v>
      </c>
      <c r="H10" s="11">
        <f>A4-F10</f>
        <v>8</v>
      </c>
      <c r="I10" s="51" t="s">
        <v>197</v>
      </c>
      <c r="J10" s="11">
        <v>7698.0</v>
      </c>
      <c r="K10" s="11" t="s">
        <v>159</v>
      </c>
      <c r="L10" s="11" t="s">
        <v>160</v>
      </c>
      <c r="M10" s="11" t="s">
        <v>161</v>
      </c>
      <c r="N10" s="11">
        <v>2018.0</v>
      </c>
      <c r="O10" s="11">
        <f>A4-N10</f>
        <v>8</v>
      </c>
      <c r="P10" s="11" t="s">
        <v>162</v>
      </c>
      <c r="Q10" s="11" t="s">
        <v>199</v>
      </c>
      <c r="R10" s="52" t="s">
        <v>200</v>
      </c>
      <c r="S10" s="52" t="s">
        <v>201</v>
      </c>
      <c r="T10" s="53">
        <v>46903.0</v>
      </c>
      <c r="U10" s="54" t="str">
        <f t="shared" si="1"/>
        <v>Berlaku</v>
      </c>
      <c r="V10" s="317">
        <v>46172.0</v>
      </c>
      <c r="W10" s="54" t="str">
        <f t="shared" si="2"/>
        <v>Habis</v>
      </c>
      <c r="X10" s="318">
        <v>46237.0</v>
      </c>
      <c r="Y10" s="54" t="str">
        <f t="shared" si="3"/>
        <v>Habis</v>
      </c>
      <c r="Z10" s="318">
        <v>46237.0</v>
      </c>
      <c r="AA10" s="54" t="str">
        <f t="shared" si="4"/>
        <v>Habis</v>
      </c>
      <c r="AB10" s="53">
        <f>VLOOKUP(B10,'DATA EXP TERA'!$C$3:$D$85,2,0)</f>
        <v>46506</v>
      </c>
      <c r="AC10" s="54" t="str">
        <f t="shared" si="5"/>
        <v>Berlaku</v>
      </c>
      <c r="AD10" s="315">
        <v>46340.0</v>
      </c>
      <c r="AE10" s="56" t="str">
        <f t="shared" si="6"/>
        <v>Berlaku</v>
      </c>
      <c r="AF10" s="96" t="s">
        <v>203</v>
      </c>
      <c r="AG10" s="57" t="s">
        <v>167</v>
      </c>
      <c r="AH10" s="14"/>
      <c r="AI10" s="58"/>
      <c r="AJ10" s="59"/>
      <c r="AK10" s="76"/>
      <c r="AL10" s="68" t="s">
        <v>205</v>
      </c>
      <c r="AM10" s="70">
        <v>24.0</v>
      </c>
      <c r="AN10" s="62"/>
      <c r="AO10" s="99">
        <v>49.0</v>
      </c>
      <c r="AP10" s="84">
        <v>1176.0</v>
      </c>
      <c r="AQ10" s="100">
        <v>47.0</v>
      </c>
      <c r="AR10" s="86">
        <v>1128.0</v>
      </c>
      <c r="AS10" s="101"/>
      <c r="AT10" s="101"/>
      <c r="AU10" s="86">
        <v>5.0</v>
      </c>
      <c r="AV10" s="86">
        <f>AU10*24</f>
        <v>120</v>
      </c>
      <c r="AW10" s="102">
        <v>48.0</v>
      </c>
      <c r="AX10" s="86">
        <v>1152.0</v>
      </c>
    </row>
    <row r="11">
      <c r="A11" s="9">
        <v>5.0</v>
      </c>
      <c r="B11" s="311" t="s">
        <v>20</v>
      </c>
      <c r="C11" s="11" t="s">
        <v>153</v>
      </c>
      <c r="D11" s="11">
        <v>24.0</v>
      </c>
      <c r="E11" s="14" t="s">
        <v>8</v>
      </c>
      <c r="F11" s="11">
        <v>2018.0</v>
      </c>
      <c r="G11" s="11">
        <v>2018.0</v>
      </c>
      <c r="H11" s="11">
        <f>A4-F11</f>
        <v>8</v>
      </c>
      <c r="I11" s="51" t="s">
        <v>197</v>
      </c>
      <c r="J11" s="11">
        <v>7698.0</v>
      </c>
      <c r="K11" s="11" t="s">
        <v>159</v>
      </c>
      <c r="L11" s="11" t="s">
        <v>160</v>
      </c>
      <c r="M11" s="11" t="s">
        <v>161</v>
      </c>
      <c r="N11" s="11">
        <v>2018.0</v>
      </c>
      <c r="O11" s="11">
        <f>A4-N11</f>
        <v>8</v>
      </c>
      <c r="P11" s="11" t="s">
        <v>162</v>
      </c>
      <c r="Q11" s="11" t="s">
        <v>199</v>
      </c>
      <c r="R11" s="52" t="s">
        <v>210</v>
      </c>
      <c r="S11" s="52" t="s">
        <v>211</v>
      </c>
      <c r="T11" s="53">
        <v>46903.0</v>
      </c>
      <c r="U11" s="54" t="str">
        <f t="shared" si="1"/>
        <v>Berlaku</v>
      </c>
      <c r="V11" s="317">
        <v>46172.0</v>
      </c>
      <c r="W11" s="54" t="str">
        <f t="shared" si="2"/>
        <v>Habis</v>
      </c>
      <c r="X11" s="53">
        <v>46257.0</v>
      </c>
      <c r="Y11" s="54" t="str">
        <f t="shared" si="3"/>
        <v>Habis</v>
      </c>
      <c r="Z11" s="53">
        <v>46257.0</v>
      </c>
      <c r="AA11" s="54" t="str">
        <f t="shared" si="4"/>
        <v>Habis</v>
      </c>
      <c r="AB11" s="53">
        <f>VLOOKUP(B11,'DATA EXP TERA'!$C$3:$D$85,2,0)</f>
        <v>46187</v>
      </c>
      <c r="AC11" s="54" t="str">
        <f t="shared" si="5"/>
        <v>Habis</v>
      </c>
      <c r="AD11" s="315">
        <v>46187.0</v>
      </c>
      <c r="AE11" s="56" t="str">
        <f t="shared" si="6"/>
        <v>Habis</v>
      </c>
      <c r="AF11" s="96" t="s">
        <v>203</v>
      </c>
      <c r="AG11" s="57" t="s">
        <v>167</v>
      </c>
      <c r="AH11" s="54"/>
      <c r="AI11" s="58"/>
      <c r="AJ11" s="59"/>
      <c r="AK11" s="76"/>
      <c r="AL11" s="78" t="s">
        <v>221</v>
      </c>
      <c r="AM11" s="80">
        <v>16.0</v>
      </c>
      <c r="AN11" s="62"/>
      <c r="AO11" s="99">
        <v>32.0</v>
      </c>
      <c r="AP11" s="84">
        <f>AM11*AO11</f>
        <v>512</v>
      </c>
      <c r="AQ11" s="100">
        <v>30.0</v>
      </c>
      <c r="AR11" s="86">
        <v>480.0</v>
      </c>
      <c r="AS11" s="85"/>
      <c r="AT11" s="85"/>
      <c r="AU11" s="102">
        <v>1.0</v>
      </c>
      <c r="AV11" s="86">
        <v>16.0</v>
      </c>
      <c r="AW11" s="102">
        <v>27.0</v>
      </c>
      <c r="AX11" s="86">
        <v>432.0</v>
      </c>
    </row>
    <row r="12">
      <c r="A12" s="9">
        <v>6.0</v>
      </c>
      <c r="B12" s="311" t="s">
        <v>22</v>
      </c>
      <c r="C12" s="11" t="s">
        <v>153</v>
      </c>
      <c r="D12" s="11">
        <v>24.0</v>
      </c>
      <c r="E12" s="14" t="s">
        <v>8</v>
      </c>
      <c r="F12" s="11">
        <v>2018.0</v>
      </c>
      <c r="G12" s="11">
        <v>2018.0</v>
      </c>
      <c r="H12" s="11">
        <f>A4-F12</f>
        <v>8</v>
      </c>
      <c r="I12" s="51" t="s">
        <v>197</v>
      </c>
      <c r="J12" s="11">
        <v>7698.0</v>
      </c>
      <c r="K12" s="11" t="s">
        <v>159</v>
      </c>
      <c r="L12" s="11" t="s">
        <v>160</v>
      </c>
      <c r="M12" s="11" t="s">
        <v>161</v>
      </c>
      <c r="N12" s="11">
        <v>2018.0</v>
      </c>
      <c r="O12" s="11">
        <f>A4-N12</f>
        <v>8</v>
      </c>
      <c r="P12" s="11" t="s">
        <v>162</v>
      </c>
      <c r="Q12" s="11" t="s">
        <v>199</v>
      </c>
      <c r="R12" s="52" t="s">
        <v>226</v>
      </c>
      <c r="S12" s="52" t="s">
        <v>228</v>
      </c>
      <c r="T12" s="53">
        <v>46903.0</v>
      </c>
      <c r="U12" s="54" t="str">
        <f t="shared" si="1"/>
        <v>Berlaku</v>
      </c>
      <c r="V12" s="317">
        <v>46172.0</v>
      </c>
      <c r="W12" s="54" t="str">
        <f t="shared" si="2"/>
        <v>Habis</v>
      </c>
      <c r="X12" s="53">
        <v>46257.0</v>
      </c>
      <c r="Y12" s="54" t="str">
        <f t="shared" si="3"/>
        <v>Habis</v>
      </c>
      <c r="Z12" s="53">
        <v>46257.0</v>
      </c>
      <c r="AA12" s="54" t="str">
        <f t="shared" si="4"/>
        <v>Habis</v>
      </c>
      <c r="AB12" s="53">
        <f>VLOOKUP(B12,'DATA EXP TERA'!$C$3:$D$85,2,0)</f>
        <v>46507</v>
      </c>
      <c r="AC12" s="54" t="str">
        <f t="shared" si="5"/>
        <v>Berlaku</v>
      </c>
      <c r="AD12" s="315">
        <v>46340.0</v>
      </c>
      <c r="AE12" s="56" t="str">
        <f t="shared" si="6"/>
        <v>Berlaku</v>
      </c>
      <c r="AF12" s="96" t="s">
        <v>203</v>
      </c>
      <c r="AG12" s="57" t="s">
        <v>167</v>
      </c>
      <c r="AH12" s="54"/>
      <c r="AI12" s="58"/>
      <c r="AJ12" s="59"/>
      <c r="AK12" s="76"/>
      <c r="AL12" s="68" t="s">
        <v>237</v>
      </c>
      <c r="AM12" s="70">
        <v>8.0</v>
      </c>
      <c r="AN12" s="62"/>
      <c r="AO12" s="84">
        <v>4.0</v>
      </c>
      <c r="AP12" s="84">
        <v>32.0</v>
      </c>
      <c r="AQ12" s="86">
        <v>3.0</v>
      </c>
      <c r="AR12" s="86">
        <v>24.0</v>
      </c>
      <c r="AS12" s="86">
        <v>0.0</v>
      </c>
      <c r="AT12" s="86">
        <v>0.0</v>
      </c>
      <c r="AU12" s="86">
        <v>1.0</v>
      </c>
      <c r="AV12" s="86">
        <v>8.0</v>
      </c>
      <c r="AW12" s="86">
        <v>3.0</v>
      </c>
      <c r="AX12" s="86">
        <v>24.0</v>
      </c>
    </row>
    <row r="13">
      <c r="A13" s="9">
        <v>7.0</v>
      </c>
      <c r="B13" s="311" t="s">
        <v>24</v>
      </c>
      <c r="C13" s="19" t="s">
        <v>240</v>
      </c>
      <c r="D13" s="19">
        <v>16.0</v>
      </c>
      <c r="E13" s="14" t="s">
        <v>8</v>
      </c>
      <c r="F13" s="11">
        <v>2022.0</v>
      </c>
      <c r="G13" s="11">
        <v>2022.0</v>
      </c>
      <c r="H13" s="11">
        <f>A4-F13</f>
        <v>4</v>
      </c>
      <c r="I13" s="51" t="s">
        <v>242</v>
      </c>
      <c r="J13" s="11">
        <v>7684.0</v>
      </c>
      <c r="K13" s="11" t="s">
        <v>243</v>
      </c>
      <c r="L13" s="11" t="s">
        <v>160</v>
      </c>
      <c r="M13" s="11" t="s">
        <v>161</v>
      </c>
      <c r="N13" s="11">
        <v>2022.0</v>
      </c>
      <c r="O13" s="11">
        <f>A4-N13</f>
        <v>4</v>
      </c>
      <c r="P13" s="11" t="s">
        <v>245</v>
      </c>
      <c r="Q13" s="11" t="s">
        <v>163</v>
      </c>
      <c r="R13" s="52" t="s">
        <v>246</v>
      </c>
      <c r="S13" s="52" t="s">
        <v>248</v>
      </c>
      <c r="T13" s="319">
        <v>46730.0</v>
      </c>
      <c r="U13" s="54" t="str">
        <f t="shared" si="1"/>
        <v>Berlaku</v>
      </c>
      <c r="V13" s="320">
        <v>46365.0</v>
      </c>
      <c r="W13" s="54" t="str">
        <f t="shared" si="2"/>
        <v>Berlaku</v>
      </c>
      <c r="X13" s="321">
        <v>46303.0</v>
      </c>
      <c r="Y13" s="54" t="str">
        <f t="shared" si="3"/>
        <v>Akan Habis</v>
      </c>
      <c r="Z13" s="321">
        <v>46303.0</v>
      </c>
      <c r="AA13" s="54" t="str">
        <f t="shared" si="4"/>
        <v>Akan Habis</v>
      </c>
      <c r="AB13" s="53">
        <f>VLOOKUP(B13,'DATA EXP TERA'!$C$3:$D$85,2,0)</f>
        <v>46337</v>
      </c>
      <c r="AC13" s="54" t="str">
        <f t="shared" si="5"/>
        <v>Akan Habis</v>
      </c>
      <c r="AD13" s="315">
        <v>46161.0</v>
      </c>
      <c r="AE13" s="56" t="str">
        <f t="shared" si="6"/>
        <v>Habis</v>
      </c>
      <c r="AF13" s="57" t="s">
        <v>166</v>
      </c>
      <c r="AG13" s="57" t="s">
        <v>167</v>
      </c>
      <c r="AH13" s="113"/>
      <c r="AI13" s="115" t="s">
        <v>259</v>
      </c>
      <c r="AJ13" s="59"/>
      <c r="AK13" s="76"/>
      <c r="AL13" s="78" t="s">
        <v>260</v>
      </c>
      <c r="AM13" s="80">
        <v>5.0</v>
      </c>
      <c r="AN13" s="62"/>
      <c r="AO13" s="82"/>
      <c r="AP13" s="82"/>
      <c r="AQ13" s="85"/>
      <c r="AR13" s="85"/>
      <c r="AS13" s="85"/>
      <c r="AT13" s="85"/>
      <c r="AU13" s="85"/>
      <c r="AV13" s="85"/>
      <c r="AW13" s="116"/>
      <c r="AX13" s="116"/>
    </row>
    <row r="14">
      <c r="A14" s="9">
        <v>8.0</v>
      </c>
      <c r="B14" s="311" t="s">
        <v>26</v>
      </c>
      <c r="C14" s="22" t="s">
        <v>240</v>
      </c>
      <c r="D14" s="22">
        <v>16.0</v>
      </c>
      <c r="E14" s="24" t="s">
        <v>8</v>
      </c>
      <c r="F14" s="9">
        <v>2023.0</v>
      </c>
      <c r="G14" s="9">
        <v>2023.0</v>
      </c>
      <c r="H14" s="11">
        <f>A4-F14</f>
        <v>3</v>
      </c>
      <c r="I14" s="117" t="s">
        <v>265</v>
      </c>
      <c r="J14" s="9">
        <v>6374.0</v>
      </c>
      <c r="K14" s="9" t="s">
        <v>266</v>
      </c>
      <c r="L14" s="9" t="s">
        <v>160</v>
      </c>
      <c r="M14" s="9" t="s">
        <v>267</v>
      </c>
      <c r="N14" s="9">
        <v>2023.0</v>
      </c>
      <c r="O14" s="11">
        <f>A4-N14</f>
        <v>3</v>
      </c>
      <c r="P14" s="9" t="s">
        <v>245</v>
      </c>
      <c r="Q14" s="9" t="s">
        <v>270</v>
      </c>
      <c r="R14" s="118" t="s">
        <v>271</v>
      </c>
      <c r="S14" s="118" t="s">
        <v>273</v>
      </c>
      <c r="T14" s="53">
        <v>47025.0</v>
      </c>
      <c r="U14" s="54" t="str">
        <f t="shared" si="1"/>
        <v>Berlaku</v>
      </c>
      <c r="V14" s="317">
        <v>46294.0</v>
      </c>
      <c r="W14" s="54" t="str">
        <f t="shared" si="2"/>
        <v>Habis</v>
      </c>
      <c r="X14" s="53">
        <v>46271.0</v>
      </c>
      <c r="Y14" s="54" t="str">
        <f t="shared" si="3"/>
        <v>Habis</v>
      </c>
      <c r="Z14" s="53">
        <v>46271.0</v>
      </c>
      <c r="AA14" s="54" t="str">
        <f t="shared" si="4"/>
        <v>Habis</v>
      </c>
      <c r="AB14" s="53">
        <f>VLOOKUP(B14,'DATA EXP TERA'!$C$3:$D$85,2,0)</f>
        <v>46688</v>
      </c>
      <c r="AC14" s="54" t="str">
        <f t="shared" si="5"/>
        <v>Berlaku</v>
      </c>
      <c r="AD14" s="315">
        <v>46281.0</v>
      </c>
      <c r="AE14" s="56" t="str">
        <f t="shared" si="6"/>
        <v>Habis</v>
      </c>
      <c r="AF14" s="57" t="s">
        <v>166</v>
      </c>
      <c r="AG14" s="57" t="s">
        <v>167</v>
      </c>
      <c r="AH14" s="24"/>
      <c r="AI14" s="115" t="s">
        <v>281</v>
      </c>
      <c r="AJ14" s="119"/>
      <c r="AK14" s="76"/>
      <c r="AL14" s="120"/>
      <c r="AM14" s="70" t="s">
        <v>284</v>
      </c>
      <c r="AN14" s="62"/>
      <c r="AO14" s="121"/>
      <c r="AP14" s="121"/>
      <c r="AQ14" s="123"/>
      <c r="AR14" s="123"/>
      <c r="AS14" s="123"/>
      <c r="AT14" s="123"/>
      <c r="AU14" s="123"/>
      <c r="AV14" s="123"/>
      <c r="AW14" s="123"/>
      <c r="AX14" s="123"/>
    </row>
    <row r="15">
      <c r="A15" s="9">
        <v>9.0</v>
      </c>
      <c r="B15" s="311" t="s">
        <v>28</v>
      </c>
      <c r="C15" s="22" t="s">
        <v>240</v>
      </c>
      <c r="D15" s="22">
        <v>16.0</v>
      </c>
      <c r="E15" s="24" t="s">
        <v>8</v>
      </c>
      <c r="F15" s="9">
        <v>2023.0</v>
      </c>
      <c r="G15" s="9">
        <v>2023.0</v>
      </c>
      <c r="H15" s="11">
        <f>A4-F15</f>
        <v>3</v>
      </c>
      <c r="I15" s="117" t="s">
        <v>265</v>
      </c>
      <c r="J15" s="9">
        <v>6374.0</v>
      </c>
      <c r="K15" s="9" t="s">
        <v>266</v>
      </c>
      <c r="L15" s="9" t="s">
        <v>160</v>
      </c>
      <c r="M15" s="9" t="s">
        <v>267</v>
      </c>
      <c r="N15" s="9">
        <v>2023.0</v>
      </c>
      <c r="O15" s="11">
        <f>A4-N15</f>
        <v>3</v>
      </c>
      <c r="P15" s="9" t="s">
        <v>245</v>
      </c>
      <c r="Q15" s="9" t="s">
        <v>270</v>
      </c>
      <c r="R15" s="118" t="s">
        <v>291</v>
      </c>
      <c r="S15" s="118" t="s">
        <v>292</v>
      </c>
      <c r="T15" s="53">
        <v>47025.0</v>
      </c>
      <c r="U15" s="54" t="str">
        <f t="shared" si="1"/>
        <v>Berlaku</v>
      </c>
      <c r="V15" s="317">
        <v>46294.0</v>
      </c>
      <c r="W15" s="54" t="str">
        <f t="shared" si="2"/>
        <v>Habis</v>
      </c>
      <c r="X15" s="53">
        <v>46271.0</v>
      </c>
      <c r="Y15" s="54" t="str">
        <f t="shared" si="3"/>
        <v>Habis</v>
      </c>
      <c r="Z15" s="53">
        <v>46271.0</v>
      </c>
      <c r="AA15" s="54" t="str">
        <f t="shared" si="4"/>
        <v>Habis</v>
      </c>
      <c r="AB15" s="53">
        <f>VLOOKUP(B15,'DATA EXP TERA'!$C$3:$D$85,2,0)</f>
        <v>46684</v>
      </c>
      <c r="AC15" s="54" t="str">
        <f t="shared" si="5"/>
        <v>Berlaku</v>
      </c>
      <c r="AD15" s="315">
        <v>46281.0</v>
      </c>
      <c r="AE15" s="56" t="str">
        <f t="shared" si="6"/>
        <v>Habis</v>
      </c>
      <c r="AF15" s="57" t="s">
        <v>166</v>
      </c>
      <c r="AG15" s="57" t="s">
        <v>167</v>
      </c>
      <c r="AH15" s="24"/>
      <c r="AI15" s="115" t="s">
        <v>302</v>
      </c>
      <c r="AJ15" s="119"/>
      <c r="AK15" s="129"/>
      <c r="AL15" s="131" t="s">
        <v>304</v>
      </c>
      <c r="AM15" s="61"/>
      <c r="AN15" s="62"/>
      <c r="AO15" s="132">
        <f t="shared" ref="AO15:AR15" si="7">SUM(AO10:AO12)</f>
        <v>85</v>
      </c>
      <c r="AP15" s="132">
        <f t="shared" si="7"/>
        <v>1720</v>
      </c>
      <c r="AQ15" s="132">
        <f t="shared" si="7"/>
        <v>80</v>
      </c>
      <c r="AR15" s="132">
        <f t="shared" si="7"/>
        <v>1632</v>
      </c>
      <c r="AS15" s="132">
        <v>0.0</v>
      </c>
      <c r="AT15" s="132">
        <v>0.0</v>
      </c>
      <c r="AU15" s="132">
        <f>sum(AU10:AU12)</f>
        <v>7</v>
      </c>
      <c r="AV15" s="132">
        <f>SUM(AV10:AV12)</f>
        <v>144</v>
      </c>
      <c r="AW15" s="132">
        <v>78.0</v>
      </c>
      <c r="AX15" s="132">
        <v>1608.0</v>
      </c>
    </row>
    <row r="16">
      <c r="A16" s="9">
        <v>10.0</v>
      </c>
      <c r="B16" s="52" t="s">
        <v>31</v>
      </c>
      <c r="C16" s="11" t="s">
        <v>153</v>
      </c>
      <c r="D16" s="11">
        <v>24.0</v>
      </c>
      <c r="E16" s="14" t="s">
        <v>8</v>
      </c>
      <c r="F16" s="11">
        <v>2022.0</v>
      </c>
      <c r="G16" s="11">
        <v>2022.0</v>
      </c>
      <c r="H16" s="11">
        <f>A4-F16</f>
        <v>4</v>
      </c>
      <c r="I16" s="51" t="s">
        <v>309</v>
      </c>
      <c r="J16" s="11">
        <v>7684.0</v>
      </c>
      <c r="K16" s="11" t="s">
        <v>243</v>
      </c>
      <c r="L16" s="11" t="s">
        <v>160</v>
      </c>
      <c r="M16" s="11" t="s">
        <v>267</v>
      </c>
      <c r="N16" s="11">
        <v>2022.0</v>
      </c>
      <c r="O16" s="11">
        <f>A4-N16</f>
        <v>4</v>
      </c>
      <c r="P16" s="11" t="s">
        <v>162</v>
      </c>
      <c r="Q16" s="11" t="s">
        <v>163</v>
      </c>
      <c r="R16" s="52" t="s">
        <v>310</v>
      </c>
      <c r="S16" s="52" t="s">
        <v>311</v>
      </c>
      <c r="T16" s="53">
        <v>46713.0</v>
      </c>
      <c r="U16" s="54" t="str">
        <f t="shared" si="1"/>
        <v>Berlaku</v>
      </c>
      <c r="V16" s="317">
        <v>46348.0</v>
      </c>
      <c r="W16" s="54" t="str">
        <f t="shared" si="2"/>
        <v>Berlaku</v>
      </c>
      <c r="X16" s="321">
        <v>46303.0</v>
      </c>
      <c r="Y16" s="54" t="str">
        <f t="shared" si="3"/>
        <v>Akan Habis</v>
      </c>
      <c r="Z16" s="321">
        <v>46303.0</v>
      </c>
      <c r="AA16" s="54" t="str">
        <f t="shared" si="4"/>
        <v>Akan Habis</v>
      </c>
      <c r="AB16" s="53">
        <f>VLOOKUP(B16,'DATA EXP TERA'!$C$3:$D$85,2,0)</f>
        <v>46548</v>
      </c>
      <c r="AC16" s="54" t="str">
        <f t="shared" si="5"/>
        <v>Berlaku</v>
      </c>
      <c r="AD16" s="315">
        <v>46311.0</v>
      </c>
      <c r="AE16" s="56" t="str">
        <f t="shared" si="6"/>
        <v>Akan Habis</v>
      </c>
      <c r="AF16" s="57" t="s">
        <v>166</v>
      </c>
      <c r="AG16" s="57" t="s">
        <v>167</v>
      </c>
      <c r="AH16" s="133"/>
      <c r="AI16" s="115" t="s">
        <v>312</v>
      </c>
      <c r="AJ16" s="59"/>
      <c r="AK16" s="134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2"/>
    </row>
    <row r="17">
      <c r="A17" s="9">
        <v>11.0</v>
      </c>
      <c r="B17" s="311" t="s">
        <v>33</v>
      </c>
      <c r="C17" s="11" t="s">
        <v>153</v>
      </c>
      <c r="D17" s="11">
        <v>24.0</v>
      </c>
      <c r="E17" s="14" t="s">
        <v>8</v>
      </c>
      <c r="F17" s="11">
        <v>2022.0</v>
      </c>
      <c r="G17" s="11">
        <v>2022.0</v>
      </c>
      <c r="H17" s="11">
        <f>A4-F17</f>
        <v>4</v>
      </c>
      <c r="I17" s="51" t="s">
        <v>309</v>
      </c>
      <c r="J17" s="11">
        <v>7684.0</v>
      </c>
      <c r="K17" s="11" t="s">
        <v>243</v>
      </c>
      <c r="L17" s="11" t="s">
        <v>160</v>
      </c>
      <c r="M17" s="11" t="s">
        <v>267</v>
      </c>
      <c r="N17" s="11">
        <v>2022.0</v>
      </c>
      <c r="O17" s="11">
        <f>A4-N17</f>
        <v>4</v>
      </c>
      <c r="P17" s="11" t="s">
        <v>162</v>
      </c>
      <c r="Q17" s="11" t="s">
        <v>163</v>
      </c>
      <c r="R17" s="52" t="s">
        <v>313</v>
      </c>
      <c r="S17" s="52" t="s">
        <v>314</v>
      </c>
      <c r="T17" s="53">
        <v>46680.0</v>
      </c>
      <c r="U17" s="54" t="str">
        <f t="shared" si="1"/>
        <v>Berlaku</v>
      </c>
      <c r="V17" s="317">
        <v>46315.0</v>
      </c>
      <c r="W17" s="54" t="str">
        <f t="shared" si="2"/>
        <v>Akan Habis</v>
      </c>
      <c r="X17" s="321">
        <v>46303.0</v>
      </c>
      <c r="Y17" s="54" t="str">
        <f t="shared" si="3"/>
        <v>Akan Habis</v>
      </c>
      <c r="Z17" s="321">
        <v>46303.0</v>
      </c>
      <c r="AA17" s="54" t="str">
        <f t="shared" si="4"/>
        <v>Akan Habis</v>
      </c>
      <c r="AB17" s="53">
        <f>VLOOKUP(B17,'DATA EXP TERA'!$C$3:$D$85,2,0)</f>
        <v>46402</v>
      </c>
      <c r="AC17" s="54" t="str">
        <f t="shared" si="5"/>
        <v>Berlaku</v>
      </c>
      <c r="AD17" s="315">
        <v>46311.0</v>
      </c>
      <c r="AE17" s="56" t="str">
        <f t="shared" si="6"/>
        <v>Akan Habis</v>
      </c>
      <c r="AF17" s="57" t="s">
        <v>166</v>
      </c>
      <c r="AG17" s="57" t="s">
        <v>167</v>
      </c>
      <c r="AH17" s="133"/>
      <c r="AI17" s="115" t="s">
        <v>315</v>
      </c>
      <c r="AJ17" s="59"/>
      <c r="AK17" s="135" t="s">
        <v>316</v>
      </c>
      <c r="AL17" s="78" t="s">
        <v>195</v>
      </c>
      <c r="AM17" s="80">
        <v>24.0</v>
      </c>
      <c r="AN17" s="62"/>
      <c r="AO17" s="82"/>
      <c r="AP17" s="82"/>
      <c r="AQ17" s="136"/>
      <c r="AR17" s="85"/>
      <c r="AS17" s="85"/>
      <c r="AT17" s="85"/>
      <c r="AU17" s="85"/>
      <c r="AV17" s="85"/>
      <c r="AW17" s="85"/>
      <c r="AX17" s="85"/>
    </row>
    <row r="18">
      <c r="A18" s="9">
        <v>12.0</v>
      </c>
      <c r="B18" s="311" t="s">
        <v>35</v>
      </c>
      <c r="C18" s="11" t="s">
        <v>153</v>
      </c>
      <c r="D18" s="11">
        <v>24.0</v>
      </c>
      <c r="E18" s="26" t="s">
        <v>36</v>
      </c>
      <c r="F18" s="19">
        <v>2022.0</v>
      </c>
      <c r="G18" s="19">
        <v>2022.0</v>
      </c>
      <c r="H18" s="11">
        <f>A4-F18</f>
        <v>4</v>
      </c>
      <c r="I18" s="137" t="s">
        <v>317</v>
      </c>
      <c r="J18" s="19">
        <v>7960.0</v>
      </c>
      <c r="K18" s="11" t="s">
        <v>243</v>
      </c>
      <c r="L18" s="11" t="s">
        <v>160</v>
      </c>
      <c r="M18" s="11" t="s">
        <v>267</v>
      </c>
      <c r="N18" s="11">
        <v>2012.0</v>
      </c>
      <c r="O18" s="11">
        <f>A4-N18</f>
        <v>14</v>
      </c>
      <c r="P18" s="11" t="s">
        <v>162</v>
      </c>
      <c r="Q18" s="19" t="s">
        <v>163</v>
      </c>
      <c r="R18" s="115" t="s">
        <v>318</v>
      </c>
      <c r="S18" s="115" t="s">
        <v>319</v>
      </c>
      <c r="T18" s="322">
        <v>46708.0</v>
      </c>
      <c r="U18" s="54" t="str">
        <f t="shared" si="1"/>
        <v>Berlaku</v>
      </c>
      <c r="V18" s="323">
        <v>46343.0</v>
      </c>
      <c r="W18" s="54" t="str">
        <f t="shared" si="2"/>
        <v>Akan Habis</v>
      </c>
      <c r="X18" s="324">
        <v>46174.0</v>
      </c>
      <c r="Y18" s="54" t="str">
        <f t="shared" si="3"/>
        <v>Habis</v>
      </c>
      <c r="Z18" s="53">
        <v>46177.0</v>
      </c>
      <c r="AA18" s="54" t="str">
        <f t="shared" si="4"/>
        <v>Habis</v>
      </c>
      <c r="AB18" s="53">
        <f>VLOOKUP(B18,'DATA EXP TERA'!$C$3:$D$85,2,0)</f>
        <v>46339</v>
      </c>
      <c r="AC18" s="54" t="str">
        <f t="shared" si="5"/>
        <v>Akan Habis</v>
      </c>
      <c r="AD18" s="315">
        <v>46340.0</v>
      </c>
      <c r="AE18" s="56" t="str">
        <f t="shared" si="6"/>
        <v>Berlaku</v>
      </c>
      <c r="AF18" s="57" t="s">
        <v>166</v>
      </c>
      <c r="AG18" s="57" t="s">
        <v>167</v>
      </c>
      <c r="AH18" s="26"/>
      <c r="AI18" s="58"/>
      <c r="AJ18" s="138"/>
      <c r="AK18" s="76"/>
      <c r="AL18" s="78" t="s">
        <v>221</v>
      </c>
      <c r="AM18" s="70">
        <v>8.0</v>
      </c>
      <c r="AN18" s="62"/>
      <c r="AO18" s="82"/>
      <c r="AP18" s="82"/>
      <c r="AQ18" s="136"/>
      <c r="AR18" s="85"/>
      <c r="AS18" s="85"/>
      <c r="AT18" s="85"/>
      <c r="AU18" s="85"/>
      <c r="AV18" s="85"/>
      <c r="AW18" s="85"/>
      <c r="AX18" s="85"/>
    </row>
    <row r="19">
      <c r="A19" s="9">
        <v>13.0</v>
      </c>
      <c r="B19" s="311" t="s">
        <v>38</v>
      </c>
      <c r="C19" s="9" t="s">
        <v>153</v>
      </c>
      <c r="D19" s="9">
        <v>24.0</v>
      </c>
      <c r="E19" s="29" t="s">
        <v>39</v>
      </c>
      <c r="F19" s="22">
        <v>2023.0</v>
      </c>
      <c r="G19" s="22">
        <v>2023.0</v>
      </c>
      <c r="H19" s="11">
        <f>A4-F19</f>
        <v>3</v>
      </c>
      <c r="I19" s="139" t="s">
        <v>309</v>
      </c>
      <c r="J19" s="19">
        <v>7685.0</v>
      </c>
      <c r="K19" s="11" t="s">
        <v>243</v>
      </c>
      <c r="L19" s="9" t="s">
        <v>160</v>
      </c>
      <c r="M19" s="11" t="s">
        <v>161</v>
      </c>
      <c r="N19" s="9">
        <v>2023.0</v>
      </c>
      <c r="O19" s="11">
        <f>A4-N19</f>
        <v>3</v>
      </c>
      <c r="P19" s="9" t="s">
        <v>162</v>
      </c>
      <c r="Q19" s="22" t="s">
        <v>163</v>
      </c>
      <c r="R19" s="140" t="s">
        <v>320</v>
      </c>
      <c r="S19" s="140" t="s">
        <v>321</v>
      </c>
      <c r="T19" s="325">
        <v>46913.0</v>
      </c>
      <c r="U19" s="54" t="str">
        <f t="shared" si="1"/>
        <v>Berlaku</v>
      </c>
      <c r="V19" s="324">
        <v>46182.0</v>
      </c>
      <c r="W19" s="54" t="str">
        <f t="shared" si="2"/>
        <v>Habis</v>
      </c>
      <c r="X19" s="323">
        <v>46258.0</v>
      </c>
      <c r="Y19" s="54" t="str">
        <f t="shared" si="3"/>
        <v>Habis</v>
      </c>
      <c r="Z19" s="323">
        <v>46258.0</v>
      </c>
      <c r="AA19" s="54" t="str">
        <f t="shared" si="4"/>
        <v>Habis</v>
      </c>
      <c r="AB19" s="53">
        <f>VLOOKUP(B19,'DATA EXP TERA'!$C$3:$D$85,2,0)</f>
        <v>46669</v>
      </c>
      <c r="AC19" s="54" t="str">
        <f t="shared" si="5"/>
        <v>Berlaku</v>
      </c>
      <c r="AD19" s="315">
        <v>46258.0</v>
      </c>
      <c r="AE19" s="56" t="str">
        <f t="shared" si="6"/>
        <v>Habis</v>
      </c>
      <c r="AF19" s="96" t="s">
        <v>322</v>
      </c>
      <c r="AG19" s="57" t="s">
        <v>167</v>
      </c>
      <c r="AH19" s="141"/>
      <c r="AI19" s="115" t="s">
        <v>323</v>
      </c>
      <c r="AJ19" s="138"/>
      <c r="AK19" s="76"/>
      <c r="AL19" s="142" t="s">
        <v>237</v>
      </c>
      <c r="AM19" s="80">
        <v>5.0</v>
      </c>
      <c r="AN19" s="62"/>
      <c r="AO19" s="121"/>
      <c r="AP19" s="121"/>
      <c r="AQ19" s="143"/>
      <c r="AR19" s="123"/>
      <c r="AS19" s="123"/>
      <c r="AT19" s="123"/>
      <c r="AU19" s="123"/>
      <c r="AV19" s="123"/>
      <c r="AW19" s="123"/>
      <c r="AX19" s="123"/>
    </row>
    <row r="20">
      <c r="A20" s="9">
        <v>14.0</v>
      </c>
      <c r="B20" s="311" t="s">
        <v>41</v>
      </c>
      <c r="C20" s="22" t="s">
        <v>324</v>
      </c>
      <c r="D20" s="22">
        <v>8.0</v>
      </c>
      <c r="E20" s="29" t="s">
        <v>39</v>
      </c>
      <c r="F20" s="22">
        <v>2022.0</v>
      </c>
      <c r="G20" s="22">
        <v>2023.0</v>
      </c>
      <c r="H20" s="11">
        <f>A4-F20</f>
        <v>4</v>
      </c>
      <c r="I20" s="139" t="s">
        <v>325</v>
      </c>
      <c r="J20" s="22">
        <v>7684.0</v>
      </c>
      <c r="K20" s="11" t="s">
        <v>243</v>
      </c>
      <c r="L20" s="9" t="s">
        <v>160</v>
      </c>
      <c r="M20" s="11" t="s">
        <v>161</v>
      </c>
      <c r="N20" s="9">
        <v>2023.0</v>
      </c>
      <c r="O20" s="11">
        <f>A4-N20</f>
        <v>3</v>
      </c>
      <c r="P20" s="22" t="s">
        <v>245</v>
      </c>
      <c r="Q20" s="22" t="s">
        <v>163</v>
      </c>
      <c r="R20" s="140" t="s">
        <v>326</v>
      </c>
      <c r="S20" s="140" t="s">
        <v>327</v>
      </c>
      <c r="T20" s="326">
        <v>46981.0</v>
      </c>
      <c r="U20" s="54" t="str">
        <f t="shared" si="1"/>
        <v>Berlaku</v>
      </c>
      <c r="V20" s="323">
        <v>46250.0</v>
      </c>
      <c r="W20" s="54" t="str">
        <f t="shared" si="2"/>
        <v>Habis</v>
      </c>
      <c r="X20" s="323">
        <v>46258.0</v>
      </c>
      <c r="Y20" s="54" t="str">
        <f t="shared" si="3"/>
        <v>Habis</v>
      </c>
      <c r="Z20" s="323">
        <v>46258.0</v>
      </c>
      <c r="AA20" s="54" t="str">
        <f t="shared" si="4"/>
        <v>Habis</v>
      </c>
      <c r="AB20" s="53">
        <f>VLOOKUP(B20,'DATA EXP TERA'!$C$3:$D$85,2,0)</f>
        <v>46684</v>
      </c>
      <c r="AC20" s="54" t="str">
        <f t="shared" si="5"/>
        <v>Berlaku</v>
      </c>
      <c r="AD20" s="315">
        <v>46340.0</v>
      </c>
      <c r="AE20" s="56" t="str">
        <f t="shared" si="6"/>
        <v>Berlaku</v>
      </c>
      <c r="AF20" s="96" t="s">
        <v>322</v>
      </c>
      <c r="AG20" s="57" t="s">
        <v>167</v>
      </c>
      <c r="AH20" s="141"/>
      <c r="AI20" s="115" t="s">
        <v>328</v>
      </c>
      <c r="AJ20" s="138"/>
      <c r="AK20" s="129"/>
      <c r="AL20" s="131" t="s">
        <v>304</v>
      </c>
      <c r="AM20" s="61"/>
      <c r="AN20" s="61"/>
      <c r="AO20" s="144">
        <v>0.0</v>
      </c>
      <c r="AP20" s="144">
        <v>0.0</v>
      </c>
      <c r="AQ20" s="144">
        <v>0.0</v>
      </c>
      <c r="AR20" s="144">
        <v>0.0</v>
      </c>
      <c r="AS20" s="144">
        <v>0.0</v>
      </c>
      <c r="AT20" s="144">
        <v>0.0</v>
      </c>
      <c r="AU20" s="144">
        <v>0.0</v>
      </c>
      <c r="AV20" s="144">
        <v>0.0</v>
      </c>
      <c r="AW20" s="144">
        <v>0.0</v>
      </c>
      <c r="AX20" s="144">
        <v>0.0</v>
      </c>
    </row>
    <row r="21">
      <c r="A21" s="9">
        <v>15.0</v>
      </c>
      <c r="B21" s="311" t="s">
        <v>44</v>
      </c>
      <c r="C21" s="22" t="s">
        <v>240</v>
      </c>
      <c r="D21" s="22">
        <v>16.0</v>
      </c>
      <c r="E21" s="29" t="s">
        <v>39</v>
      </c>
      <c r="F21" s="22">
        <v>2018.0</v>
      </c>
      <c r="G21" s="22">
        <v>2018.0</v>
      </c>
      <c r="H21" s="11">
        <f>A4-F21</f>
        <v>8</v>
      </c>
      <c r="I21" s="139" t="s">
        <v>329</v>
      </c>
      <c r="J21" s="22">
        <v>7698.0</v>
      </c>
      <c r="K21" s="11" t="s">
        <v>159</v>
      </c>
      <c r="L21" s="9" t="s">
        <v>316</v>
      </c>
      <c r="M21" s="11" t="s">
        <v>161</v>
      </c>
      <c r="N21" s="9">
        <v>2018.0</v>
      </c>
      <c r="O21" s="11">
        <f>A4-N21</f>
        <v>8</v>
      </c>
      <c r="P21" s="22" t="s">
        <v>245</v>
      </c>
      <c r="Q21" s="22" t="s">
        <v>199</v>
      </c>
      <c r="R21" s="140" t="s">
        <v>330</v>
      </c>
      <c r="S21" s="140" t="s">
        <v>331</v>
      </c>
      <c r="T21" s="325">
        <v>46877.0</v>
      </c>
      <c r="U21" s="54" t="str">
        <f t="shared" si="1"/>
        <v>Berlaku</v>
      </c>
      <c r="V21" s="324">
        <v>46511.0</v>
      </c>
      <c r="W21" s="54" t="str">
        <f t="shared" si="2"/>
        <v>Berlaku</v>
      </c>
      <c r="X21" s="324">
        <v>46259.0</v>
      </c>
      <c r="Y21" s="54" t="str">
        <f t="shared" si="3"/>
        <v>Habis</v>
      </c>
      <c r="Z21" s="324">
        <v>46259.0</v>
      </c>
      <c r="AA21" s="54" t="str">
        <f t="shared" si="4"/>
        <v>Habis</v>
      </c>
      <c r="AB21" s="53">
        <f>VLOOKUP(B21,'DATA EXP TERA'!$C$3:$D$85,2,0)</f>
        <v>46234</v>
      </c>
      <c r="AC21" s="54" t="str">
        <f t="shared" si="5"/>
        <v>Habis</v>
      </c>
      <c r="AD21" s="315">
        <v>46340.0</v>
      </c>
      <c r="AE21" s="56" t="str">
        <f t="shared" si="6"/>
        <v>Berlaku</v>
      </c>
      <c r="AF21" s="96" t="s">
        <v>322</v>
      </c>
      <c r="AG21" s="57" t="s">
        <v>167</v>
      </c>
      <c r="AH21" s="145"/>
      <c r="AI21" s="58"/>
      <c r="AJ21" s="146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</row>
    <row r="22">
      <c r="A22" s="9">
        <v>16.0</v>
      </c>
      <c r="B22" s="311" t="s">
        <v>46</v>
      </c>
      <c r="C22" s="11" t="s">
        <v>153</v>
      </c>
      <c r="D22" s="11">
        <v>24.0</v>
      </c>
      <c r="E22" s="14" t="s">
        <v>47</v>
      </c>
      <c r="F22" s="11">
        <v>2022.0</v>
      </c>
      <c r="G22" s="11">
        <v>2022.0</v>
      </c>
      <c r="H22" s="11">
        <f>A4-F22</f>
        <v>4</v>
      </c>
      <c r="I22" s="51" t="s">
        <v>309</v>
      </c>
      <c r="J22" s="11">
        <v>7684.0</v>
      </c>
      <c r="K22" s="11" t="s">
        <v>243</v>
      </c>
      <c r="L22" s="11" t="s">
        <v>160</v>
      </c>
      <c r="M22" s="11" t="s">
        <v>332</v>
      </c>
      <c r="N22" s="11">
        <v>2012.0</v>
      </c>
      <c r="O22" s="11">
        <f>A4-N22</f>
        <v>14</v>
      </c>
      <c r="P22" s="11" t="s">
        <v>162</v>
      </c>
      <c r="Q22" s="11" t="s">
        <v>163</v>
      </c>
      <c r="R22" s="52" t="s">
        <v>333</v>
      </c>
      <c r="S22" s="52" t="s">
        <v>334</v>
      </c>
      <c r="T22" s="321">
        <v>46672.0</v>
      </c>
      <c r="U22" s="54" t="str">
        <f t="shared" si="1"/>
        <v>Berlaku</v>
      </c>
      <c r="V22" s="317">
        <v>46307.0</v>
      </c>
      <c r="W22" s="54" t="str">
        <f t="shared" si="2"/>
        <v>Akan Habis</v>
      </c>
      <c r="X22" s="320">
        <v>46315.0</v>
      </c>
      <c r="Y22" s="54" t="str">
        <f t="shared" si="3"/>
        <v>Akan Habis</v>
      </c>
      <c r="Z22" s="320">
        <v>46315.0</v>
      </c>
      <c r="AA22" s="54" t="str">
        <f t="shared" si="4"/>
        <v>Akan Habis</v>
      </c>
      <c r="AB22" s="53">
        <f>VLOOKUP(B22,'DATA EXP TERA'!$C$3:$D$85,2,0)</f>
        <v>46437</v>
      </c>
      <c r="AC22" s="54" t="str">
        <f t="shared" si="5"/>
        <v>Berlaku</v>
      </c>
      <c r="AD22" s="315">
        <v>46340.0</v>
      </c>
      <c r="AE22" s="56" t="str">
        <f t="shared" si="6"/>
        <v>Berlaku</v>
      </c>
      <c r="AF22" s="57" t="s">
        <v>166</v>
      </c>
      <c r="AG22" s="57" t="s">
        <v>167</v>
      </c>
      <c r="AH22" s="147"/>
      <c r="AI22" s="115" t="s">
        <v>335</v>
      </c>
      <c r="AJ22" s="146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</row>
    <row r="23">
      <c r="A23" s="9">
        <v>17.0</v>
      </c>
      <c r="B23" s="311" t="s">
        <v>51</v>
      </c>
      <c r="C23" s="11" t="s">
        <v>153</v>
      </c>
      <c r="D23" s="11">
        <v>24.0</v>
      </c>
      <c r="E23" s="14" t="s">
        <v>47</v>
      </c>
      <c r="F23" s="11">
        <v>2023.0</v>
      </c>
      <c r="G23" s="11">
        <v>2023.0</v>
      </c>
      <c r="H23" s="11">
        <f>A4-F23</f>
        <v>3</v>
      </c>
      <c r="I23" s="117" t="s">
        <v>336</v>
      </c>
      <c r="J23" s="11">
        <v>6374.0</v>
      </c>
      <c r="K23" s="11" t="s">
        <v>266</v>
      </c>
      <c r="L23" s="11" t="s">
        <v>160</v>
      </c>
      <c r="M23" s="11" t="s">
        <v>332</v>
      </c>
      <c r="N23" s="11">
        <v>2012.0</v>
      </c>
      <c r="O23" s="11">
        <f>A4-N23</f>
        <v>14</v>
      </c>
      <c r="P23" s="11" t="s">
        <v>162</v>
      </c>
      <c r="Q23" s="11" t="s">
        <v>270</v>
      </c>
      <c r="R23" s="52" t="s">
        <v>337</v>
      </c>
      <c r="S23" s="52" t="s">
        <v>338</v>
      </c>
      <c r="T23" s="318">
        <v>46875.0</v>
      </c>
      <c r="U23" s="54" t="str">
        <f t="shared" si="1"/>
        <v>Berlaku</v>
      </c>
      <c r="V23" s="320">
        <v>46509.0</v>
      </c>
      <c r="W23" s="54" t="str">
        <f t="shared" si="2"/>
        <v>Berlaku</v>
      </c>
      <c r="X23" s="323">
        <v>46185.0</v>
      </c>
      <c r="Y23" s="54" t="str">
        <f t="shared" si="3"/>
        <v>Habis</v>
      </c>
      <c r="Z23" s="53">
        <v>46183.0</v>
      </c>
      <c r="AA23" s="54" t="str">
        <f t="shared" si="4"/>
        <v>Habis</v>
      </c>
      <c r="AB23" s="53">
        <f>VLOOKUP(B23,'DATA EXP TERA'!$C$3:$D$85,2,0)</f>
        <v>46586</v>
      </c>
      <c r="AC23" s="54" t="str">
        <f t="shared" si="5"/>
        <v>Berlaku</v>
      </c>
      <c r="AD23" s="315">
        <v>46340.0</v>
      </c>
      <c r="AE23" s="56" t="str">
        <f t="shared" si="6"/>
        <v>Berlaku</v>
      </c>
      <c r="AF23" s="57" t="s">
        <v>166</v>
      </c>
      <c r="AG23" s="57" t="s">
        <v>167</v>
      </c>
      <c r="AH23" s="14"/>
      <c r="AI23" s="115" t="s">
        <v>339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</row>
    <row r="24">
      <c r="A24" s="9">
        <v>18.0</v>
      </c>
      <c r="B24" s="311" t="s">
        <v>53</v>
      </c>
      <c r="C24" s="11" t="s">
        <v>153</v>
      </c>
      <c r="D24" s="11">
        <v>24.0</v>
      </c>
      <c r="E24" s="14" t="s">
        <v>47</v>
      </c>
      <c r="F24" s="11">
        <v>2023.0</v>
      </c>
      <c r="G24" s="11">
        <v>2023.0</v>
      </c>
      <c r="H24" s="11">
        <f>A4-F24</f>
        <v>3</v>
      </c>
      <c r="I24" s="117" t="s">
        <v>336</v>
      </c>
      <c r="J24" s="11">
        <v>6374.0</v>
      </c>
      <c r="K24" s="11" t="s">
        <v>266</v>
      </c>
      <c r="L24" s="11" t="s">
        <v>160</v>
      </c>
      <c r="M24" s="11" t="s">
        <v>161</v>
      </c>
      <c r="N24" s="11">
        <v>2013.0</v>
      </c>
      <c r="O24" s="11">
        <f>A4-N24</f>
        <v>13</v>
      </c>
      <c r="P24" s="11" t="s">
        <v>162</v>
      </c>
      <c r="Q24" s="11" t="s">
        <v>270</v>
      </c>
      <c r="R24" s="52" t="s">
        <v>340</v>
      </c>
      <c r="S24" s="52" t="s">
        <v>341</v>
      </c>
      <c r="T24" s="321">
        <v>47114.0</v>
      </c>
      <c r="U24" s="54" t="str">
        <f t="shared" si="1"/>
        <v>Berlaku</v>
      </c>
      <c r="V24" s="317">
        <v>46383.0</v>
      </c>
      <c r="W24" s="54" t="str">
        <f t="shared" si="2"/>
        <v>Berlaku</v>
      </c>
      <c r="X24" s="324">
        <v>46331.0</v>
      </c>
      <c r="Y24" s="54" t="str">
        <f t="shared" si="3"/>
        <v>Akan Habis</v>
      </c>
      <c r="Z24" s="324">
        <v>46331.0</v>
      </c>
      <c r="AA24" s="54" t="str">
        <f t="shared" si="4"/>
        <v>Berlaku</v>
      </c>
      <c r="AB24" s="53">
        <f>VLOOKUP(B24,'DATA EXP TERA'!$C$3:$D$85,2,0)</f>
        <v>46178</v>
      </c>
      <c r="AC24" s="54" t="str">
        <f t="shared" si="5"/>
        <v>Habis</v>
      </c>
      <c r="AD24" s="315">
        <v>46178.0</v>
      </c>
      <c r="AE24" s="56" t="str">
        <f t="shared" si="6"/>
        <v>Habis</v>
      </c>
      <c r="AF24" s="57" t="s">
        <v>166</v>
      </c>
      <c r="AG24" s="57" t="s">
        <v>167</v>
      </c>
      <c r="AH24" s="14"/>
      <c r="AI24" s="115" t="s">
        <v>342</v>
      </c>
      <c r="AJ24" s="59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</row>
    <row r="25">
      <c r="A25" s="9">
        <v>19.0</v>
      </c>
      <c r="B25" s="311" t="s">
        <v>54</v>
      </c>
      <c r="C25" s="11" t="s">
        <v>153</v>
      </c>
      <c r="D25" s="11">
        <v>24.0</v>
      </c>
      <c r="E25" s="14" t="s">
        <v>47</v>
      </c>
      <c r="F25" s="11">
        <v>2023.0</v>
      </c>
      <c r="G25" s="11">
        <v>2023.0</v>
      </c>
      <c r="H25" s="11">
        <f>A4-F25</f>
        <v>3</v>
      </c>
      <c r="I25" s="117" t="s">
        <v>336</v>
      </c>
      <c r="J25" s="11">
        <v>6374.0</v>
      </c>
      <c r="K25" s="11" t="s">
        <v>266</v>
      </c>
      <c r="L25" s="11" t="s">
        <v>160</v>
      </c>
      <c r="M25" s="11" t="s">
        <v>161</v>
      </c>
      <c r="N25" s="11">
        <v>2013.0</v>
      </c>
      <c r="O25" s="11">
        <f>A4-N25</f>
        <v>13</v>
      </c>
      <c r="P25" s="11" t="s">
        <v>162</v>
      </c>
      <c r="Q25" s="11" t="s">
        <v>270</v>
      </c>
      <c r="R25" s="52" t="s">
        <v>343</v>
      </c>
      <c r="S25" s="52" t="s">
        <v>344</v>
      </c>
      <c r="T25" s="321">
        <v>47114.0</v>
      </c>
      <c r="U25" s="54" t="str">
        <f t="shared" si="1"/>
        <v>Berlaku</v>
      </c>
      <c r="V25" s="317">
        <v>46383.0</v>
      </c>
      <c r="W25" s="54" t="str">
        <f t="shared" si="2"/>
        <v>Berlaku</v>
      </c>
      <c r="X25" s="324">
        <v>46331.0</v>
      </c>
      <c r="Y25" s="54" t="str">
        <f t="shared" si="3"/>
        <v>Akan Habis</v>
      </c>
      <c r="Z25" s="324">
        <v>46331.0</v>
      </c>
      <c r="AA25" s="54" t="str">
        <f t="shared" si="4"/>
        <v>Berlaku</v>
      </c>
      <c r="AB25" s="53">
        <f>VLOOKUP(B25,'DATA EXP TERA'!$C$3:$D$85,2,0)</f>
        <v>46180</v>
      </c>
      <c r="AC25" s="54" t="str">
        <f t="shared" si="5"/>
        <v>Habis</v>
      </c>
      <c r="AD25" s="315">
        <v>46180.0</v>
      </c>
      <c r="AE25" s="56" t="str">
        <f t="shared" si="6"/>
        <v>Habis</v>
      </c>
      <c r="AF25" s="57" t="s">
        <v>166</v>
      </c>
      <c r="AG25" s="57" t="s">
        <v>167</v>
      </c>
      <c r="AH25" s="14"/>
      <c r="AI25" s="115" t="s">
        <v>345</v>
      </c>
      <c r="AJ25" s="59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</row>
    <row r="26">
      <c r="A26" s="9">
        <v>20.0</v>
      </c>
      <c r="B26" s="311" t="s">
        <v>55</v>
      </c>
      <c r="C26" s="9" t="s">
        <v>153</v>
      </c>
      <c r="D26" s="9">
        <v>24.0</v>
      </c>
      <c r="E26" s="24" t="s">
        <v>47</v>
      </c>
      <c r="F26" s="9">
        <v>2024.0</v>
      </c>
      <c r="G26" s="9">
        <v>2024.0</v>
      </c>
      <c r="H26" s="11">
        <f>A4-F26</f>
        <v>2</v>
      </c>
      <c r="I26" s="117" t="s">
        <v>336</v>
      </c>
      <c r="J26" s="9">
        <v>6374.0</v>
      </c>
      <c r="K26" s="11" t="s">
        <v>266</v>
      </c>
      <c r="L26" s="9" t="s">
        <v>160</v>
      </c>
      <c r="M26" s="11" t="s">
        <v>161</v>
      </c>
      <c r="N26" s="9">
        <v>2014.0</v>
      </c>
      <c r="O26" s="11">
        <f>A4-N26</f>
        <v>12</v>
      </c>
      <c r="P26" s="9" t="s">
        <v>162</v>
      </c>
      <c r="Q26" s="9" t="s">
        <v>270</v>
      </c>
      <c r="R26" s="118" t="s">
        <v>346</v>
      </c>
      <c r="S26" s="118" t="s">
        <v>347</v>
      </c>
      <c r="T26" s="319">
        <v>47429.0</v>
      </c>
      <c r="U26" s="54" t="str">
        <f t="shared" si="1"/>
        <v>Berlaku</v>
      </c>
      <c r="V26" s="320">
        <v>46333.0</v>
      </c>
      <c r="W26" s="54" t="str">
        <f t="shared" si="2"/>
        <v>Akan Habis</v>
      </c>
      <c r="X26" s="324">
        <v>46331.0</v>
      </c>
      <c r="Y26" s="54" t="str">
        <f t="shared" si="3"/>
        <v>Akan Habis</v>
      </c>
      <c r="Z26" s="324">
        <v>46331.0</v>
      </c>
      <c r="AA26" s="54" t="str">
        <f t="shared" si="4"/>
        <v>Berlaku</v>
      </c>
      <c r="AB26" s="53">
        <f>VLOOKUP(B26,'DATA EXP TERA'!$C$3:$D$85,2,0)</f>
        <v>46351</v>
      </c>
      <c r="AC26" s="54" t="str">
        <f t="shared" si="5"/>
        <v>Akan Habis</v>
      </c>
      <c r="AD26" s="315">
        <v>46340.0</v>
      </c>
      <c r="AE26" s="56" t="str">
        <f t="shared" si="6"/>
        <v>Berlaku</v>
      </c>
      <c r="AF26" s="57" t="s">
        <v>166</v>
      </c>
      <c r="AG26" s="57" t="s">
        <v>167</v>
      </c>
      <c r="AH26" s="24"/>
      <c r="AI26" s="115" t="s">
        <v>348</v>
      </c>
      <c r="AJ26" s="59"/>
      <c r="AK26" s="59"/>
      <c r="AL26" s="59"/>
      <c r="AM26" s="59"/>
      <c r="AN26" s="59"/>
      <c r="AO26" s="59"/>
      <c r="AP26" s="59"/>
      <c r="AQ26" s="148"/>
      <c r="AR26" s="148"/>
      <c r="AS26" s="59"/>
      <c r="AT26" s="59"/>
      <c r="AU26" s="59"/>
      <c r="AV26" s="59"/>
      <c r="AW26" s="59"/>
      <c r="AX26" s="59"/>
    </row>
    <row r="27">
      <c r="A27" s="9">
        <v>21.0</v>
      </c>
      <c r="B27" s="311" t="s">
        <v>56</v>
      </c>
      <c r="C27" s="9" t="s">
        <v>153</v>
      </c>
      <c r="D27" s="9">
        <v>24.0</v>
      </c>
      <c r="E27" s="24" t="s">
        <v>47</v>
      </c>
      <c r="F27" s="9">
        <v>2024.0</v>
      </c>
      <c r="G27" s="9">
        <v>2024.0</v>
      </c>
      <c r="H27" s="11">
        <f>A4-F27</f>
        <v>2</v>
      </c>
      <c r="I27" s="117" t="s">
        <v>336</v>
      </c>
      <c r="J27" s="9">
        <v>6374.0</v>
      </c>
      <c r="K27" s="11" t="s">
        <v>266</v>
      </c>
      <c r="L27" s="9" t="s">
        <v>160</v>
      </c>
      <c r="M27" s="11" t="s">
        <v>161</v>
      </c>
      <c r="N27" s="9">
        <v>2014.0</v>
      </c>
      <c r="O27" s="11">
        <f>A4-N27</f>
        <v>12</v>
      </c>
      <c r="P27" s="9" t="s">
        <v>162</v>
      </c>
      <c r="Q27" s="9" t="s">
        <v>270</v>
      </c>
      <c r="R27" s="118" t="s">
        <v>349</v>
      </c>
      <c r="S27" s="118" t="s">
        <v>350</v>
      </c>
      <c r="T27" s="53">
        <v>47475.0</v>
      </c>
      <c r="U27" s="54" t="str">
        <f t="shared" si="1"/>
        <v>Berlaku</v>
      </c>
      <c r="V27" s="317">
        <v>46379.0</v>
      </c>
      <c r="W27" s="54" t="str">
        <f t="shared" si="2"/>
        <v>Berlaku</v>
      </c>
      <c r="X27" s="323">
        <v>46183.0</v>
      </c>
      <c r="Y27" s="54" t="str">
        <f t="shared" si="3"/>
        <v>Habis</v>
      </c>
      <c r="Z27" s="53">
        <v>46183.0</v>
      </c>
      <c r="AA27" s="54" t="str">
        <f t="shared" si="4"/>
        <v>Habis</v>
      </c>
      <c r="AB27" s="53">
        <f>VLOOKUP(B27,'DATA EXP TERA'!$C$3:$D$85,2,0)</f>
        <v>46429</v>
      </c>
      <c r="AC27" s="54" t="str">
        <f t="shared" si="5"/>
        <v>Berlaku</v>
      </c>
      <c r="AD27" s="315">
        <v>46340.0</v>
      </c>
      <c r="AE27" s="56" t="str">
        <f t="shared" si="6"/>
        <v>Berlaku</v>
      </c>
      <c r="AF27" s="57" t="s">
        <v>166</v>
      </c>
      <c r="AG27" s="57" t="s">
        <v>167</v>
      </c>
      <c r="AH27" s="24"/>
      <c r="AI27" s="115" t="s">
        <v>355</v>
      </c>
      <c r="AJ27" s="59"/>
      <c r="AK27" s="59"/>
      <c r="AL27" s="59"/>
      <c r="AM27" s="59"/>
      <c r="AN27" s="59"/>
      <c r="AO27" s="59"/>
      <c r="AP27" s="59"/>
      <c r="AQ27" s="148"/>
      <c r="AR27" s="148"/>
      <c r="AS27" s="59"/>
      <c r="AT27" s="59"/>
      <c r="AU27" s="59"/>
      <c r="AV27" s="59"/>
      <c r="AW27" s="59"/>
      <c r="AX27" s="59"/>
    </row>
    <row r="28">
      <c r="A28" s="9">
        <v>22.0</v>
      </c>
      <c r="B28" s="311" t="s">
        <v>57</v>
      </c>
      <c r="C28" s="9" t="s">
        <v>153</v>
      </c>
      <c r="D28" s="9">
        <v>24.0</v>
      </c>
      <c r="E28" s="24" t="s">
        <v>47</v>
      </c>
      <c r="F28" s="9">
        <v>2024.0</v>
      </c>
      <c r="G28" s="9">
        <v>2024.0</v>
      </c>
      <c r="H28" s="11">
        <f>A4-F28</f>
        <v>2</v>
      </c>
      <c r="I28" s="117" t="s">
        <v>336</v>
      </c>
      <c r="J28" s="9">
        <v>6374.0</v>
      </c>
      <c r="K28" s="11" t="s">
        <v>266</v>
      </c>
      <c r="L28" s="9" t="s">
        <v>160</v>
      </c>
      <c r="M28" s="11" t="s">
        <v>161</v>
      </c>
      <c r="N28" s="9">
        <v>2014.0</v>
      </c>
      <c r="O28" s="11">
        <f>A4-N28</f>
        <v>12</v>
      </c>
      <c r="P28" s="9" t="s">
        <v>162</v>
      </c>
      <c r="Q28" s="9" t="s">
        <v>270</v>
      </c>
      <c r="R28" s="118" t="s">
        <v>356</v>
      </c>
      <c r="S28" s="39" t="s">
        <v>357</v>
      </c>
      <c r="T28" s="53">
        <v>47475.0</v>
      </c>
      <c r="U28" s="54" t="str">
        <f t="shared" si="1"/>
        <v>Berlaku</v>
      </c>
      <c r="V28" s="317">
        <v>46379.0</v>
      </c>
      <c r="W28" s="54" t="str">
        <f t="shared" si="2"/>
        <v>Berlaku</v>
      </c>
      <c r="X28" s="323">
        <v>46183.0</v>
      </c>
      <c r="Y28" s="54" t="str">
        <f t="shared" si="3"/>
        <v>Habis</v>
      </c>
      <c r="Z28" s="53">
        <v>46183.0</v>
      </c>
      <c r="AA28" s="54" t="str">
        <f t="shared" si="4"/>
        <v>Habis</v>
      </c>
      <c r="AB28" s="53">
        <f>VLOOKUP(B28,'DATA EXP TERA'!$C$3:$D$85,2,0)</f>
        <v>46430</v>
      </c>
      <c r="AC28" s="54" t="str">
        <f t="shared" si="5"/>
        <v>Berlaku</v>
      </c>
      <c r="AD28" s="315">
        <v>46340.0</v>
      </c>
      <c r="AE28" s="56" t="str">
        <f t="shared" si="6"/>
        <v>Berlaku</v>
      </c>
      <c r="AF28" s="57" t="s">
        <v>166</v>
      </c>
      <c r="AG28" s="57" t="s">
        <v>167</v>
      </c>
      <c r="AH28" s="24"/>
      <c r="AI28" s="115" t="s">
        <v>360</v>
      </c>
      <c r="AJ28" s="59"/>
      <c r="AK28" s="59"/>
      <c r="AL28" s="59"/>
      <c r="AM28" s="59"/>
      <c r="AN28" s="59"/>
      <c r="AO28" s="59"/>
      <c r="AP28" s="59"/>
      <c r="AQ28" s="148"/>
      <c r="AR28" s="148"/>
      <c r="AS28" s="59"/>
      <c r="AT28" s="59"/>
      <c r="AU28" s="59"/>
      <c r="AV28" s="59"/>
      <c r="AW28" s="59"/>
      <c r="AX28" s="59"/>
    </row>
    <row r="29">
      <c r="A29" s="9">
        <v>23.0</v>
      </c>
      <c r="B29" s="311" t="s">
        <v>58</v>
      </c>
      <c r="C29" s="9" t="s">
        <v>153</v>
      </c>
      <c r="D29" s="9">
        <v>24.0</v>
      </c>
      <c r="E29" s="24" t="s">
        <v>47</v>
      </c>
      <c r="F29" s="9">
        <v>2024.0</v>
      </c>
      <c r="G29" s="9">
        <v>2024.0</v>
      </c>
      <c r="H29" s="11">
        <f>A4-F29</f>
        <v>2</v>
      </c>
      <c r="I29" s="117" t="s">
        <v>336</v>
      </c>
      <c r="J29" s="9">
        <v>6374.0</v>
      </c>
      <c r="K29" s="11" t="s">
        <v>266</v>
      </c>
      <c r="L29" s="9" t="s">
        <v>160</v>
      </c>
      <c r="M29" s="11" t="s">
        <v>161</v>
      </c>
      <c r="N29" s="9">
        <v>2014.0</v>
      </c>
      <c r="O29" s="11">
        <f>A4-N29</f>
        <v>12</v>
      </c>
      <c r="P29" s="9" t="s">
        <v>162</v>
      </c>
      <c r="Q29" s="9" t="s">
        <v>270</v>
      </c>
      <c r="R29" s="118" t="s">
        <v>361</v>
      </c>
      <c r="S29" s="118" t="s">
        <v>362</v>
      </c>
      <c r="T29" s="53">
        <v>47475.0</v>
      </c>
      <c r="U29" s="54" t="str">
        <f t="shared" si="1"/>
        <v>Berlaku</v>
      </c>
      <c r="V29" s="317">
        <v>46379.0</v>
      </c>
      <c r="W29" s="54" t="str">
        <f t="shared" si="2"/>
        <v>Berlaku</v>
      </c>
      <c r="X29" s="324">
        <v>46332.0</v>
      </c>
      <c r="Y29" s="54" t="str">
        <f t="shared" si="3"/>
        <v>Akan Habis</v>
      </c>
      <c r="Z29" s="324">
        <v>46332.0</v>
      </c>
      <c r="AA29" s="54" t="str">
        <f t="shared" si="4"/>
        <v>Berlaku</v>
      </c>
      <c r="AB29" s="53">
        <f>VLOOKUP(B29,'DATA EXP TERA'!$C$3:$D$85,2,0)</f>
        <v>46452</v>
      </c>
      <c r="AC29" s="54" t="str">
        <f t="shared" si="5"/>
        <v>Berlaku</v>
      </c>
      <c r="AD29" s="315">
        <v>46340.0</v>
      </c>
      <c r="AE29" s="56" t="str">
        <f t="shared" si="6"/>
        <v>Berlaku</v>
      </c>
      <c r="AF29" s="57" t="s">
        <v>166</v>
      </c>
      <c r="AG29" s="57" t="s">
        <v>167</v>
      </c>
      <c r="AH29" s="24"/>
      <c r="AI29" s="115" t="s">
        <v>363</v>
      </c>
      <c r="AJ29" s="59"/>
      <c r="AK29" s="59"/>
      <c r="AL29" s="59"/>
      <c r="AM29" s="59"/>
      <c r="AN29" s="59"/>
      <c r="AO29" s="59"/>
      <c r="AP29" s="59"/>
      <c r="AQ29" s="148"/>
      <c r="AR29" s="148"/>
      <c r="AS29" s="59"/>
      <c r="AT29" s="59"/>
      <c r="AU29" s="59"/>
      <c r="AV29" s="59"/>
      <c r="AW29" s="59"/>
      <c r="AX29" s="59"/>
    </row>
    <row r="30" hidden="1">
      <c r="A30" s="352">
        <v>24.0</v>
      </c>
      <c r="B30" s="353" t="s">
        <v>699</v>
      </c>
      <c r="C30" s="352" t="s">
        <v>153</v>
      </c>
      <c r="D30" s="352">
        <v>24.0</v>
      </c>
      <c r="E30" s="354" t="s">
        <v>47</v>
      </c>
      <c r="F30" s="352">
        <v>2015.0</v>
      </c>
      <c r="G30" s="352">
        <v>2015.0</v>
      </c>
      <c r="H30" s="352">
        <f>A4-F30</f>
        <v>11</v>
      </c>
      <c r="I30" s="355" t="s">
        <v>700</v>
      </c>
      <c r="J30" s="352">
        <v>7684.0</v>
      </c>
      <c r="K30" s="352" t="s">
        <v>159</v>
      </c>
      <c r="L30" s="352" t="s">
        <v>160</v>
      </c>
      <c r="M30" s="352" t="s">
        <v>161</v>
      </c>
      <c r="N30" s="352">
        <v>2015.0</v>
      </c>
      <c r="O30" s="352">
        <f>A4-N30</f>
        <v>11</v>
      </c>
      <c r="P30" s="352" t="s">
        <v>162</v>
      </c>
      <c r="Q30" s="352" t="s">
        <v>163</v>
      </c>
      <c r="R30" s="353" t="s">
        <v>701</v>
      </c>
      <c r="S30" s="353" t="s">
        <v>702</v>
      </c>
      <c r="T30" s="356">
        <v>47846.0</v>
      </c>
      <c r="U30" s="54" t="str">
        <f t="shared" si="1"/>
        <v>Berlaku</v>
      </c>
      <c r="V30" s="356">
        <v>46385.0</v>
      </c>
      <c r="W30" s="54" t="str">
        <f t="shared" si="2"/>
        <v>Berlaku</v>
      </c>
      <c r="X30" s="357">
        <v>46145.0</v>
      </c>
      <c r="Y30" s="54" t="str">
        <f t="shared" si="3"/>
        <v>Habis</v>
      </c>
      <c r="Z30" s="356">
        <v>46145.0</v>
      </c>
      <c r="AA30" s="54" t="str">
        <f t="shared" si="4"/>
        <v>Habis</v>
      </c>
      <c r="AB30" s="356">
        <f>VLOOKUP(B30,'DATA EXP TERA'!$C$3:$D$85,2,0)</f>
        <v>46319</v>
      </c>
      <c r="AC30" s="54" t="str">
        <f t="shared" si="5"/>
        <v>Akan Habis</v>
      </c>
      <c r="AD30" s="358">
        <v>46124.0</v>
      </c>
      <c r="AE30" s="56" t="str">
        <f t="shared" si="6"/>
        <v>Habis</v>
      </c>
      <c r="AF30" s="359" t="s">
        <v>166</v>
      </c>
      <c r="AG30" s="359" t="s">
        <v>167</v>
      </c>
      <c r="AH30" s="360"/>
      <c r="AI30" s="362" t="s">
        <v>716</v>
      </c>
      <c r="AJ30" s="119"/>
      <c r="AK30" s="119"/>
      <c r="AL30" s="119"/>
      <c r="AM30" s="119"/>
      <c r="AN30" s="119"/>
      <c r="AO30" s="119"/>
      <c r="AP30" s="119"/>
      <c r="AQ30" s="157"/>
      <c r="AR30" s="157"/>
      <c r="AS30" s="119"/>
      <c r="AT30" s="119"/>
      <c r="AU30" s="119"/>
      <c r="AV30" s="119"/>
      <c r="AW30" s="119"/>
      <c r="AX30" s="119"/>
    </row>
    <row r="31" hidden="1">
      <c r="A31" s="363">
        <v>25.0</v>
      </c>
      <c r="B31" s="365" t="s">
        <v>709</v>
      </c>
      <c r="C31" s="363" t="s">
        <v>153</v>
      </c>
      <c r="D31" s="363">
        <v>24.0</v>
      </c>
      <c r="E31" s="366" t="s">
        <v>47</v>
      </c>
      <c r="F31" s="363">
        <v>2015.0</v>
      </c>
      <c r="G31" s="363">
        <v>2015.0</v>
      </c>
      <c r="H31" s="363">
        <f>A4-F31</f>
        <v>11</v>
      </c>
      <c r="I31" s="367" t="s">
        <v>700</v>
      </c>
      <c r="J31" s="363">
        <v>7684.0</v>
      </c>
      <c r="K31" s="363" t="s">
        <v>159</v>
      </c>
      <c r="L31" s="363" t="s">
        <v>160</v>
      </c>
      <c r="M31" s="363" t="s">
        <v>161</v>
      </c>
      <c r="N31" s="363">
        <v>2015.0</v>
      </c>
      <c r="O31" s="363">
        <f>A4-N31</f>
        <v>11</v>
      </c>
      <c r="P31" s="363" t="s">
        <v>162</v>
      </c>
      <c r="Q31" s="363" t="s">
        <v>163</v>
      </c>
      <c r="R31" s="365" t="s">
        <v>710</v>
      </c>
      <c r="S31" s="365" t="s">
        <v>711</v>
      </c>
      <c r="T31" s="369">
        <v>47846.0</v>
      </c>
      <c r="U31" s="54" t="str">
        <f t="shared" si="1"/>
        <v>Berlaku</v>
      </c>
      <c r="V31" s="369">
        <v>46385.0</v>
      </c>
      <c r="W31" s="54" t="str">
        <f t="shared" si="2"/>
        <v>Berlaku</v>
      </c>
      <c r="X31" s="371">
        <v>46145.0</v>
      </c>
      <c r="Y31" s="54" t="str">
        <f t="shared" si="3"/>
        <v>Habis</v>
      </c>
      <c r="Z31" s="369">
        <v>46145.0</v>
      </c>
      <c r="AA31" s="54" t="str">
        <f t="shared" si="4"/>
        <v>Habis</v>
      </c>
      <c r="AB31" s="369">
        <f>VLOOKUP(B31,'DATA EXP TERA'!$C$3:$D$85,2,0)</f>
        <v>46540</v>
      </c>
      <c r="AC31" s="54" t="str">
        <f t="shared" si="5"/>
        <v>Berlaku</v>
      </c>
      <c r="AD31" s="315">
        <v>46124.0</v>
      </c>
      <c r="AE31" s="56" t="str">
        <f t="shared" si="6"/>
        <v>Habis</v>
      </c>
      <c r="AF31" s="57" t="s">
        <v>166</v>
      </c>
      <c r="AG31" s="57" t="s">
        <v>167</v>
      </c>
      <c r="AH31" s="372"/>
      <c r="AI31" s="373" t="s">
        <v>717</v>
      </c>
      <c r="AJ31" s="119"/>
      <c r="AK31" s="119"/>
      <c r="AL31" s="119"/>
      <c r="AM31" s="119"/>
      <c r="AN31" s="119"/>
      <c r="AO31" s="119"/>
      <c r="AP31" s="119"/>
      <c r="AQ31" s="157"/>
      <c r="AR31" s="157"/>
      <c r="AS31" s="119"/>
      <c r="AT31" s="119"/>
      <c r="AU31" s="119"/>
      <c r="AV31" s="119"/>
      <c r="AW31" s="119"/>
      <c r="AX31" s="119"/>
    </row>
    <row r="32" hidden="1">
      <c r="A32" s="352">
        <v>26.0</v>
      </c>
      <c r="B32" s="353" t="s">
        <v>712</v>
      </c>
      <c r="C32" s="352" t="s">
        <v>153</v>
      </c>
      <c r="D32" s="352">
        <v>24.0</v>
      </c>
      <c r="E32" s="354" t="s">
        <v>47</v>
      </c>
      <c r="F32" s="352">
        <v>2015.0</v>
      </c>
      <c r="G32" s="352">
        <v>2015.0</v>
      </c>
      <c r="H32" s="352">
        <f>A4-F32</f>
        <v>11</v>
      </c>
      <c r="I32" s="355" t="s">
        <v>713</v>
      </c>
      <c r="J32" s="352">
        <v>7684.0</v>
      </c>
      <c r="K32" s="352" t="s">
        <v>159</v>
      </c>
      <c r="L32" s="352" t="s">
        <v>160</v>
      </c>
      <c r="M32" s="352" t="s">
        <v>161</v>
      </c>
      <c r="N32" s="352">
        <v>2015.0</v>
      </c>
      <c r="O32" s="352">
        <f>A4-N32</f>
        <v>11</v>
      </c>
      <c r="P32" s="352" t="s">
        <v>162</v>
      </c>
      <c r="Q32" s="352" t="s">
        <v>163</v>
      </c>
      <c r="R32" s="353" t="s">
        <v>714</v>
      </c>
      <c r="S32" s="353" t="s">
        <v>715</v>
      </c>
      <c r="T32" s="356">
        <v>47846.0</v>
      </c>
      <c r="U32" s="54" t="str">
        <f t="shared" si="1"/>
        <v>Berlaku</v>
      </c>
      <c r="V32" s="356">
        <v>46385.0</v>
      </c>
      <c r="W32" s="54" t="str">
        <f t="shared" si="2"/>
        <v>Berlaku</v>
      </c>
      <c r="X32" s="357">
        <v>46145.0</v>
      </c>
      <c r="Y32" s="54" t="str">
        <f t="shared" si="3"/>
        <v>Habis</v>
      </c>
      <c r="Z32" s="356">
        <v>46145.0</v>
      </c>
      <c r="AA32" s="54" t="str">
        <f t="shared" si="4"/>
        <v>Habis</v>
      </c>
      <c r="AB32" s="356">
        <f>VLOOKUP(B32,'DATA EXP TERA'!$C$3:$D$85,2,0)</f>
        <v>46442</v>
      </c>
      <c r="AC32" s="54" t="str">
        <f t="shared" si="5"/>
        <v>Berlaku</v>
      </c>
      <c r="AD32" s="358">
        <v>46162.0</v>
      </c>
      <c r="AE32" s="56" t="str">
        <f t="shared" si="6"/>
        <v>Habis</v>
      </c>
      <c r="AF32" s="359" t="s">
        <v>166</v>
      </c>
      <c r="AG32" s="359" t="s">
        <v>167</v>
      </c>
      <c r="AH32" s="360"/>
      <c r="AI32" s="362" t="s">
        <v>718</v>
      </c>
      <c r="AJ32" s="119"/>
      <c r="AK32" s="119"/>
      <c r="AL32" s="119"/>
      <c r="AM32" s="119"/>
      <c r="AN32" s="119"/>
      <c r="AO32" s="119"/>
      <c r="AP32" s="119"/>
      <c r="AQ32" s="157"/>
      <c r="AR32" s="157"/>
      <c r="AS32" s="119"/>
      <c r="AT32" s="119"/>
      <c r="AU32" s="119"/>
      <c r="AV32" s="119"/>
      <c r="AW32" s="119"/>
      <c r="AX32" s="119"/>
    </row>
    <row r="33">
      <c r="A33" s="9">
        <v>24.0</v>
      </c>
      <c r="B33" s="118" t="s">
        <v>59</v>
      </c>
      <c r="C33" s="9" t="s">
        <v>153</v>
      </c>
      <c r="D33" s="9">
        <v>24.0</v>
      </c>
      <c r="E33" s="24" t="s">
        <v>47</v>
      </c>
      <c r="F33" s="9">
        <v>2025.0</v>
      </c>
      <c r="G33" s="9">
        <v>2025.0</v>
      </c>
      <c r="H33" s="9">
        <f>A4-F33</f>
        <v>1</v>
      </c>
      <c r="I33" s="117" t="s">
        <v>336</v>
      </c>
      <c r="J33" s="9">
        <v>6374.0</v>
      </c>
      <c r="K33" s="11" t="s">
        <v>266</v>
      </c>
      <c r="L33" s="9" t="s">
        <v>160</v>
      </c>
      <c r="M33" s="9" t="s">
        <v>161</v>
      </c>
      <c r="N33" s="9">
        <v>2015.0</v>
      </c>
      <c r="O33" s="9">
        <f>A4-N33</f>
        <v>11</v>
      </c>
      <c r="P33" s="9" t="s">
        <v>162</v>
      </c>
      <c r="Q33" s="9" t="s">
        <v>270</v>
      </c>
      <c r="R33" s="118" t="s">
        <v>364</v>
      </c>
      <c r="S33" s="118" t="s">
        <v>365</v>
      </c>
      <c r="T33" s="53">
        <v>47833.0</v>
      </c>
      <c r="U33" s="153" t="str">
        <f t="shared" si="1"/>
        <v>Berlaku</v>
      </c>
      <c r="V33" s="53">
        <v>46372.0</v>
      </c>
      <c r="W33" s="54" t="str">
        <f t="shared" si="2"/>
        <v>Berlaku</v>
      </c>
      <c r="X33" s="325">
        <v>46332.0</v>
      </c>
      <c r="Y33" s="54" t="str">
        <f t="shared" si="3"/>
        <v>Akan Habis</v>
      </c>
      <c r="Z33" s="325">
        <v>46332.0</v>
      </c>
      <c r="AA33" s="153" t="str">
        <f t="shared" si="4"/>
        <v>Berlaku</v>
      </c>
      <c r="AB33" s="53">
        <v>46814.0</v>
      </c>
      <c r="AC33" s="153" t="str">
        <f t="shared" si="5"/>
        <v>Berlaku</v>
      </c>
      <c r="AD33" s="315">
        <v>46278.0</v>
      </c>
      <c r="AE33" s="154" t="str">
        <f t="shared" si="6"/>
        <v>Habis</v>
      </c>
      <c r="AF33" s="155" t="s">
        <v>166</v>
      </c>
      <c r="AG33" s="155" t="s">
        <v>167</v>
      </c>
      <c r="AH33" s="156"/>
      <c r="AI33" s="29" t="s">
        <v>366</v>
      </c>
      <c r="AJ33" s="119"/>
      <c r="AK33" s="119"/>
      <c r="AL33" s="119"/>
      <c r="AM33" s="119"/>
      <c r="AN33" s="119"/>
      <c r="AO33" s="119"/>
      <c r="AP33" s="119"/>
      <c r="AQ33" s="157"/>
      <c r="AR33" s="157"/>
      <c r="AS33" s="119"/>
      <c r="AT33" s="119"/>
      <c r="AU33" s="119"/>
      <c r="AV33" s="119"/>
      <c r="AW33" s="119"/>
      <c r="AX33" s="119"/>
    </row>
    <row r="34">
      <c r="A34" s="9">
        <v>25.0</v>
      </c>
      <c r="B34" s="118" t="s">
        <v>62</v>
      </c>
      <c r="C34" s="9" t="s">
        <v>153</v>
      </c>
      <c r="D34" s="9">
        <v>24.0</v>
      </c>
      <c r="E34" s="24" t="s">
        <v>47</v>
      </c>
      <c r="F34" s="9">
        <v>2025.0</v>
      </c>
      <c r="G34" s="9">
        <v>2025.0</v>
      </c>
      <c r="H34" s="9">
        <f>A4-F34</f>
        <v>1</v>
      </c>
      <c r="I34" s="117" t="s">
        <v>336</v>
      </c>
      <c r="J34" s="9">
        <v>6374.0</v>
      </c>
      <c r="K34" s="11" t="s">
        <v>266</v>
      </c>
      <c r="L34" s="9" t="s">
        <v>160</v>
      </c>
      <c r="M34" s="9" t="s">
        <v>161</v>
      </c>
      <c r="N34" s="9">
        <v>2015.0</v>
      </c>
      <c r="O34" s="9">
        <f>A4-N34</f>
        <v>11</v>
      </c>
      <c r="P34" s="9" t="s">
        <v>162</v>
      </c>
      <c r="Q34" s="9" t="s">
        <v>270</v>
      </c>
      <c r="R34" s="118" t="s">
        <v>367</v>
      </c>
      <c r="S34" s="118" t="s">
        <v>368</v>
      </c>
      <c r="T34" s="53">
        <v>47833.0</v>
      </c>
      <c r="U34" s="153" t="str">
        <f t="shared" si="1"/>
        <v>Berlaku</v>
      </c>
      <c r="V34" s="53">
        <v>46372.0</v>
      </c>
      <c r="W34" s="54" t="str">
        <f t="shared" si="2"/>
        <v>Berlaku</v>
      </c>
      <c r="X34" s="325">
        <v>46332.0</v>
      </c>
      <c r="Y34" s="54" t="str">
        <f t="shared" si="3"/>
        <v>Akan Habis</v>
      </c>
      <c r="Z34" s="325">
        <v>46332.0</v>
      </c>
      <c r="AA34" s="153" t="str">
        <f t="shared" si="4"/>
        <v>Berlaku</v>
      </c>
      <c r="AB34" s="53">
        <v>46816.0</v>
      </c>
      <c r="AC34" s="153" t="str">
        <f t="shared" si="5"/>
        <v>Berlaku</v>
      </c>
      <c r="AD34" s="315">
        <v>46278.0</v>
      </c>
      <c r="AE34" s="154" t="str">
        <f t="shared" si="6"/>
        <v>Habis</v>
      </c>
      <c r="AF34" s="155" t="s">
        <v>166</v>
      </c>
      <c r="AG34" s="155" t="s">
        <v>167</v>
      </c>
      <c r="AH34" s="156"/>
      <c r="AI34" s="29" t="s">
        <v>369</v>
      </c>
      <c r="AJ34" s="119"/>
      <c r="AK34" s="119"/>
      <c r="AL34" s="119"/>
      <c r="AM34" s="119"/>
      <c r="AN34" s="119"/>
      <c r="AO34" s="119"/>
      <c r="AP34" s="119"/>
      <c r="AQ34" s="157"/>
      <c r="AR34" s="157"/>
      <c r="AS34" s="119"/>
      <c r="AT34" s="119"/>
      <c r="AU34" s="119"/>
      <c r="AV34" s="119"/>
      <c r="AW34" s="119"/>
      <c r="AX34" s="119"/>
    </row>
    <row r="35">
      <c r="A35" s="9">
        <v>26.0</v>
      </c>
      <c r="B35" s="118" t="s">
        <v>64</v>
      </c>
      <c r="C35" s="9" t="s">
        <v>153</v>
      </c>
      <c r="D35" s="9">
        <v>24.0</v>
      </c>
      <c r="E35" s="24" t="s">
        <v>47</v>
      </c>
      <c r="F35" s="9">
        <v>2025.0</v>
      </c>
      <c r="G35" s="9">
        <v>2025.0</v>
      </c>
      <c r="H35" s="9">
        <f>A4-F35</f>
        <v>1</v>
      </c>
      <c r="I35" s="117" t="s">
        <v>336</v>
      </c>
      <c r="J35" s="9">
        <v>6374.0</v>
      </c>
      <c r="K35" s="9" t="s">
        <v>159</v>
      </c>
      <c r="L35" s="9" t="s">
        <v>160</v>
      </c>
      <c r="M35" s="9" t="s">
        <v>161</v>
      </c>
      <c r="N35" s="9">
        <v>2015.0</v>
      </c>
      <c r="O35" s="9">
        <f>A4-N35</f>
        <v>11</v>
      </c>
      <c r="P35" s="9" t="s">
        <v>162</v>
      </c>
      <c r="Q35" s="9" t="s">
        <v>270</v>
      </c>
      <c r="R35" s="118" t="s">
        <v>370</v>
      </c>
      <c r="S35" s="118" t="s">
        <v>371</v>
      </c>
      <c r="T35" s="53">
        <v>47833.0</v>
      </c>
      <c r="U35" s="153" t="str">
        <f t="shared" si="1"/>
        <v>Berlaku</v>
      </c>
      <c r="V35" s="53">
        <v>46372.0</v>
      </c>
      <c r="W35" s="54" t="str">
        <f t="shared" si="2"/>
        <v>Berlaku</v>
      </c>
      <c r="X35" s="324">
        <v>46332.0</v>
      </c>
      <c r="Y35" s="54" t="str">
        <f t="shared" si="3"/>
        <v>Akan Habis</v>
      </c>
      <c r="Z35" s="324">
        <v>46332.0</v>
      </c>
      <c r="AA35" s="153" t="str">
        <f t="shared" si="4"/>
        <v>Berlaku</v>
      </c>
      <c r="AB35" s="53">
        <v>46817.0</v>
      </c>
      <c r="AC35" s="153" t="str">
        <f t="shared" si="5"/>
        <v>Berlaku</v>
      </c>
      <c r="AD35" s="315">
        <v>46278.0</v>
      </c>
      <c r="AE35" s="154" t="str">
        <f t="shared" si="6"/>
        <v>Habis</v>
      </c>
      <c r="AF35" s="155" t="s">
        <v>166</v>
      </c>
      <c r="AG35" s="155" t="s">
        <v>167</v>
      </c>
      <c r="AH35" s="156"/>
      <c r="AI35" s="29" t="s">
        <v>372</v>
      </c>
      <c r="AJ35" s="119"/>
      <c r="AK35" s="119"/>
      <c r="AL35" s="119"/>
      <c r="AM35" s="119"/>
      <c r="AN35" s="119"/>
      <c r="AO35" s="119"/>
      <c r="AP35" s="119"/>
      <c r="AQ35" s="157"/>
      <c r="AR35" s="157"/>
      <c r="AS35" s="119"/>
      <c r="AT35" s="119"/>
      <c r="AU35" s="119"/>
      <c r="AV35" s="119"/>
      <c r="AW35" s="119"/>
      <c r="AX35" s="119"/>
    </row>
    <row r="36">
      <c r="A36" s="9">
        <v>27.0</v>
      </c>
      <c r="B36" s="311" t="s">
        <v>66</v>
      </c>
      <c r="C36" s="11" t="s">
        <v>153</v>
      </c>
      <c r="D36" s="11">
        <v>24.0</v>
      </c>
      <c r="E36" s="14" t="s">
        <v>47</v>
      </c>
      <c r="F36" s="11">
        <v>2025.0</v>
      </c>
      <c r="G36" s="11">
        <v>2025.0</v>
      </c>
      <c r="H36" s="11">
        <f>A4-F36</f>
        <v>1</v>
      </c>
      <c r="I36" s="51" t="s">
        <v>373</v>
      </c>
      <c r="J36" s="11">
        <v>6374.0</v>
      </c>
      <c r="K36" s="11" t="s">
        <v>266</v>
      </c>
      <c r="L36" s="11" t="s">
        <v>160</v>
      </c>
      <c r="M36" s="11" t="s">
        <v>161</v>
      </c>
      <c r="N36" s="11">
        <v>2015.0</v>
      </c>
      <c r="O36" s="11">
        <f>A4-N36</f>
        <v>11</v>
      </c>
      <c r="P36" s="11" t="s">
        <v>162</v>
      </c>
      <c r="Q36" s="11" t="s">
        <v>270</v>
      </c>
      <c r="R36" s="52" t="s">
        <v>374</v>
      </c>
      <c r="S36" s="52" t="s">
        <v>375</v>
      </c>
      <c r="T36" s="321">
        <v>47625.0</v>
      </c>
      <c r="U36" s="54" t="str">
        <f t="shared" si="1"/>
        <v>Berlaku</v>
      </c>
      <c r="V36" s="317">
        <v>46164.0</v>
      </c>
      <c r="W36" s="54" t="str">
        <f t="shared" si="2"/>
        <v>Habis</v>
      </c>
      <c r="X36" s="320">
        <v>46331.0</v>
      </c>
      <c r="Y36" s="54" t="str">
        <f t="shared" si="3"/>
        <v>Akan Habis</v>
      </c>
      <c r="Z36" s="320">
        <v>46331.0</v>
      </c>
      <c r="AA36" s="54" t="str">
        <f t="shared" si="4"/>
        <v>Berlaku</v>
      </c>
      <c r="AB36" s="53">
        <f>VLOOKUP(B36,'DATA EXP TERA'!$C$3:$D$85,2,0)</f>
        <v>46571</v>
      </c>
      <c r="AC36" s="54" t="str">
        <f t="shared" si="5"/>
        <v>Berlaku</v>
      </c>
      <c r="AD36" s="315">
        <v>46340.0</v>
      </c>
      <c r="AE36" s="56" t="str">
        <f t="shared" si="6"/>
        <v>Berlaku</v>
      </c>
      <c r="AF36" s="57" t="s">
        <v>166</v>
      </c>
      <c r="AG36" s="57" t="s">
        <v>167</v>
      </c>
      <c r="AH36" s="14"/>
      <c r="AI36" s="158" t="s">
        <v>376</v>
      </c>
      <c r="AJ36" s="59"/>
      <c r="AK36" s="59"/>
      <c r="AL36" s="59"/>
      <c r="AM36" s="59"/>
      <c r="AN36" s="59"/>
      <c r="AO36" s="59"/>
      <c r="AP36" s="59"/>
      <c r="AQ36" s="148"/>
      <c r="AR36" s="148"/>
      <c r="AS36" s="59"/>
      <c r="AT36" s="59"/>
      <c r="AU36" s="59"/>
      <c r="AV36" s="59"/>
      <c r="AW36" s="59"/>
      <c r="AX36" s="59"/>
    </row>
    <row r="37">
      <c r="A37" s="9">
        <v>28.0</v>
      </c>
      <c r="B37" s="311" t="s">
        <v>68</v>
      </c>
      <c r="C37" s="11" t="s">
        <v>153</v>
      </c>
      <c r="D37" s="11">
        <v>24.0</v>
      </c>
      <c r="E37" s="14" t="s">
        <v>47</v>
      </c>
      <c r="F37" s="11">
        <v>2025.0</v>
      </c>
      <c r="G37" s="11">
        <v>2025.0</v>
      </c>
      <c r="H37" s="11">
        <f>A4-F37</f>
        <v>1</v>
      </c>
      <c r="I37" s="51" t="s">
        <v>373</v>
      </c>
      <c r="J37" s="11">
        <v>6374.0</v>
      </c>
      <c r="K37" s="11" t="s">
        <v>266</v>
      </c>
      <c r="L37" s="11" t="s">
        <v>160</v>
      </c>
      <c r="M37" s="11" t="s">
        <v>161</v>
      </c>
      <c r="N37" s="11">
        <v>2015.0</v>
      </c>
      <c r="O37" s="11">
        <f>A4-N37</f>
        <v>11</v>
      </c>
      <c r="P37" s="11" t="s">
        <v>162</v>
      </c>
      <c r="Q37" s="11" t="s">
        <v>270</v>
      </c>
      <c r="R37" s="52" t="s">
        <v>377</v>
      </c>
      <c r="S37" s="52" t="s">
        <v>378</v>
      </c>
      <c r="T37" s="321">
        <v>47625.0</v>
      </c>
      <c r="U37" s="54" t="str">
        <f t="shared" si="1"/>
        <v>Berlaku</v>
      </c>
      <c r="V37" s="317">
        <v>46164.0</v>
      </c>
      <c r="W37" s="54" t="str">
        <f t="shared" si="2"/>
        <v>Habis</v>
      </c>
      <c r="X37" s="324">
        <v>46147.0</v>
      </c>
      <c r="Y37" s="54" t="str">
        <f t="shared" si="3"/>
        <v>Habis</v>
      </c>
      <c r="Z37" s="317">
        <v>46154.0</v>
      </c>
      <c r="AA37" s="54" t="str">
        <f t="shared" si="4"/>
        <v>Habis</v>
      </c>
      <c r="AB37" s="53">
        <f>VLOOKUP(B37,'DATA EXP TERA'!$C$3:$D$85,2,0)</f>
        <v>46575</v>
      </c>
      <c r="AC37" s="54" t="str">
        <f t="shared" si="5"/>
        <v>Berlaku</v>
      </c>
      <c r="AD37" s="315">
        <v>46340.0</v>
      </c>
      <c r="AE37" s="56" t="str">
        <f t="shared" si="6"/>
        <v>Berlaku</v>
      </c>
      <c r="AF37" s="57" t="s">
        <v>166</v>
      </c>
      <c r="AG37" s="57" t="s">
        <v>167</v>
      </c>
      <c r="AH37" s="14"/>
      <c r="AI37" s="158" t="s">
        <v>379</v>
      </c>
      <c r="AJ37" s="59"/>
      <c r="AK37" s="59"/>
      <c r="AL37" s="59"/>
      <c r="AM37" s="59"/>
      <c r="AN37" s="59"/>
      <c r="AO37" s="59"/>
      <c r="AP37" s="59"/>
      <c r="AQ37" s="148"/>
      <c r="AR37" s="148"/>
      <c r="AS37" s="59"/>
      <c r="AT37" s="59"/>
      <c r="AU37" s="59"/>
      <c r="AV37" s="59"/>
      <c r="AW37" s="59"/>
      <c r="AX37" s="59"/>
    </row>
    <row r="38">
      <c r="A38" s="9">
        <v>29.0</v>
      </c>
      <c r="B38" s="311" t="s">
        <v>69</v>
      </c>
      <c r="C38" s="11" t="s">
        <v>153</v>
      </c>
      <c r="D38" s="11">
        <v>24.0</v>
      </c>
      <c r="E38" s="14" t="s">
        <v>47</v>
      </c>
      <c r="F38" s="11">
        <v>2025.0</v>
      </c>
      <c r="G38" s="11">
        <v>2025.0</v>
      </c>
      <c r="H38" s="11">
        <f>A4-F38</f>
        <v>1</v>
      </c>
      <c r="I38" s="51" t="s">
        <v>373</v>
      </c>
      <c r="J38" s="11">
        <v>6374.0</v>
      </c>
      <c r="K38" s="11" t="s">
        <v>266</v>
      </c>
      <c r="L38" s="11" t="s">
        <v>160</v>
      </c>
      <c r="M38" s="11" t="s">
        <v>161</v>
      </c>
      <c r="N38" s="11">
        <v>2015.0</v>
      </c>
      <c r="O38" s="11">
        <f>A4-N38</f>
        <v>11</v>
      </c>
      <c r="P38" s="11" t="s">
        <v>162</v>
      </c>
      <c r="Q38" s="11" t="s">
        <v>270</v>
      </c>
      <c r="R38" s="14" t="s">
        <v>380</v>
      </c>
      <c r="S38" s="52" t="s">
        <v>381</v>
      </c>
      <c r="T38" s="321">
        <v>47625.0</v>
      </c>
      <c r="U38" s="54" t="str">
        <f t="shared" si="1"/>
        <v>Berlaku</v>
      </c>
      <c r="V38" s="317">
        <v>46164.0</v>
      </c>
      <c r="W38" s="54" t="str">
        <f t="shared" si="2"/>
        <v>Habis</v>
      </c>
      <c r="X38" s="320">
        <v>46331.0</v>
      </c>
      <c r="Y38" s="54" t="str">
        <f t="shared" si="3"/>
        <v>Akan Habis</v>
      </c>
      <c r="Z38" s="320">
        <v>46331.0</v>
      </c>
      <c r="AA38" s="54" t="str">
        <f t="shared" si="4"/>
        <v>Berlaku</v>
      </c>
      <c r="AB38" s="53">
        <f>VLOOKUP(B38,'DATA EXP TERA'!$C$3:$D$85,2,0)</f>
        <v>46570</v>
      </c>
      <c r="AC38" s="54" t="str">
        <f t="shared" si="5"/>
        <v>Berlaku</v>
      </c>
      <c r="AD38" s="315">
        <v>46340.0</v>
      </c>
      <c r="AE38" s="56" t="str">
        <f t="shared" si="6"/>
        <v>Berlaku</v>
      </c>
      <c r="AF38" s="57" t="s">
        <v>166</v>
      </c>
      <c r="AG38" s="57" t="s">
        <v>167</v>
      </c>
      <c r="AH38" s="14"/>
      <c r="AI38" s="158" t="s">
        <v>382</v>
      </c>
      <c r="AJ38" s="59"/>
      <c r="AK38" s="59"/>
      <c r="AL38" s="59"/>
      <c r="AM38" s="59"/>
      <c r="AN38" s="59"/>
      <c r="AO38" s="59"/>
      <c r="AP38" s="59"/>
      <c r="AQ38" s="148"/>
      <c r="AR38" s="148"/>
      <c r="AS38" s="59"/>
      <c r="AT38" s="138"/>
      <c r="AU38" s="138"/>
      <c r="AV38" s="138"/>
      <c r="AW38" s="138"/>
      <c r="AX38" s="138"/>
    </row>
    <row r="39">
      <c r="A39" s="9">
        <v>30.0</v>
      </c>
      <c r="B39" s="311" t="s">
        <v>70</v>
      </c>
      <c r="C39" s="11" t="s">
        <v>153</v>
      </c>
      <c r="D39" s="11">
        <v>24.0</v>
      </c>
      <c r="E39" s="14" t="s">
        <v>47</v>
      </c>
      <c r="F39" s="11">
        <v>2025.0</v>
      </c>
      <c r="G39" s="11">
        <v>2025.0</v>
      </c>
      <c r="H39" s="11">
        <f>A4-F39</f>
        <v>1</v>
      </c>
      <c r="I39" s="51" t="s">
        <v>373</v>
      </c>
      <c r="J39" s="11">
        <v>6374.0</v>
      </c>
      <c r="K39" s="11" t="s">
        <v>266</v>
      </c>
      <c r="L39" s="11" t="s">
        <v>160</v>
      </c>
      <c r="M39" s="11" t="s">
        <v>161</v>
      </c>
      <c r="N39" s="11">
        <v>2015.0</v>
      </c>
      <c r="O39" s="11">
        <f>A4-N39</f>
        <v>11</v>
      </c>
      <c r="P39" s="11" t="s">
        <v>162</v>
      </c>
      <c r="Q39" s="11" t="s">
        <v>270</v>
      </c>
      <c r="R39" s="14">
        <v>4.00963001792246E14</v>
      </c>
      <c r="S39" s="52" t="s">
        <v>383</v>
      </c>
      <c r="T39" s="321">
        <v>47716.0</v>
      </c>
      <c r="U39" s="54" t="str">
        <f t="shared" si="1"/>
        <v>Berlaku</v>
      </c>
      <c r="V39" s="317">
        <v>46255.0</v>
      </c>
      <c r="W39" s="54" t="str">
        <f t="shared" si="2"/>
        <v>Habis</v>
      </c>
      <c r="X39" s="324">
        <v>46311.0</v>
      </c>
      <c r="Y39" s="54" t="str">
        <f t="shared" si="3"/>
        <v>Akan Habis</v>
      </c>
      <c r="Z39" s="324">
        <v>46311.0</v>
      </c>
      <c r="AA39" s="54" t="str">
        <f t="shared" si="4"/>
        <v>Akan Habis</v>
      </c>
      <c r="AB39" s="53">
        <f>VLOOKUP(B39,'DATA EXP TERA'!$C$3:$D$85,2,0)</f>
        <v>46688</v>
      </c>
      <c r="AC39" s="54" t="str">
        <f t="shared" si="5"/>
        <v>Berlaku</v>
      </c>
      <c r="AD39" s="315">
        <v>46332.0</v>
      </c>
      <c r="AE39" s="56" t="str">
        <f t="shared" si="6"/>
        <v>Berlaku</v>
      </c>
      <c r="AF39" s="57" t="s">
        <v>166</v>
      </c>
      <c r="AG39" s="57" t="s">
        <v>167</v>
      </c>
      <c r="AH39" s="14"/>
      <c r="AI39" s="158" t="s">
        <v>384</v>
      </c>
      <c r="AJ39" s="59"/>
      <c r="AK39" s="59"/>
      <c r="AL39" s="59"/>
      <c r="AM39" s="59"/>
      <c r="AN39" s="59"/>
      <c r="AO39" s="59"/>
      <c r="AP39" s="59"/>
      <c r="AQ39" s="148"/>
      <c r="AR39" s="148"/>
      <c r="AS39" s="59"/>
      <c r="AT39" s="138"/>
      <c r="AU39" s="138"/>
      <c r="AV39" s="138"/>
      <c r="AW39" s="138"/>
      <c r="AX39" s="138"/>
    </row>
    <row r="40">
      <c r="A40" s="9">
        <v>31.0</v>
      </c>
      <c r="B40" s="311" t="s">
        <v>71</v>
      </c>
      <c r="C40" s="11" t="s">
        <v>153</v>
      </c>
      <c r="D40" s="11">
        <v>24.0</v>
      </c>
      <c r="E40" s="14" t="s">
        <v>47</v>
      </c>
      <c r="F40" s="11">
        <v>2025.0</v>
      </c>
      <c r="G40" s="11">
        <v>2025.0</v>
      </c>
      <c r="H40" s="11">
        <f t="shared" ref="H40:H44" si="8">$A$4-F40</f>
        <v>1</v>
      </c>
      <c r="I40" s="51" t="s">
        <v>373</v>
      </c>
      <c r="J40" s="11">
        <v>6374.0</v>
      </c>
      <c r="K40" s="11" t="s">
        <v>266</v>
      </c>
      <c r="L40" s="11" t="s">
        <v>160</v>
      </c>
      <c r="M40" s="11" t="s">
        <v>161</v>
      </c>
      <c r="N40" s="11">
        <v>2014.0</v>
      </c>
      <c r="O40" s="11">
        <f t="shared" ref="O40:O44" si="9">$A$4-N40</f>
        <v>12</v>
      </c>
      <c r="P40" s="46" t="s">
        <v>162</v>
      </c>
      <c r="Q40" s="11" t="s">
        <v>270</v>
      </c>
      <c r="R40" s="14" t="s">
        <v>385</v>
      </c>
      <c r="S40" s="52" t="s">
        <v>386</v>
      </c>
      <c r="T40" s="321">
        <v>47779.0</v>
      </c>
      <c r="U40" s="54" t="str">
        <f t="shared" si="1"/>
        <v>Berlaku</v>
      </c>
      <c r="V40" s="321">
        <v>46318.0</v>
      </c>
      <c r="W40" s="54" t="str">
        <f t="shared" si="2"/>
        <v>Akan Habis</v>
      </c>
      <c r="X40" s="324">
        <v>46162.0</v>
      </c>
      <c r="Y40" s="54" t="str">
        <f t="shared" si="3"/>
        <v>Habis</v>
      </c>
      <c r="Z40" s="324">
        <v>46169.0</v>
      </c>
      <c r="AA40" s="54" t="str">
        <f t="shared" si="4"/>
        <v>Habis</v>
      </c>
      <c r="AB40" s="53">
        <v>46719.0</v>
      </c>
      <c r="AC40" s="54" t="str">
        <f t="shared" si="5"/>
        <v>Berlaku</v>
      </c>
      <c r="AD40" s="315">
        <v>46190.0</v>
      </c>
      <c r="AE40" s="56" t="str">
        <f t="shared" si="6"/>
        <v>Habis</v>
      </c>
      <c r="AF40" s="57" t="s">
        <v>166</v>
      </c>
      <c r="AG40" s="57" t="s">
        <v>167</v>
      </c>
      <c r="AH40" s="14"/>
      <c r="AI40" s="158" t="s">
        <v>389</v>
      </c>
      <c r="AJ40" s="59"/>
      <c r="AK40" s="59"/>
      <c r="AL40" s="59"/>
      <c r="AM40" s="59"/>
      <c r="AN40" s="59"/>
      <c r="AO40" s="59"/>
      <c r="AP40" s="59"/>
      <c r="AQ40" s="148"/>
      <c r="AR40" s="148"/>
      <c r="AS40" s="59"/>
      <c r="AT40" s="138"/>
      <c r="AU40" s="138"/>
      <c r="AV40" s="138"/>
      <c r="AW40" s="138"/>
      <c r="AX40" s="138"/>
    </row>
    <row r="41">
      <c r="A41" s="9">
        <v>32.0</v>
      </c>
      <c r="B41" s="311" t="s">
        <v>72</v>
      </c>
      <c r="C41" s="11" t="s">
        <v>153</v>
      </c>
      <c r="D41" s="11">
        <v>24.0</v>
      </c>
      <c r="E41" s="14" t="s">
        <v>47</v>
      </c>
      <c r="F41" s="11">
        <v>2025.0</v>
      </c>
      <c r="G41" s="11">
        <v>2025.0</v>
      </c>
      <c r="H41" s="11">
        <f t="shared" si="8"/>
        <v>1</v>
      </c>
      <c r="I41" s="51" t="s">
        <v>373</v>
      </c>
      <c r="J41" s="11">
        <v>6374.0</v>
      </c>
      <c r="K41" s="11" t="s">
        <v>266</v>
      </c>
      <c r="L41" s="11" t="s">
        <v>160</v>
      </c>
      <c r="M41" s="11" t="s">
        <v>161</v>
      </c>
      <c r="N41" s="11">
        <v>2015.0</v>
      </c>
      <c r="O41" s="11">
        <f t="shared" si="9"/>
        <v>11</v>
      </c>
      <c r="P41" s="46" t="s">
        <v>162</v>
      </c>
      <c r="Q41" s="11" t="s">
        <v>270</v>
      </c>
      <c r="R41" s="14" t="s">
        <v>390</v>
      </c>
      <c r="S41" s="52" t="s">
        <v>391</v>
      </c>
      <c r="T41" s="321">
        <v>47779.0</v>
      </c>
      <c r="U41" s="54" t="str">
        <f t="shared" si="1"/>
        <v>Berlaku</v>
      </c>
      <c r="V41" s="321">
        <v>46318.0</v>
      </c>
      <c r="W41" s="54" t="str">
        <f t="shared" si="2"/>
        <v>Akan Habis</v>
      </c>
      <c r="X41" s="324">
        <v>46162.0</v>
      </c>
      <c r="Y41" s="54" t="str">
        <f t="shared" si="3"/>
        <v>Habis</v>
      </c>
      <c r="Z41" s="324">
        <v>46169.0</v>
      </c>
      <c r="AA41" s="54" t="str">
        <f t="shared" si="4"/>
        <v>Habis</v>
      </c>
      <c r="AB41" s="53">
        <v>46717.0</v>
      </c>
      <c r="AC41" s="54" t="str">
        <f t="shared" si="5"/>
        <v>Berlaku</v>
      </c>
      <c r="AD41" s="315">
        <v>46190.0</v>
      </c>
      <c r="AE41" s="56" t="str">
        <f t="shared" si="6"/>
        <v>Habis</v>
      </c>
      <c r="AF41" s="57" t="s">
        <v>166</v>
      </c>
      <c r="AG41" s="57" t="s">
        <v>167</v>
      </c>
      <c r="AH41" s="14"/>
      <c r="AI41" s="158" t="s">
        <v>392</v>
      </c>
      <c r="AJ41" s="59"/>
      <c r="AK41" s="59"/>
      <c r="AL41" s="59"/>
      <c r="AM41" s="59"/>
      <c r="AN41" s="59"/>
      <c r="AO41" s="59"/>
      <c r="AP41" s="59"/>
      <c r="AQ41" s="148"/>
      <c r="AR41" s="148"/>
      <c r="AS41" s="59"/>
      <c r="AT41" s="138"/>
      <c r="AU41" s="138"/>
      <c r="AV41" s="138"/>
      <c r="AW41" s="138"/>
      <c r="AX41" s="138"/>
    </row>
    <row r="42">
      <c r="A42" s="9">
        <v>33.0</v>
      </c>
      <c r="B42" s="311" t="s">
        <v>73</v>
      </c>
      <c r="C42" s="11" t="s">
        <v>153</v>
      </c>
      <c r="D42" s="11">
        <v>24.0</v>
      </c>
      <c r="E42" s="14" t="s">
        <v>47</v>
      </c>
      <c r="F42" s="11">
        <v>2025.0</v>
      </c>
      <c r="G42" s="11">
        <v>2025.0</v>
      </c>
      <c r="H42" s="11">
        <f t="shared" si="8"/>
        <v>1</v>
      </c>
      <c r="I42" s="51" t="s">
        <v>373</v>
      </c>
      <c r="J42" s="11">
        <v>6374.0</v>
      </c>
      <c r="K42" s="11" t="s">
        <v>266</v>
      </c>
      <c r="L42" s="11" t="s">
        <v>160</v>
      </c>
      <c r="M42" s="11" t="s">
        <v>161</v>
      </c>
      <c r="N42" s="11">
        <v>2015.0</v>
      </c>
      <c r="O42" s="11">
        <f t="shared" si="9"/>
        <v>11</v>
      </c>
      <c r="P42" s="46" t="s">
        <v>162</v>
      </c>
      <c r="Q42" s="11" t="s">
        <v>270</v>
      </c>
      <c r="R42" s="14" t="s">
        <v>393</v>
      </c>
      <c r="S42" s="52" t="s">
        <v>394</v>
      </c>
      <c r="T42" s="321">
        <v>47779.0</v>
      </c>
      <c r="U42" s="54" t="str">
        <f t="shared" si="1"/>
        <v>Berlaku</v>
      </c>
      <c r="V42" s="321">
        <v>46318.0</v>
      </c>
      <c r="W42" s="54" t="str">
        <f t="shared" si="2"/>
        <v>Akan Habis</v>
      </c>
      <c r="X42" s="324">
        <v>46162.0</v>
      </c>
      <c r="Y42" s="54" t="str">
        <f t="shared" si="3"/>
        <v>Habis</v>
      </c>
      <c r="Z42" s="324">
        <v>46169.0</v>
      </c>
      <c r="AA42" s="54" t="str">
        <f t="shared" si="4"/>
        <v>Habis</v>
      </c>
      <c r="AB42" s="53">
        <v>46718.0</v>
      </c>
      <c r="AC42" s="54" t="str">
        <f t="shared" si="5"/>
        <v>Berlaku</v>
      </c>
      <c r="AD42" s="315">
        <v>46190.0</v>
      </c>
      <c r="AE42" s="56" t="str">
        <f t="shared" si="6"/>
        <v>Habis</v>
      </c>
      <c r="AF42" s="57" t="s">
        <v>166</v>
      </c>
      <c r="AG42" s="57" t="s">
        <v>167</v>
      </c>
      <c r="AH42" s="14"/>
      <c r="AI42" s="158" t="s">
        <v>396</v>
      </c>
      <c r="AJ42" s="59"/>
      <c r="AK42" s="59"/>
      <c r="AL42" s="59"/>
      <c r="AM42" s="59"/>
      <c r="AN42" s="59"/>
      <c r="AO42" s="59"/>
      <c r="AP42" s="59"/>
      <c r="AQ42" s="148"/>
      <c r="AR42" s="148"/>
      <c r="AS42" s="59"/>
      <c r="AT42" s="138"/>
      <c r="AU42" s="138"/>
      <c r="AV42" s="138"/>
      <c r="AW42" s="138"/>
      <c r="AX42" s="138"/>
    </row>
    <row r="43">
      <c r="A43" s="9">
        <v>34.0</v>
      </c>
      <c r="B43" s="311" t="s">
        <v>74</v>
      </c>
      <c r="C43" s="11" t="s">
        <v>153</v>
      </c>
      <c r="D43" s="11">
        <v>24.0</v>
      </c>
      <c r="E43" s="14" t="s">
        <v>47</v>
      </c>
      <c r="F43" s="11">
        <v>2025.0</v>
      </c>
      <c r="G43" s="11">
        <v>2025.0</v>
      </c>
      <c r="H43" s="11">
        <f t="shared" si="8"/>
        <v>1</v>
      </c>
      <c r="I43" s="51" t="s">
        <v>373</v>
      </c>
      <c r="J43" s="11">
        <v>6374.0</v>
      </c>
      <c r="K43" s="11" t="s">
        <v>266</v>
      </c>
      <c r="L43" s="11" t="s">
        <v>160</v>
      </c>
      <c r="M43" s="11" t="s">
        <v>161</v>
      </c>
      <c r="N43" s="11">
        <v>2015.0</v>
      </c>
      <c r="O43" s="11">
        <f t="shared" si="9"/>
        <v>11</v>
      </c>
      <c r="P43" s="46" t="s">
        <v>162</v>
      </c>
      <c r="Q43" s="11" t="s">
        <v>270</v>
      </c>
      <c r="R43" s="14">
        <v>4.009530019504E13</v>
      </c>
      <c r="S43" s="52" t="s">
        <v>397</v>
      </c>
      <c r="T43" s="321">
        <v>47801.0</v>
      </c>
      <c r="U43" s="54" t="str">
        <f t="shared" si="1"/>
        <v>Berlaku</v>
      </c>
      <c r="V43" s="321">
        <v>46340.0</v>
      </c>
      <c r="W43" s="54" t="str">
        <f t="shared" si="2"/>
        <v>Akan Habis</v>
      </c>
      <c r="X43" s="324">
        <v>46170.0</v>
      </c>
      <c r="Y43" s="54" t="str">
        <f t="shared" si="3"/>
        <v>Habis</v>
      </c>
      <c r="Z43" s="324">
        <v>46177.0</v>
      </c>
      <c r="AA43" s="54" t="str">
        <f t="shared" si="4"/>
        <v>Habis</v>
      </c>
      <c r="AB43" s="53">
        <v>46723.0</v>
      </c>
      <c r="AC43" s="54" t="str">
        <f t="shared" si="5"/>
        <v>Berlaku</v>
      </c>
      <c r="AD43" s="315">
        <v>46190.0</v>
      </c>
      <c r="AE43" s="56" t="str">
        <f t="shared" si="6"/>
        <v>Habis</v>
      </c>
      <c r="AF43" s="57" t="s">
        <v>166</v>
      </c>
      <c r="AG43" s="57" t="s">
        <v>167</v>
      </c>
      <c r="AH43" s="14"/>
      <c r="AI43" s="158" t="s">
        <v>398</v>
      </c>
      <c r="AJ43" s="59"/>
      <c r="AK43" s="59"/>
      <c r="AL43" s="59"/>
      <c r="AM43" s="59"/>
      <c r="AN43" s="59"/>
      <c r="AO43" s="59"/>
      <c r="AP43" s="59"/>
      <c r="AQ43" s="148"/>
      <c r="AR43" s="148"/>
      <c r="AS43" s="59"/>
      <c r="AT43" s="138"/>
      <c r="AU43" s="138"/>
      <c r="AV43" s="138"/>
      <c r="AW43" s="138"/>
      <c r="AX43" s="138"/>
    </row>
    <row r="44">
      <c r="A44" s="9">
        <v>35.0</v>
      </c>
      <c r="B44" s="311" t="s">
        <v>75</v>
      </c>
      <c r="C44" s="11" t="s">
        <v>153</v>
      </c>
      <c r="D44" s="11">
        <v>24.0</v>
      </c>
      <c r="E44" s="14" t="s">
        <v>47</v>
      </c>
      <c r="F44" s="11">
        <v>2025.0</v>
      </c>
      <c r="G44" s="11">
        <v>2025.0</v>
      </c>
      <c r="H44" s="11">
        <f t="shared" si="8"/>
        <v>1</v>
      </c>
      <c r="I44" s="51" t="s">
        <v>373</v>
      </c>
      <c r="J44" s="11">
        <v>6374.0</v>
      </c>
      <c r="K44" s="11" t="s">
        <v>266</v>
      </c>
      <c r="L44" s="11" t="s">
        <v>160</v>
      </c>
      <c r="M44" s="11" t="s">
        <v>161</v>
      </c>
      <c r="N44" s="11">
        <v>2015.0</v>
      </c>
      <c r="O44" s="11">
        <f t="shared" si="9"/>
        <v>11</v>
      </c>
      <c r="P44" s="46" t="s">
        <v>162</v>
      </c>
      <c r="Q44" s="11" t="s">
        <v>270</v>
      </c>
      <c r="R44" s="14" t="s">
        <v>399</v>
      </c>
      <c r="S44" s="52" t="s">
        <v>400</v>
      </c>
      <c r="T44" s="321">
        <v>47801.0</v>
      </c>
      <c r="U44" s="54" t="str">
        <f t="shared" si="1"/>
        <v>Berlaku</v>
      </c>
      <c r="V44" s="321">
        <v>46340.0</v>
      </c>
      <c r="W44" s="54" t="str">
        <f t="shared" si="2"/>
        <v>Akan Habis</v>
      </c>
      <c r="X44" s="324">
        <v>46170.0</v>
      </c>
      <c r="Y44" s="54" t="str">
        <f t="shared" si="3"/>
        <v>Habis</v>
      </c>
      <c r="Z44" s="324">
        <v>46177.0</v>
      </c>
      <c r="AA44" s="54" t="str">
        <f t="shared" si="4"/>
        <v>Habis</v>
      </c>
      <c r="AB44" s="53">
        <v>46724.0</v>
      </c>
      <c r="AC44" s="54" t="str">
        <f t="shared" si="5"/>
        <v>Berlaku</v>
      </c>
      <c r="AD44" s="315">
        <v>46190.0</v>
      </c>
      <c r="AE44" s="56" t="str">
        <f t="shared" si="6"/>
        <v>Habis</v>
      </c>
      <c r="AF44" s="57" t="s">
        <v>166</v>
      </c>
      <c r="AG44" s="57" t="s">
        <v>167</v>
      </c>
      <c r="AH44" s="14"/>
      <c r="AI44" s="158" t="s">
        <v>401</v>
      </c>
      <c r="AJ44" s="59"/>
      <c r="AK44" s="59"/>
      <c r="AL44" s="59"/>
      <c r="AM44" s="59"/>
      <c r="AN44" s="59"/>
      <c r="AO44" s="59"/>
      <c r="AP44" s="59"/>
      <c r="AQ44" s="148"/>
      <c r="AR44" s="148"/>
      <c r="AS44" s="59"/>
      <c r="AT44" s="138"/>
      <c r="AU44" s="138"/>
      <c r="AV44" s="138"/>
      <c r="AW44" s="138"/>
      <c r="AX44" s="138"/>
    </row>
    <row r="45">
      <c r="A45" s="9">
        <v>36.0</v>
      </c>
      <c r="B45" s="311" t="s">
        <v>77</v>
      </c>
      <c r="C45" s="19" t="s">
        <v>240</v>
      </c>
      <c r="D45" s="19">
        <v>16.0</v>
      </c>
      <c r="E45" s="14" t="s">
        <v>78</v>
      </c>
      <c r="F45" s="11">
        <v>2022.0</v>
      </c>
      <c r="G45" s="11">
        <v>2023.0</v>
      </c>
      <c r="H45" s="11">
        <f>A4-F45</f>
        <v>4</v>
      </c>
      <c r="I45" s="51" t="s">
        <v>405</v>
      </c>
      <c r="J45" s="11">
        <v>7698.0</v>
      </c>
      <c r="K45" s="11" t="s">
        <v>266</v>
      </c>
      <c r="L45" s="11" t="s">
        <v>160</v>
      </c>
      <c r="M45" s="11" t="s">
        <v>332</v>
      </c>
      <c r="N45" s="11">
        <v>2023.0</v>
      </c>
      <c r="O45" s="11">
        <f>A4-N45</f>
        <v>3</v>
      </c>
      <c r="P45" s="11" t="s">
        <v>245</v>
      </c>
      <c r="Q45" s="11" t="s">
        <v>199</v>
      </c>
      <c r="R45" s="52" t="s">
        <v>406</v>
      </c>
      <c r="S45" s="52" t="s">
        <v>407</v>
      </c>
      <c r="T45" s="53">
        <v>47102.0</v>
      </c>
      <c r="U45" s="54" t="str">
        <f t="shared" si="1"/>
        <v>Berlaku</v>
      </c>
      <c r="V45" s="317">
        <v>46371.0</v>
      </c>
      <c r="W45" s="54" t="str">
        <f t="shared" si="2"/>
        <v>Berlaku</v>
      </c>
      <c r="X45" s="317">
        <v>46183.0</v>
      </c>
      <c r="Y45" s="54" t="str">
        <f t="shared" si="3"/>
        <v>Habis</v>
      </c>
      <c r="Z45" s="317">
        <v>46190.0</v>
      </c>
      <c r="AA45" s="54" t="str">
        <f t="shared" si="4"/>
        <v>Habis</v>
      </c>
      <c r="AB45" s="317">
        <v>46765.0</v>
      </c>
      <c r="AC45" s="54" t="str">
        <f t="shared" si="5"/>
        <v>Berlaku</v>
      </c>
      <c r="AD45" s="315">
        <v>46184.0</v>
      </c>
      <c r="AE45" s="56" t="str">
        <f t="shared" si="6"/>
        <v>Habis</v>
      </c>
      <c r="AF45" s="96" t="s">
        <v>203</v>
      </c>
      <c r="AG45" s="57" t="s">
        <v>167</v>
      </c>
      <c r="AH45" s="24"/>
      <c r="AI45" s="115" t="s">
        <v>408</v>
      </c>
      <c r="AJ45" s="59"/>
      <c r="AK45" s="59"/>
      <c r="AL45" s="59"/>
      <c r="AM45" s="59"/>
      <c r="AN45" s="59"/>
      <c r="AO45" s="59"/>
      <c r="AP45" s="59"/>
      <c r="AQ45" s="148"/>
      <c r="AR45" s="148"/>
      <c r="AS45" s="59"/>
      <c r="AT45" s="138"/>
      <c r="AU45" s="138"/>
      <c r="AV45" s="138"/>
      <c r="AW45" s="138"/>
      <c r="AX45" s="138"/>
    </row>
    <row r="46">
      <c r="A46" s="9">
        <v>37.0</v>
      </c>
      <c r="B46" s="311" t="s">
        <v>79</v>
      </c>
      <c r="C46" s="19" t="s">
        <v>240</v>
      </c>
      <c r="D46" s="19">
        <v>16.0</v>
      </c>
      <c r="E46" s="14" t="s">
        <v>78</v>
      </c>
      <c r="F46" s="11">
        <v>2022.0</v>
      </c>
      <c r="G46" s="11">
        <v>2023.0</v>
      </c>
      <c r="H46" s="11">
        <f>A4-F46</f>
        <v>4</v>
      </c>
      <c r="I46" s="51" t="s">
        <v>405</v>
      </c>
      <c r="J46" s="11">
        <v>7698.0</v>
      </c>
      <c r="K46" s="11" t="s">
        <v>266</v>
      </c>
      <c r="L46" s="11" t="s">
        <v>160</v>
      </c>
      <c r="M46" s="11" t="s">
        <v>332</v>
      </c>
      <c r="N46" s="11">
        <v>2023.0</v>
      </c>
      <c r="O46" s="11">
        <f>A4-N46</f>
        <v>3</v>
      </c>
      <c r="P46" s="11" t="s">
        <v>245</v>
      </c>
      <c r="Q46" s="11" t="s">
        <v>199</v>
      </c>
      <c r="R46" s="52" t="s">
        <v>409</v>
      </c>
      <c r="S46" s="52" t="s">
        <v>410</v>
      </c>
      <c r="T46" s="53">
        <v>47102.0</v>
      </c>
      <c r="U46" s="54" t="str">
        <f t="shared" si="1"/>
        <v>Berlaku</v>
      </c>
      <c r="V46" s="317">
        <v>46371.0</v>
      </c>
      <c r="W46" s="54" t="str">
        <f t="shared" si="2"/>
        <v>Berlaku</v>
      </c>
      <c r="X46" s="317">
        <v>46183.0</v>
      </c>
      <c r="Y46" s="54" t="str">
        <f t="shared" si="3"/>
        <v>Habis</v>
      </c>
      <c r="Z46" s="317">
        <v>46190.0</v>
      </c>
      <c r="AA46" s="54" t="str">
        <f t="shared" si="4"/>
        <v>Habis</v>
      </c>
      <c r="AB46" s="317">
        <v>46765.0</v>
      </c>
      <c r="AC46" s="54" t="str">
        <f t="shared" si="5"/>
        <v>Berlaku</v>
      </c>
      <c r="AD46" s="315">
        <v>46184.0</v>
      </c>
      <c r="AE46" s="56" t="str">
        <f t="shared" si="6"/>
        <v>Habis</v>
      </c>
      <c r="AF46" s="96" t="s">
        <v>203</v>
      </c>
      <c r="AG46" s="57" t="s">
        <v>167</v>
      </c>
      <c r="AH46" s="24"/>
      <c r="AI46" s="115" t="s">
        <v>411</v>
      </c>
      <c r="AJ46" s="59"/>
      <c r="AK46" s="59"/>
      <c r="AL46" s="59"/>
      <c r="AM46" s="59"/>
      <c r="AN46" s="59"/>
      <c r="AO46" s="59"/>
      <c r="AP46" s="59"/>
      <c r="AQ46" s="148"/>
      <c r="AR46" s="148"/>
      <c r="AS46" s="59"/>
      <c r="AT46" s="138"/>
      <c r="AU46" s="138"/>
      <c r="AV46" s="138"/>
      <c r="AW46" s="138"/>
      <c r="AX46" s="138"/>
    </row>
    <row r="47">
      <c r="A47" s="9">
        <v>38.0</v>
      </c>
      <c r="B47" s="311" t="s">
        <v>80</v>
      </c>
      <c r="C47" s="19" t="s">
        <v>240</v>
      </c>
      <c r="D47" s="19">
        <v>16.0</v>
      </c>
      <c r="E47" s="14" t="s">
        <v>78</v>
      </c>
      <c r="F47" s="11">
        <v>2022.0</v>
      </c>
      <c r="G47" s="11">
        <v>2024.0</v>
      </c>
      <c r="H47" s="11">
        <f>A4-F47</f>
        <v>4</v>
      </c>
      <c r="I47" s="51" t="s">
        <v>412</v>
      </c>
      <c r="J47" s="11">
        <v>7698.0</v>
      </c>
      <c r="K47" s="11" t="s">
        <v>266</v>
      </c>
      <c r="L47" s="11" t="s">
        <v>160</v>
      </c>
      <c r="M47" s="11" t="s">
        <v>332</v>
      </c>
      <c r="N47" s="11">
        <v>2024.0</v>
      </c>
      <c r="O47" s="11">
        <f>A4-N47</f>
        <v>2</v>
      </c>
      <c r="P47" s="11" t="s">
        <v>245</v>
      </c>
      <c r="Q47" s="11" t="s">
        <v>199</v>
      </c>
      <c r="R47" s="52" t="s">
        <v>413</v>
      </c>
      <c r="S47" s="52" t="s">
        <v>414</v>
      </c>
      <c r="T47" s="318">
        <v>47213.0</v>
      </c>
      <c r="U47" s="54" t="str">
        <f t="shared" si="1"/>
        <v>Berlaku</v>
      </c>
      <c r="V47" s="320">
        <v>46482.0</v>
      </c>
      <c r="W47" s="54" t="str">
        <f t="shared" si="2"/>
        <v>Berlaku</v>
      </c>
      <c r="X47" s="321">
        <v>46305.0</v>
      </c>
      <c r="Y47" s="54" t="str">
        <f t="shared" si="3"/>
        <v>Akan Habis</v>
      </c>
      <c r="Z47" s="321">
        <v>46305.0</v>
      </c>
      <c r="AA47" s="54" t="str">
        <f t="shared" si="4"/>
        <v>Akan Habis</v>
      </c>
      <c r="AB47" s="324">
        <v>46155.0</v>
      </c>
      <c r="AC47" s="54" t="str">
        <f t="shared" si="5"/>
        <v>Habis</v>
      </c>
      <c r="AD47" s="324">
        <v>46304.0</v>
      </c>
      <c r="AE47" s="56" t="str">
        <f t="shared" si="6"/>
        <v>Akan Habis</v>
      </c>
      <c r="AF47" s="96" t="s">
        <v>203</v>
      </c>
      <c r="AG47" s="57" t="s">
        <v>167</v>
      </c>
      <c r="AH47" s="14"/>
      <c r="AI47" s="115" t="s">
        <v>415</v>
      </c>
      <c r="AJ47" s="59"/>
      <c r="AK47" s="59"/>
      <c r="AL47" s="59"/>
      <c r="AM47" s="59"/>
      <c r="AN47" s="59"/>
      <c r="AO47" s="59"/>
      <c r="AP47" s="59"/>
      <c r="AQ47" s="148"/>
      <c r="AR47" s="148"/>
      <c r="AS47" s="59"/>
      <c r="AT47" s="59"/>
      <c r="AU47" s="59"/>
      <c r="AV47" s="59"/>
      <c r="AW47" s="59"/>
      <c r="AX47" s="59"/>
    </row>
    <row r="48">
      <c r="A48" s="9">
        <v>39.0</v>
      </c>
      <c r="B48" s="311" t="s">
        <v>81</v>
      </c>
      <c r="C48" s="11" t="s">
        <v>153</v>
      </c>
      <c r="D48" s="11">
        <v>24.0</v>
      </c>
      <c r="E48" s="14" t="s">
        <v>78</v>
      </c>
      <c r="F48" s="11">
        <v>2023.0</v>
      </c>
      <c r="G48" s="11">
        <v>2024.0</v>
      </c>
      <c r="H48" s="11">
        <f>A4-F48</f>
        <v>3</v>
      </c>
      <c r="I48" s="51" t="s">
        <v>416</v>
      </c>
      <c r="J48" s="11">
        <v>7698.0</v>
      </c>
      <c r="K48" s="11" t="s">
        <v>266</v>
      </c>
      <c r="L48" s="11" t="s">
        <v>160</v>
      </c>
      <c r="M48" s="11" t="s">
        <v>332</v>
      </c>
      <c r="N48" s="11">
        <v>2024.0</v>
      </c>
      <c r="O48" s="11">
        <f>A4-N48</f>
        <v>2</v>
      </c>
      <c r="P48" s="11" t="s">
        <v>162</v>
      </c>
      <c r="Q48" s="11" t="s">
        <v>199</v>
      </c>
      <c r="R48" s="52" t="s">
        <v>417</v>
      </c>
      <c r="S48" s="52" t="s">
        <v>418</v>
      </c>
      <c r="T48" s="318">
        <v>47213.0</v>
      </c>
      <c r="U48" s="54" t="str">
        <f t="shared" si="1"/>
        <v>Berlaku</v>
      </c>
      <c r="V48" s="320">
        <v>46482.0</v>
      </c>
      <c r="W48" s="54" t="str">
        <f t="shared" si="2"/>
        <v>Berlaku</v>
      </c>
      <c r="X48" s="321">
        <v>46305.0</v>
      </c>
      <c r="Y48" s="54" t="str">
        <f t="shared" si="3"/>
        <v>Akan Habis</v>
      </c>
      <c r="Z48" s="321">
        <v>46305.0</v>
      </c>
      <c r="AA48" s="54" t="str">
        <f t="shared" si="4"/>
        <v>Akan Habis</v>
      </c>
      <c r="AB48" s="53">
        <f>VLOOKUP(B48,'DATA EXP TERA'!$C$3:$D$85,2,0)</f>
        <v>46158</v>
      </c>
      <c r="AC48" s="54" t="str">
        <f t="shared" si="5"/>
        <v>Habis</v>
      </c>
      <c r="AD48" s="324">
        <v>46304.0</v>
      </c>
      <c r="AE48" s="56" t="str">
        <f t="shared" si="6"/>
        <v>Akan Habis</v>
      </c>
      <c r="AF48" s="96" t="s">
        <v>203</v>
      </c>
      <c r="AG48" s="57" t="s">
        <v>167</v>
      </c>
      <c r="AH48" s="14"/>
      <c r="AI48" s="115" t="s">
        <v>419</v>
      </c>
      <c r="AJ48" s="59"/>
      <c r="AK48" s="59"/>
      <c r="AL48" s="59"/>
      <c r="AM48" s="59"/>
      <c r="AN48" s="59"/>
      <c r="AO48" s="59"/>
      <c r="AP48" s="59"/>
      <c r="AQ48" s="148"/>
      <c r="AR48" s="148"/>
      <c r="AS48" s="59"/>
      <c r="AT48" s="59"/>
      <c r="AU48" s="59"/>
      <c r="AV48" s="59"/>
      <c r="AW48" s="59"/>
      <c r="AX48" s="59"/>
    </row>
    <row r="49">
      <c r="A49" s="9">
        <v>40.0</v>
      </c>
      <c r="B49" s="311" t="s">
        <v>83</v>
      </c>
      <c r="C49" s="11" t="s">
        <v>153</v>
      </c>
      <c r="D49" s="11">
        <v>24.0</v>
      </c>
      <c r="E49" s="14" t="s">
        <v>78</v>
      </c>
      <c r="F49" s="11">
        <v>2023.0</v>
      </c>
      <c r="G49" s="11">
        <v>2024.0</v>
      </c>
      <c r="H49" s="11">
        <f>A4-F49</f>
        <v>3</v>
      </c>
      <c r="I49" s="51" t="s">
        <v>416</v>
      </c>
      <c r="J49" s="11">
        <v>7698.0</v>
      </c>
      <c r="K49" s="11" t="s">
        <v>266</v>
      </c>
      <c r="L49" s="11" t="s">
        <v>160</v>
      </c>
      <c r="M49" s="11" t="s">
        <v>332</v>
      </c>
      <c r="N49" s="11">
        <v>2024.0</v>
      </c>
      <c r="O49" s="11">
        <f>A4-N49</f>
        <v>2</v>
      </c>
      <c r="P49" s="11" t="s">
        <v>162</v>
      </c>
      <c r="Q49" s="11" t="s">
        <v>199</v>
      </c>
      <c r="R49" s="52" t="s">
        <v>420</v>
      </c>
      <c r="S49" s="52" t="s">
        <v>421</v>
      </c>
      <c r="T49" s="321">
        <v>47225.0</v>
      </c>
      <c r="U49" s="54" t="str">
        <f t="shared" si="1"/>
        <v>Berlaku</v>
      </c>
      <c r="V49" s="320">
        <v>46482.0</v>
      </c>
      <c r="W49" s="54" t="str">
        <f t="shared" si="2"/>
        <v>Berlaku</v>
      </c>
      <c r="X49" s="321">
        <v>46317.0</v>
      </c>
      <c r="Y49" s="54" t="str">
        <f t="shared" si="3"/>
        <v>Akan Habis</v>
      </c>
      <c r="Z49" s="321">
        <v>46317.0</v>
      </c>
      <c r="AA49" s="54" t="str">
        <f t="shared" si="4"/>
        <v>Berlaku</v>
      </c>
      <c r="AB49" s="53">
        <f>VLOOKUP(B49,'DATA EXP TERA'!$C$3:$D$85,2,0)</f>
        <v>46218</v>
      </c>
      <c r="AC49" s="54" t="str">
        <f t="shared" si="5"/>
        <v>Habis</v>
      </c>
      <c r="AD49" s="315">
        <v>46340.0</v>
      </c>
      <c r="AE49" s="56" t="str">
        <f t="shared" si="6"/>
        <v>Berlaku</v>
      </c>
      <c r="AF49" s="96" t="s">
        <v>203</v>
      </c>
      <c r="AG49" s="57" t="s">
        <v>167</v>
      </c>
      <c r="AH49" s="14"/>
      <c r="AI49" s="115" t="s">
        <v>422</v>
      </c>
      <c r="AJ49" s="59"/>
      <c r="AK49" s="59"/>
      <c r="AL49" s="59"/>
      <c r="AM49" s="59"/>
      <c r="AN49" s="59"/>
      <c r="AO49" s="59"/>
      <c r="AP49" s="59"/>
      <c r="AQ49" s="148"/>
      <c r="AR49" s="148"/>
      <c r="AS49" s="59"/>
      <c r="AT49" s="59"/>
      <c r="AU49" s="59"/>
      <c r="AV49" s="59"/>
      <c r="AW49" s="59"/>
      <c r="AX49" s="59"/>
    </row>
    <row r="50">
      <c r="A50" s="9">
        <v>41.0</v>
      </c>
      <c r="B50" s="311" t="s">
        <v>84</v>
      </c>
      <c r="C50" s="19" t="s">
        <v>240</v>
      </c>
      <c r="D50" s="19">
        <v>16.0</v>
      </c>
      <c r="E50" s="14" t="s">
        <v>85</v>
      </c>
      <c r="F50" s="11">
        <v>2022.0</v>
      </c>
      <c r="G50" s="11">
        <v>2023.0</v>
      </c>
      <c r="H50" s="11">
        <f>A4-F50</f>
        <v>4</v>
      </c>
      <c r="I50" s="51" t="s">
        <v>405</v>
      </c>
      <c r="J50" s="11">
        <v>7698.0</v>
      </c>
      <c r="K50" s="11" t="s">
        <v>266</v>
      </c>
      <c r="L50" s="11" t="s">
        <v>160</v>
      </c>
      <c r="M50" s="11" t="s">
        <v>332</v>
      </c>
      <c r="N50" s="11">
        <v>2023.0</v>
      </c>
      <c r="O50" s="11">
        <f>A4-N50</f>
        <v>3</v>
      </c>
      <c r="P50" s="11" t="s">
        <v>245</v>
      </c>
      <c r="Q50" s="11" t="s">
        <v>199</v>
      </c>
      <c r="R50" s="52" t="s">
        <v>423</v>
      </c>
      <c r="S50" s="52" t="s">
        <v>424</v>
      </c>
      <c r="T50" s="53">
        <v>47102.0</v>
      </c>
      <c r="U50" s="54" t="str">
        <f t="shared" si="1"/>
        <v>Berlaku</v>
      </c>
      <c r="V50" s="317">
        <v>46371.0</v>
      </c>
      <c r="W50" s="54" t="str">
        <f t="shared" si="2"/>
        <v>Berlaku</v>
      </c>
      <c r="X50" s="317">
        <v>46183.0</v>
      </c>
      <c r="Y50" s="54" t="str">
        <f t="shared" si="3"/>
        <v>Habis</v>
      </c>
      <c r="Z50" s="317">
        <v>46190.0</v>
      </c>
      <c r="AA50" s="54" t="str">
        <f t="shared" si="4"/>
        <v>Habis</v>
      </c>
      <c r="AB50" s="53">
        <v>46767.0</v>
      </c>
      <c r="AC50" s="54" t="str">
        <f t="shared" si="5"/>
        <v>Berlaku</v>
      </c>
      <c r="AD50" s="315">
        <v>46177.0</v>
      </c>
      <c r="AE50" s="56" t="str">
        <f t="shared" si="6"/>
        <v>Habis</v>
      </c>
      <c r="AF50" s="96" t="s">
        <v>203</v>
      </c>
      <c r="AG50" s="57" t="s">
        <v>167</v>
      </c>
      <c r="AH50" s="24"/>
      <c r="AI50" s="115" t="s">
        <v>425</v>
      </c>
      <c r="AJ50" s="59"/>
      <c r="AK50" s="59"/>
      <c r="AL50" s="59"/>
      <c r="AM50" s="59"/>
      <c r="AN50" s="59"/>
      <c r="AO50" s="59"/>
      <c r="AP50" s="59"/>
      <c r="AQ50" s="148"/>
      <c r="AR50" s="148"/>
      <c r="AS50" s="59"/>
      <c r="AT50" s="59"/>
      <c r="AU50" s="59"/>
      <c r="AV50" s="59"/>
      <c r="AW50" s="59"/>
      <c r="AX50" s="59"/>
    </row>
    <row r="51">
      <c r="A51" s="9">
        <v>42.0</v>
      </c>
      <c r="B51" s="311" t="s">
        <v>86</v>
      </c>
      <c r="C51" s="19" t="s">
        <v>240</v>
      </c>
      <c r="D51" s="19">
        <v>16.0</v>
      </c>
      <c r="E51" s="14" t="s">
        <v>85</v>
      </c>
      <c r="F51" s="11">
        <v>2022.0</v>
      </c>
      <c r="G51" s="11">
        <v>2024.0</v>
      </c>
      <c r="H51" s="11">
        <f>A4-F51</f>
        <v>4</v>
      </c>
      <c r="I51" s="51" t="s">
        <v>412</v>
      </c>
      <c r="J51" s="11">
        <v>7698.0</v>
      </c>
      <c r="K51" s="11" t="s">
        <v>266</v>
      </c>
      <c r="L51" s="11" t="s">
        <v>160</v>
      </c>
      <c r="M51" s="11" t="s">
        <v>332</v>
      </c>
      <c r="N51" s="11">
        <v>2024.0</v>
      </c>
      <c r="O51" s="11">
        <f>A4-N51</f>
        <v>2</v>
      </c>
      <c r="P51" s="11" t="s">
        <v>245</v>
      </c>
      <c r="Q51" s="11" t="s">
        <v>199</v>
      </c>
      <c r="R51" s="52" t="s">
        <v>426</v>
      </c>
      <c r="S51" s="52" t="s">
        <v>427</v>
      </c>
      <c r="T51" s="318">
        <v>47213.0</v>
      </c>
      <c r="U51" s="54" t="str">
        <f t="shared" si="1"/>
        <v>Berlaku</v>
      </c>
      <c r="V51" s="320">
        <v>46482.0</v>
      </c>
      <c r="W51" s="54" t="str">
        <f t="shared" si="2"/>
        <v>Berlaku</v>
      </c>
      <c r="X51" s="321">
        <v>46314.0</v>
      </c>
      <c r="Y51" s="54" t="str">
        <f t="shared" si="3"/>
        <v>Akan Habis</v>
      </c>
      <c r="Z51" s="321">
        <v>46314.0</v>
      </c>
      <c r="AA51" s="54" t="str">
        <f t="shared" si="4"/>
        <v>Akan Habis</v>
      </c>
      <c r="AB51" s="53">
        <f>VLOOKUP(B51,'DATA EXP TERA'!$C$3:$D$85,2,0)</f>
        <v>46157</v>
      </c>
      <c r="AC51" s="54" t="str">
        <f t="shared" si="5"/>
        <v>Habis</v>
      </c>
      <c r="AD51" s="324">
        <v>46304.0</v>
      </c>
      <c r="AE51" s="56" t="str">
        <f t="shared" si="6"/>
        <v>Akan Habis</v>
      </c>
      <c r="AF51" s="96" t="s">
        <v>203</v>
      </c>
      <c r="AG51" s="57" t="s">
        <v>167</v>
      </c>
      <c r="AH51" s="14"/>
      <c r="AI51" s="115" t="s">
        <v>428</v>
      </c>
      <c r="AJ51" s="59"/>
      <c r="AK51" s="59"/>
      <c r="AL51" s="59"/>
      <c r="AM51" s="59"/>
      <c r="AN51" s="59"/>
      <c r="AO51" s="59"/>
      <c r="AP51" s="59"/>
      <c r="AQ51" s="148"/>
      <c r="AR51" s="148"/>
      <c r="AS51" s="59"/>
      <c r="AT51" s="59"/>
      <c r="AU51" s="59"/>
      <c r="AV51" s="59"/>
      <c r="AW51" s="59"/>
      <c r="AX51" s="59"/>
    </row>
    <row r="52">
      <c r="A52" s="9">
        <v>43.0</v>
      </c>
      <c r="B52" s="311" t="s">
        <v>87</v>
      </c>
      <c r="C52" s="11" t="s">
        <v>153</v>
      </c>
      <c r="D52" s="11">
        <v>24.0</v>
      </c>
      <c r="E52" s="14" t="s">
        <v>85</v>
      </c>
      <c r="F52" s="11">
        <v>2023.0</v>
      </c>
      <c r="G52" s="11">
        <v>2024.0</v>
      </c>
      <c r="H52" s="11">
        <f>A4-F52</f>
        <v>3</v>
      </c>
      <c r="I52" s="51" t="s">
        <v>429</v>
      </c>
      <c r="J52" s="11">
        <v>7698.0</v>
      </c>
      <c r="K52" s="11" t="s">
        <v>266</v>
      </c>
      <c r="L52" s="11" t="s">
        <v>160</v>
      </c>
      <c r="M52" s="11" t="s">
        <v>332</v>
      </c>
      <c r="N52" s="11">
        <v>2023.0</v>
      </c>
      <c r="O52" s="11">
        <f>A4-N52</f>
        <v>3</v>
      </c>
      <c r="P52" s="11" t="s">
        <v>162</v>
      </c>
      <c r="Q52" s="11" t="s">
        <v>199</v>
      </c>
      <c r="R52" s="52" t="s">
        <v>430</v>
      </c>
      <c r="S52" s="52" t="s">
        <v>431</v>
      </c>
      <c r="T52" s="318">
        <v>47184.0</v>
      </c>
      <c r="U52" s="54" t="str">
        <f t="shared" si="1"/>
        <v>Berlaku</v>
      </c>
      <c r="V52" s="320">
        <v>46453.0</v>
      </c>
      <c r="W52" s="54" t="str">
        <f t="shared" si="2"/>
        <v>Berlaku</v>
      </c>
      <c r="X52" s="323">
        <v>46277.0</v>
      </c>
      <c r="Y52" s="54" t="str">
        <f t="shared" si="3"/>
        <v>Habis</v>
      </c>
      <c r="Z52" s="323">
        <v>46277.0</v>
      </c>
      <c r="AA52" s="54" t="str">
        <f t="shared" si="4"/>
        <v>Habis</v>
      </c>
      <c r="AB52" s="323">
        <v>46806.0</v>
      </c>
      <c r="AC52" s="54" t="str">
        <f t="shared" si="5"/>
        <v>Berlaku</v>
      </c>
      <c r="AD52" s="315">
        <v>46266.0</v>
      </c>
      <c r="AE52" s="56" t="str">
        <f t="shared" si="6"/>
        <v>Habis</v>
      </c>
      <c r="AF52" s="96" t="s">
        <v>203</v>
      </c>
      <c r="AG52" s="57" t="s">
        <v>167</v>
      </c>
      <c r="AH52" s="14"/>
      <c r="AI52" s="115" t="s">
        <v>432</v>
      </c>
      <c r="AJ52" s="59"/>
      <c r="AK52" s="59"/>
      <c r="AL52" s="59"/>
      <c r="AM52" s="59"/>
      <c r="AN52" s="59"/>
      <c r="AO52" s="59"/>
      <c r="AP52" s="59"/>
      <c r="AQ52" s="148"/>
      <c r="AR52" s="148"/>
      <c r="AS52" s="59"/>
      <c r="AT52" s="59"/>
      <c r="AU52" s="59"/>
      <c r="AV52" s="59"/>
      <c r="AW52" s="59"/>
      <c r="AX52" s="59"/>
    </row>
    <row r="53">
      <c r="A53" s="9">
        <v>44.0</v>
      </c>
      <c r="B53" s="311" t="s">
        <v>88</v>
      </c>
      <c r="C53" s="22" t="s">
        <v>324</v>
      </c>
      <c r="D53" s="22">
        <v>8.0</v>
      </c>
      <c r="E53" s="24" t="s">
        <v>85</v>
      </c>
      <c r="F53" s="9">
        <v>2022.0</v>
      </c>
      <c r="G53" s="9">
        <v>2024.0</v>
      </c>
      <c r="H53" s="11">
        <f>A4-F53</f>
        <v>4</v>
      </c>
      <c r="I53" s="117" t="s">
        <v>433</v>
      </c>
      <c r="J53" s="9">
        <v>7698.0</v>
      </c>
      <c r="K53" s="11" t="s">
        <v>266</v>
      </c>
      <c r="L53" s="9" t="s">
        <v>160</v>
      </c>
      <c r="M53" s="9" t="s">
        <v>332</v>
      </c>
      <c r="N53" s="9">
        <v>2024.0</v>
      </c>
      <c r="O53" s="11">
        <f>A4-N53</f>
        <v>2</v>
      </c>
      <c r="P53" s="9" t="s">
        <v>245</v>
      </c>
      <c r="Q53" s="9" t="s">
        <v>199</v>
      </c>
      <c r="R53" s="118" t="s">
        <v>434</v>
      </c>
      <c r="S53" s="118" t="s">
        <v>435</v>
      </c>
      <c r="T53" s="53">
        <v>47253.0</v>
      </c>
      <c r="U53" s="54" t="str">
        <f t="shared" si="1"/>
        <v>Berlaku</v>
      </c>
      <c r="V53" s="317">
        <v>46157.0</v>
      </c>
      <c r="W53" s="54" t="str">
        <f t="shared" si="2"/>
        <v>Habis</v>
      </c>
      <c r="X53" s="317">
        <v>46183.0</v>
      </c>
      <c r="Y53" s="54" t="str">
        <f t="shared" si="3"/>
        <v>Habis</v>
      </c>
      <c r="Z53" s="317">
        <v>46190.0</v>
      </c>
      <c r="AA53" s="54" t="str">
        <f t="shared" si="4"/>
        <v>Habis</v>
      </c>
      <c r="AB53" s="53">
        <f>VLOOKUP(B53,'DATA EXP TERA'!$C$3:$D$85,2,0)</f>
        <v>46233</v>
      </c>
      <c r="AC53" s="54" t="str">
        <f t="shared" si="5"/>
        <v>Habis</v>
      </c>
      <c r="AD53" s="315">
        <v>46340.0</v>
      </c>
      <c r="AE53" s="56" t="str">
        <f t="shared" si="6"/>
        <v>Berlaku</v>
      </c>
      <c r="AF53" s="96" t="s">
        <v>203</v>
      </c>
      <c r="AG53" s="57" t="s">
        <v>167</v>
      </c>
      <c r="AH53" s="14"/>
      <c r="AI53" s="115" t="s">
        <v>436</v>
      </c>
      <c r="AJ53" s="59"/>
      <c r="AK53" s="59"/>
      <c r="AL53" s="59"/>
      <c r="AM53" s="59"/>
      <c r="AN53" s="59"/>
      <c r="AO53" s="59"/>
      <c r="AP53" s="59"/>
      <c r="AQ53" s="148"/>
      <c r="AR53" s="148"/>
      <c r="AS53" s="59"/>
      <c r="AT53" s="59"/>
      <c r="AU53" s="59"/>
      <c r="AV53" s="59"/>
      <c r="AW53" s="59"/>
      <c r="AX53" s="59"/>
    </row>
    <row r="54">
      <c r="A54" s="9">
        <v>45.0</v>
      </c>
      <c r="B54" s="311" t="s">
        <v>89</v>
      </c>
      <c r="C54" s="11" t="s">
        <v>153</v>
      </c>
      <c r="D54" s="11">
        <v>24.0</v>
      </c>
      <c r="E54" s="14" t="s">
        <v>85</v>
      </c>
      <c r="F54" s="11">
        <v>2023.0</v>
      </c>
      <c r="G54" s="11">
        <v>2024.0</v>
      </c>
      <c r="H54" s="11">
        <f>A4-F54</f>
        <v>3</v>
      </c>
      <c r="I54" s="51" t="s">
        <v>416</v>
      </c>
      <c r="J54" s="11">
        <v>7698.0</v>
      </c>
      <c r="K54" s="11" t="s">
        <v>266</v>
      </c>
      <c r="L54" s="11" t="s">
        <v>160</v>
      </c>
      <c r="M54" s="11" t="s">
        <v>332</v>
      </c>
      <c r="N54" s="11">
        <v>2023.0</v>
      </c>
      <c r="O54" s="11">
        <f>A4-N54</f>
        <v>3</v>
      </c>
      <c r="P54" s="11" t="s">
        <v>162</v>
      </c>
      <c r="Q54" s="11" t="s">
        <v>199</v>
      </c>
      <c r="R54" s="52" t="s">
        <v>437</v>
      </c>
      <c r="S54" s="52" t="s">
        <v>438</v>
      </c>
      <c r="T54" s="318">
        <v>47184.0</v>
      </c>
      <c r="U54" s="54" t="str">
        <f t="shared" si="1"/>
        <v>Berlaku</v>
      </c>
      <c r="V54" s="320">
        <v>46453.0</v>
      </c>
      <c r="W54" s="54" t="str">
        <f t="shared" si="2"/>
        <v>Berlaku</v>
      </c>
      <c r="X54" s="323">
        <v>46277.0</v>
      </c>
      <c r="Y54" s="54" t="str">
        <f t="shared" si="3"/>
        <v>Habis</v>
      </c>
      <c r="Z54" s="323">
        <v>46277.0</v>
      </c>
      <c r="AA54" s="54" t="str">
        <f t="shared" si="4"/>
        <v>Habis</v>
      </c>
      <c r="AB54" s="53">
        <f>VLOOKUP(B54,'DATA EXP TERA'!$C$3:$D$85,2,0)</f>
        <v>46451</v>
      </c>
      <c r="AC54" s="54" t="str">
        <f t="shared" si="5"/>
        <v>Berlaku</v>
      </c>
      <c r="AD54" s="315">
        <v>46340.0</v>
      </c>
      <c r="AE54" s="56" t="str">
        <f t="shared" si="6"/>
        <v>Berlaku</v>
      </c>
      <c r="AF54" s="96" t="s">
        <v>203</v>
      </c>
      <c r="AG54" s="57" t="s">
        <v>167</v>
      </c>
      <c r="AH54" s="14"/>
      <c r="AI54" s="115" t="s">
        <v>439</v>
      </c>
      <c r="AJ54" s="59"/>
      <c r="AK54" s="59"/>
      <c r="AL54" s="59"/>
      <c r="AM54" s="59"/>
      <c r="AN54" s="59"/>
      <c r="AO54" s="59"/>
      <c r="AP54" s="59"/>
      <c r="AQ54" s="148"/>
      <c r="AR54" s="148"/>
      <c r="AS54" s="59"/>
      <c r="AT54" s="59"/>
      <c r="AU54" s="59"/>
      <c r="AV54" s="59"/>
      <c r="AW54" s="59"/>
      <c r="AX54" s="59"/>
    </row>
    <row r="55">
      <c r="A55" s="9">
        <v>46.0</v>
      </c>
      <c r="B55" s="311" t="s">
        <v>91</v>
      </c>
      <c r="C55" s="19" t="s">
        <v>240</v>
      </c>
      <c r="D55" s="19">
        <v>16.0</v>
      </c>
      <c r="E55" s="14" t="s">
        <v>85</v>
      </c>
      <c r="F55" s="11">
        <v>2023.0</v>
      </c>
      <c r="G55" s="11">
        <v>2025.0</v>
      </c>
      <c r="H55" s="11">
        <f>A4-F55</f>
        <v>3</v>
      </c>
      <c r="I55" s="51" t="s">
        <v>440</v>
      </c>
      <c r="J55" s="11">
        <v>7700.0</v>
      </c>
      <c r="K55" s="11" t="s">
        <v>266</v>
      </c>
      <c r="L55" s="11" t="s">
        <v>160</v>
      </c>
      <c r="M55" s="11" t="s">
        <v>332</v>
      </c>
      <c r="N55" s="11">
        <v>2025.0</v>
      </c>
      <c r="O55" s="11">
        <f>A4-N55</f>
        <v>1</v>
      </c>
      <c r="P55" s="11" t="s">
        <v>245</v>
      </c>
      <c r="Q55" s="11" t="s">
        <v>441</v>
      </c>
      <c r="R55" s="52" t="s">
        <v>442</v>
      </c>
      <c r="S55" s="52" t="s">
        <v>443</v>
      </c>
      <c r="T55" s="321">
        <v>47596.0</v>
      </c>
      <c r="U55" s="54" t="str">
        <f t="shared" si="1"/>
        <v>Berlaku</v>
      </c>
      <c r="V55" s="317">
        <v>46500.0</v>
      </c>
      <c r="W55" s="54" t="str">
        <f t="shared" si="2"/>
        <v>Berlaku</v>
      </c>
      <c r="X55" s="317">
        <v>46162.0</v>
      </c>
      <c r="Y55" s="54" t="str">
        <f t="shared" si="3"/>
        <v>Habis</v>
      </c>
      <c r="Z55" s="317">
        <v>46169.0</v>
      </c>
      <c r="AA55" s="54" t="str">
        <f t="shared" si="4"/>
        <v>Habis</v>
      </c>
      <c r="AB55" s="53">
        <f>VLOOKUP(B55,'DATA EXP TERA'!$C$3:$D$85,2,0)</f>
        <v>46542</v>
      </c>
      <c r="AC55" s="54" t="str">
        <f t="shared" si="5"/>
        <v>Berlaku</v>
      </c>
      <c r="AD55" s="315">
        <v>46162.0</v>
      </c>
      <c r="AE55" s="56" t="str">
        <f t="shared" si="6"/>
        <v>Habis</v>
      </c>
      <c r="AF55" s="96" t="s">
        <v>444</v>
      </c>
      <c r="AG55" s="57" t="s">
        <v>167</v>
      </c>
      <c r="AH55" s="14"/>
      <c r="AI55" s="115" t="s">
        <v>445</v>
      </c>
      <c r="AJ55" s="59"/>
      <c r="AK55" s="59"/>
      <c r="AL55" s="59"/>
      <c r="AM55" s="59"/>
      <c r="AN55" s="59"/>
      <c r="AO55" s="59"/>
      <c r="AP55" s="59"/>
      <c r="AQ55" s="148"/>
      <c r="AR55" s="148"/>
      <c r="AS55" s="59"/>
      <c r="AT55" s="59"/>
      <c r="AU55" s="59"/>
      <c r="AV55" s="59"/>
      <c r="AW55" s="59"/>
      <c r="AX55" s="59"/>
    </row>
    <row r="56">
      <c r="A56" s="9">
        <v>47.0</v>
      </c>
      <c r="B56" s="311" t="s">
        <v>92</v>
      </c>
      <c r="C56" s="11" t="s">
        <v>240</v>
      </c>
      <c r="D56" s="11">
        <v>16.0</v>
      </c>
      <c r="E56" s="24" t="s">
        <v>85</v>
      </c>
      <c r="F56" s="19">
        <v>2024.0</v>
      </c>
      <c r="G56" s="19">
        <v>2025.0</v>
      </c>
      <c r="H56" s="11">
        <f>A4-F56</f>
        <v>2</v>
      </c>
      <c r="I56" s="137" t="s">
        <v>440</v>
      </c>
      <c r="J56" s="19">
        <v>6600.0</v>
      </c>
      <c r="K56" s="11" t="s">
        <v>266</v>
      </c>
      <c r="L56" s="11" t="s">
        <v>160</v>
      </c>
      <c r="M56" s="11" t="s">
        <v>161</v>
      </c>
      <c r="N56" s="11">
        <v>2025.0</v>
      </c>
      <c r="O56" s="11">
        <f>A4-N56</f>
        <v>1</v>
      </c>
      <c r="P56" s="11" t="s">
        <v>245</v>
      </c>
      <c r="Q56" s="11" t="s">
        <v>441</v>
      </c>
      <c r="R56" s="115" t="s">
        <v>446</v>
      </c>
      <c r="S56" s="115" t="s">
        <v>447</v>
      </c>
      <c r="T56" s="322">
        <v>47720.0</v>
      </c>
      <c r="U56" s="54" t="str">
        <f t="shared" si="1"/>
        <v>Berlaku</v>
      </c>
      <c r="V56" s="323">
        <v>46259.0</v>
      </c>
      <c r="W56" s="54" t="str">
        <f t="shared" si="2"/>
        <v>Habis</v>
      </c>
      <c r="X56" s="323">
        <v>46277.0</v>
      </c>
      <c r="Y56" s="54" t="str">
        <f t="shared" si="3"/>
        <v>Habis</v>
      </c>
      <c r="Z56" s="323">
        <v>46277.0</v>
      </c>
      <c r="AA56" s="54" t="str">
        <f t="shared" si="4"/>
        <v>Habis</v>
      </c>
      <c r="AB56" s="53">
        <f>VLOOKUP(B56,'DATA EXP TERA'!$C$3:$D$85,2,0)</f>
        <v>46668</v>
      </c>
      <c r="AC56" s="54" t="str">
        <f t="shared" si="5"/>
        <v>Berlaku</v>
      </c>
      <c r="AD56" s="315">
        <v>46293.0</v>
      </c>
      <c r="AE56" s="56" t="str">
        <f t="shared" si="6"/>
        <v>Habis</v>
      </c>
      <c r="AF56" s="96" t="s">
        <v>444</v>
      </c>
      <c r="AG56" s="57" t="s">
        <v>167</v>
      </c>
      <c r="AH56" s="163"/>
      <c r="AI56" s="115" t="s">
        <v>448</v>
      </c>
      <c r="AJ56" s="59"/>
      <c r="AK56" s="59"/>
      <c r="AL56" s="59"/>
      <c r="AM56" s="59"/>
      <c r="AN56" s="59"/>
      <c r="AO56" s="59"/>
      <c r="AP56" s="59"/>
      <c r="AQ56" s="148"/>
      <c r="AR56" s="148"/>
      <c r="AS56" s="59"/>
      <c r="AT56" s="59"/>
      <c r="AU56" s="59"/>
      <c r="AV56" s="59"/>
      <c r="AW56" s="59"/>
      <c r="AX56" s="59"/>
    </row>
    <row r="57">
      <c r="A57" s="9">
        <v>48.0</v>
      </c>
      <c r="B57" s="311" t="s">
        <v>93</v>
      </c>
      <c r="C57" s="19" t="s">
        <v>240</v>
      </c>
      <c r="D57" s="19">
        <v>16.0</v>
      </c>
      <c r="E57" s="26" t="s">
        <v>94</v>
      </c>
      <c r="F57" s="19">
        <v>2022.0</v>
      </c>
      <c r="G57" s="19">
        <v>2022.0</v>
      </c>
      <c r="H57" s="11">
        <f>A4-F57</f>
        <v>4</v>
      </c>
      <c r="I57" s="137" t="s">
        <v>449</v>
      </c>
      <c r="J57" s="19">
        <v>7684.0</v>
      </c>
      <c r="K57" s="11" t="s">
        <v>243</v>
      </c>
      <c r="L57" s="11" t="s">
        <v>160</v>
      </c>
      <c r="M57" s="11" t="s">
        <v>332</v>
      </c>
      <c r="N57" s="11">
        <v>2022.0</v>
      </c>
      <c r="O57" s="11">
        <f>A4-N57</f>
        <v>4</v>
      </c>
      <c r="P57" s="19" t="s">
        <v>245</v>
      </c>
      <c r="Q57" s="19" t="s">
        <v>163</v>
      </c>
      <c r="R57" s="115" t="s">
        <v>450</v>
      </c>
      <c r="S57" s="115" t="s">
        <v>451</v>
      </c>
      <c r="T57" s="327">
        <v>46693.0</v>
      </c>
      <c r="U57" s="54" t="str">
        <f t="shared" si="1"/>
        <v>Berlaku</v>
      </c>
      <c r="V57" s="324">
        <v>46693.0</v>
      </c>
      <c r="W57" s="54" t="str">
        <f t="shared" si="2"/>
        <v>Berlaku</v>
      </c>
      <c r="X57" s="320">
        <v>46274.0</v>
      </c>
      <c r="Y57" s="54" t="str">
        <f t="shared" si="3"/>
        <v>Habis</v>
      </c>
      <c r="Z57" s="320">
        <v>46274.0</v>
      </c>
      <c r="AA57" s="54" t="str">
        <f t="shared" si="4"/>
        <v>Habis</v>
      </c>
      <c r="AB57" s="53">
        <f>VLOOKUP(B57,'DATA EXP TERA'!$C$3:$D$85,2,0)</f>
        <v>46234</v>
      </c>
      <c r="AC57" s="54" t="str">
        <f t="shared" si="5"/>
        <v>Habis</v>
      </c>
      <c r="AD57" s="315">
        <v>46258.0</v>
      </c>
      <c r="AE57" s="56" t="str">
        <f t="shared" si="6"/>
        <v>Habis</v>
      </c>
      <c r="AF57" s="57" t="s">
        <v>166</v>
      </c>
      <c r="AG57" s="57" t="s">
        <v>167</v>
      </c>
      <c r="AH57" s="26"/>
      <c r="AI57" s="115" t="s">
        <v>452</v>
      </c>
      <c r="AJ57" s="59"/>
      <c r="AK57" s="59"/>
      <c r="AL57" s="59"/>
      <c r="AM57" s="59"/>
      <c r="AN57" s="59"/>
      <c r="AO57" s="59"/>
      <c r="AP57" s="59"/>
      <c r="AQ57" s="148"/>
      <c r="AR57" s="148"/>
      <c r="AS57" s="59"/>
      <c r="AT57" s="138"/>
      <c r="AU57" s="138"/>
      <c r="AV57" s="138"/>
      <c r="AW57" s="138"/>
      <c r="AX57" s="138"/>
    </row>
    <row r="58">
      <c r="A58" s="9">
        <v>49.0</v>
      </c>
      <c r="B58" s="311" t="s">
        <v>95</v>
      </c>
      <c r="C58" s="11" t="s">
        <v>153</v>
      </c>
      <c r="D58" s="11">
        <v>24.0</v>
      </c>
      <c r="E58" s="26" t="s">
        <v>94</v>
      </c>
      <c r="F58" s="19">
        <v>2020.0</v>
      </c>
      <c r="G58" s="19">
        <v>2020.0</v>
      </c>
      <c r="H58" s="11">
        <f>A4-F58</f>
        <v>6</v>
      </c>
      <c r="I58" s="137" t="s">
        <v>453</v>
      </c>
      <c r="J58" s="19">
        <v>7684.0</v>
      </c>
      <c r="K58" s="11" t="s">
        <v>159</v>
      </c>
      <c r="L58" s="11" t="s">
        <v>160</v>
      </c>
      <c r="M58" s="11" t="s">
        <v>161</v>
      </c>
      <c r="N58" s="11">
        <v>2020.0</v>
      </c>
      <c r="O58" s="11">
        <f>A4-N58</f>
        <v>6</v>
      </c>
      <c r="P58" s="11" t="s">
        <v>162</v>
      </c>
      <c r="Q58" s="19" t="s">
        <v>163</v>
      </c>
      <c r="R58" s="115" t="s">
        <v>454</v>
      </c>
      <c r="S58" s="115" t="s">
        <v>455</v>
      </c>
      <c r="T58" s="322">
        <v>47720.0</v>
      </c>
      <c r="U58" s="54" t="str">
        <f t="shared" si="1"/>
        <v>Berlaku</v>
      </c>
      <c r="V58" s="323">
        <v>46259.0</v>
      </c>
      <c r="W58" s="54" t="str">
        <f t="shared" si="2"/>
        <v>Habis</v>
      </c>
      <c r="X58" s="324">
        <v>46238.0</v>
      </c>
      <c r="Y58" s="54" t="str">
        <f t="shared" si="3"/>
        <v>Habis</v>
      </c>
      <c r="Z58" s="324">
        <v>46238.0</v>
      </c>
      <c r="AA58" s="54" t="str">
        <f t="shared" si="4"/>
        <v>Habis</v>
      </c>
      <c r="AB58" s="53">
        <f>VLOOKUP(B58,'DATA EXP TERA'!$C$3:$D$85,2,0)</f>
        <v>46211</v>
      </c>
      <c r="AC58" s="54" t="str">
        <f t="shared" si="5"/>
        <v>Habis</v>
      </c>
      <c r="AD58" s="315">
        <v>46340.0</v>
      </c>
      <c r="AE58" s="56" t="str">
        <f t="shared" si="6"/>
        <v>Berlaku</v>
      </c>
      <c r="AF58" s="57" t="s">
        <v>166</v>
      </c>
      <c r="AG58" s="57" t="s">
        <v>167</v>
      </c>
      <c r="AH58" s="164"/>
      <c r="AI58" s="58"/>
      <c r="AJ58" s="138"/>
      <c r="AK58" s="138"/>
      <c r="AL58" s="138"/>
      <c r="AM58" s="138"/>
      <c r="AN58" s="138"/>
      <c r="AO58" s="138"/>
      <c r="AP58" s="138"/>
      <c r="AQ58" s="138"/>
      <c r="AR58" s="138"/>
      <c r="AS58" s="138"/>
      <c r="AT58" s="138"/>
      <c r="AU58" s="138"/>
      <c r="AV58" s="138"/>
      <c r="AW58" s="138"/>
      <c r="AX58" s="138"/>
    </row>
    <row r="59">
      <c r="A59" s="9">
        <v>50.0</v>
      </c>
      <c r="B59" s="311" t="s">
        <v>97</v>
      </c>
      <c r="C59" s="11" t="s">
        <v>153</v>
      </c>
      <c r="D59" s="11">
        <v>24.0</v>
      </c>
      <c r="E59" s="26" t="s">
        <v>94</v>
      </c>
      <c r="F59" s="19">
        <v>2020.0</v>
      </c>
      <c r="G59" s="19">
        <v>2020.0</v>
      </c>
      <c r="H59" s="11">
        <f>A4-F59</f>
        <v>6</v>
      </c>
      <c r="I59" s="137" t="s">
        <v>456</v>
      </c>
      <c r="J59" s="19">
        <v>7684.0</v>
      </c>
      <c r="K59" s="11" t="s">
        <v>159</v>
      </c>
      <c r="L59" s="11" t="s">
        <v>160</v>
      </c>
      <c r="M59" s="11" t="s">
        <v>161</v>
      </c>
      <c r="N59" s="11">
        <v>2020.0</v>
      </c>
      <c r="O59" s="11">
        <f>A4-N59</f>
        <v>6</v>
      </c>
      <c r="P59" s="11" t="s">
        <v>162</v>
      </c>
      <c r="Q59" s="19" t="s">
        <v>163</v>
      </c>
      <c r="R59" s="115" t="s">
        <v>457</v>
      </c>
      <c r="S59" s="115" t="s">
        <v>458</v>
      </c>
      <c r="T59" s="322">
        <v>47720.0</v>
      </c>
      <c r="U59" s="54" t="str">
        <f t="shared" si="1"/>
        <v>Berlaku</v>
      </c>
      <c r="V59" s="323">
        <v>46259.0</v>
      </c>
      <c r="W59" s="54" t="str">
        <f t="shared" si="2"/>
        <v>Habis</v>
      </c>
      <c r="X59" s="324">
        <v>46238.0</v>
      </c>
      <c r="Y59" s="54" t="str">
        <f t="shared" si="3"/>
        <v>Habis</v>
      </c>
      <c r="Z59" s="324">
        <v>46238.0</v>
      </c>
      <c r="AA59" s="54" t="str">
        <f t="shared" si="4"/>
        <v>Habis</v>
      </c>
      <c r="AB59" s="53">
        <f>VLOOKUP(B59,'DATA EXP TERA'!$C$3:$D$85,2,0)</f>
        <v>46241</v>
      </c>
      <c r="AC59" s="54" t="str">
        <f t="shared" si="5"/>
        <v>Habis</v>
      </c>
      <c r="AD59" s="315">
        <v>46341.0</v>
      </c>
      <c r="AE59" s="56" t="str">
        <f t="shared" si="6"/>
        <v>Berlaku</v>
      </c>
      <c r="AF59" s="57" t="s">
        <v>166</v>
      </c>
      <c r="AG59" s="57" t="s">
        <v>167</v>
      </c>
      <c r="AH59" s="164"/>
      <c r="AI59" s="58"/>
      <c r="AJ59" s="138"/>
      <c r="AK59" s="138"/>
      <c r="AL59" s="138"/>
      <c r="AM59" s="138"/>
      <c r="AN59" s="138"/>
      <c r="AO59" s="138"/>
      <c r="AP59" s="138"/>
      <c r="AQ59" s="165"/>
      <c r="AR59" s="20"/>
      <c r="AS59" s="138"/>
      <c r="AT59" s="59"/>
      <c r="AU59" s="59"/>
      <c r="AV59" s="59"/>
      <c r="AW59" s="59"/>
      <c r="AX59" s="59"/>
    </row>
    <row r="60">
      <c r="A60" s="9">
        <v>51.0</v>
      </c>
      <c r="B60" s="381" t="s">
        <v>98</v>
      </c>
      <c r="C60" s="22" t="s">
        <v>240</v>
      </c>
      <c r="D60" s="22">
        <v>16.0</v>
      </c>
      <c r="E60" s="29" t="s">
        <v>100</v>
      </c>
      <c r="F60" s="22">
        <v>2022.0</v>
      </c>
      <c r="G60" s="22">
        <v>2022.0</v>
      </c>
      <c r="H60" s="11">
        <f>A4-F60</f>
        <v>4</v>
      </c>
      <c r="I60" s="139" t="s">
        <v>459</v>
      </c>
      <c r="J60" s="22">
        <v>7698.0</v>
      </c>
      <c r="K60" s="11" t="s">
        <v>266</v>
      </c>
      <c r="L60" s="22" t="s">
        <v>160</v>
      </c>
      <c r="M60" s="11" t="s">
        <v>161</v>
      </c>
      <c r="N60" s="22">
        <v>2022.0</v>
      </c>
      <c r="O60" s="11">
        <f>A4-N60</f>
        <v>4</v>
      </c>
      <c r="P60" s="22" t="s">
        <v>245</v>
      </c>
      <c r="Q60" s="9" t="s">
        <v>199</v>
      </c>
      <c r="R60" s="140" t="s">
        <v>460</v>
      </c>
      <c r="S60" s="140" t="s">
        <v>461</v>
      </c>
      <c r="T60" s="326">
        <v>46705.0</v>
      </c>
      <c r="U60" s="54" t="str">
        <f t="shared" si="1"/>
        <v>Berlaku</v>
      </c>
      <c r="V60" s="323">
        <v>46340.0</v>
      </c>
      <c r="W60" s="54" t="str">
        <f t="shared" si="2"/>
        <v>Akan Habis</v>
      </c>
      <c r="X60" s="324">
        <v>46330.0</v>
      </c>
      <c r="Y60" s="54" t="str">
        <f t="shared" si="3"/>
        <v>Akan Habis</v>
      </c>
      <c r="Z60" s="324">
        <v>46330.0</v>
      </c>
      <c r="AA60" s="54" t="str">
        <f t="shared" si="4"/>
        <v>Berlaku</v>
      </c>
      <c r="AB60" s="53">
        <f>VLOOKUP(B60,'DATA EXP TERA'!$C$3:$D$85,2,0)</f>
        <v>46648</v>
      </c>
      <c r="AC60" s="54" t="str">
        <f t="shared" si="5"/>
        <v>Berlaku</v>
      </c>
      <c r="AD60" s="315">
        <v>46340.0</v>
      </c>
      <c r="AE60" s="56" t="str">
        <f t="shared" si="6"/>
        <v>Berlaku</v>
      </c>
      <c r="AF60" s="57" t="s">
        <v>166</v>
      </c>
      <c r="AG60" s="57" t="s">
        <v>167</v>
      </c>
      <c r="AH60" s="29"/>
      <c r="AI60" s="115" t="s">
        <v>462</v>
      </c>
      <c r="AJ60" s="138"/>
      <c r="AK60" s="138"/>
      <c r="AL60" s="138"/>
      <c r="AM60" s="138"/>
      <c r="AN60" s="138"/>
      <c r="AO60" s="138"/>
      <c r="AP60" s="138"/>
      <c r="AQ60" s="165"/>
      <c r="AR60" s="20"/>
      <c r="AS60" s="138"/>
      <c r="AT60" s="59"/>
      <c r="AU60" s="59"/>
      <c r="AV60" s="59"/>
      <c r="AW60" s="59"/>
      <c r="AX60" s="59"/>
    </row>
    <row r="61">
      <c r="A61" s="9">
        <v>52.0</v>
      </c>
      <c r="B61" s="381" t="s">
        <v>101</v>
      </c>
      <c r="C61" s="19" t="s">
        <v>240</v>
      </c>
      <c r="D61" s="19">
        <v>16.0</v>
      </c>
      <c r="E61" s="26" t="s">
        <v>100</v>
      </c>
      <c r="F61" s="19">
        <v>2022.0</v>
      </c>
      <c r="G61" s="19">
        <v>2022.0</v>
      </c>
      <c r="H61" s="11">
        <f>A4-F61</f>
        <v>4</v>
      </c>
      <c r="I61" s="139" t="s">
        <v>459</v>
      </c>
      <c r="J61" s="22">
        <v>7698.0</v>
      </c>
      <c r="K61" s="11" t="s">
        <v>266</v>
      </c>
      <c r="L61" s="19" t="s">
        <v>160</v>
      </c>
      <c r="M61" s="11" t="s">
        <v>161</v>
      </c>
      <c r="N61" s="19">
        <v>2022.0</v>
      </c>
      <c r="O61" s="11">
        <f>A4-N61</f>
        <v>4</v>
      </c>
      <c r="P61" s="19" t="s">
        <v>245</v>
      </c>
      <c r="Q61" s="11" t="s">
        <v>199</v>
      </c>
      <c r="R61" s="140" t="s">
        <v>463</v>
      </c>
      <c r="S61" s="140" t="s">
        <v>464</v>
      </c>
      <c r="T61" s="322">
        <v>46706.0</v>
      </c>
      <c r="U61" s="54" t="str">
        <f t="shared" si="1"/>
        <v>Berlaku</v>
      </c>
      <c r="V61" s="323">
        <v>46341.0</v>
      </c>
      <c r="W61" s="54" t="str">
        <f t="shared" si="2"/>
        <v>Akan Habis</v>
      </c>
      <c r="X61" s="324">
        <v>46330.0</v>
      </c>
      <c r="Y61" s="54" t="str">
        <f t="shared" si="3"/>
        <v>Akan Habis</v>
      </c>
      <c r="Z61" s="324">
        <v>46330.0</v>
      </c>
      <c r="AA61" s="54" t="str">
        <f t="shared" si="4"/>
        <v>Berlaku</v>
      </c>
      <c r="AB61" s="53">
        <f>VLOOKUP(B61,'DATA EXP TERA'!$C$3:$D$85,2,0)</f>
        <v>46339</v>
      </c>
      <c r="AC61" s="54" t="str">
        <f t="shared" si="5"/>
        <v>Akan Habis</v>
      </c>
      <c r="AD61" s="315">
        <v>46340.0</v>
      </c>
      <c r="AE61" s="56" t="str">
        <f t="shared" si="6"/>
        <v>Berlaku</v>
      </c>
      <c r="AF61" s="57" t="s">
        <v>166</v>
      </c>
      <c r="AG61" s="57" t="s">
        <v>167</v>
      </c>
      <c r="AH61" s="166"/>
      <c r="AI61" s="115" t="s">
        <v>465</v>
      </c>
      <c r="AJ61" s="138"/>
      <c r="AK61" s="138"/>
      <c r="AL61" s="138"/>
      <c r="AM61" s="138"/>
      <c r="AN61" s="138"/>
      <c r="AO61" s="138"/>
      <c r="AP61" s="138"/>
      <c r="AQ61" s="165"/>
      <c r="AR61" s="20"/>
      <c r="AS61" s="138"/>
      <c r="AT61" s="59"/>
      <c r="AU61" s="59"/>
      <c r="AV61" s="59"/>
      <c r="AW61" s="59"/>
      <c r="AX61" s="59"/>
    </row>
    <row r="62">
      <c r="A62" s="9">
        <v>53.0</v>
      </c>
      <c r="B62" s="328" t="s">
        <v>703</v>
      </c>
      <c r="C62" s="329" t="s">
        <v>240</v>
      </c>
      <c r="D62" s="329">
        <v>16.0</v>
      </c>
      <c r="E62" s="330" t="s">
        <v>100</v>
      </c>
      <c r="F62" s="329">
        <v>2022.0</v>
      </c>
      <c r="G62" s="329">
        <v>2022.0</v>
      </c>
      <c r="H62" s="331">
        <f>A4-F62</f>
        <v>4</v>
      </c>
      <c r="I62" s="332" t="s">
        <v>405</v>
      </c>
      <c r="J62" s="329">
        <v>7698.0</v>
      </c>
      <c r="K62" s="331" t="s">
        <v>266</v>
      </c>
      <c r="L62" s="329" t="s">
        <v>160</v>
      </c>
      <c r="M62" s="331" t="s">
        <v>161</v>
      </c>
      <c r="N62" s="329">
        <v>2022.0</v>
      </c>
      <c r="O62" s="331">
        <f>A4-N62</f>
        <v>4</v>
      </c>
      <c r="P62" s="329" t="s">
        <v>245</v>
      </c>
      <c r="Q62" s="331" t="s">
        <v>199</v>
      </c>
      <c r="R62" s="328" t="s">
        <v>704</v>
      </c>
      <c r="S62" s="328" t="s">
        <v>705</v>
      </c>
      <c r="T62" s="333">
        <v>46727.0</v>
      </c>
      <c r="U62" s="54" t="str">
        <f t="shared" si="1"/>
        <v>Berlaku</v>
      </c>
      <c r="V62" s="333">
        <v>46362.0</v>
      </c>
      <c r="W62" s="54" t="str">
        <f t="shared" si="2"/>
        <v>Berlaku</v>
      </c>
      <c r="X62" s="334">
        <v>46184.0</v>
      </c>
      <c r="Y62" s="54" t="str">
        <f t="shared" si="3"/>
        <v>Habis</v>
      </c>
      <c r="Z62" s="335">
        <v>46181.0</v>
      </c>
      <c r="AA62" s="54" t="str">
        <f t="shared" si="4"/>
        <v>Habis</v>
      </c>
      <c r="AB62" s="335">
        <f>VLOOKUP(B62,'DATA EXP TERA'!$C$3:$D$85,2,0)</f>
        <v>46592</v>
      </c>
      <c r="AC62" s="54" t="str">
        <f t="shared" si="5"/>
        <v>Berlaku</v>
      </c>
      <c r="AD62" s="336">
        <v>46155.0</v>
      </c>
      <c r="AE62" s="56" t="str">
        <f t="shared" si="6"/>
        <v>Habis</v>
      </c>
      <c r="AF62" s="337" t="s">
        <v>166</v>
      </c>
      <c r="AG62" s="337" t="s">
        <v>167</v>
      </c>
      <c r="AH62" s="382"/>
      <c r="AI62" s="115" t="s">
        <v>725</v>
      </c>
      <c r="AJ62" s="146"/>
      <c r="AK62" s="146"/>
      <c r="AL62" s="146"/>
      <c r="AM62" s="146"/>
      <c r="AN62" s="146"/>
      <c r="AO62" s="146"/>
      <c r="AP62" s="146"/>
      <c r="AQ62" s="168"/>
      <c r="AR62" s="169"/>
      <c r="AS62" s="146"/>
      <c r="AT62" s="59"/>
      <c r="AU62" s="59"/>
      <c r="AV62" s="59"/>
      <c r="AW62" s="59"/>
      <c r="AX62" s="59"/>
    </row>
    <row r="63">
      <c r="A63" s="9">
        <v>54.0</v>
      </c>
      <c r="B63" s="328" t="s">
        <v>706</v>
      </c>
      <c r="C63" s="329" t="s">
        <v>240</v>
      </c>
      <c r="D63" s="329">
        <v>16.0</v>
      </c>
      <c r="E63" s="330" t="s">
        <v>100</v>
      </c>
      <c r="F63" s="329">
        <v>2024.0</v>
      </c>
      <c r="G63" s="329">
        <v>2024.0</v>
      </c>
      <c r="H63" s="331">
        <f>A4-F63</f>
        <v>2</v>
      </c>
      <c r="I63" s="332" t="s">
        <v>405</v>
      </c>
      <c r="J63" s="329">
        <v>7698.0</v>
      </c>
      <c r="K63" s="331" t="s">
        <v>266</v>
      </c>
      <c r="L63" s="329" t="s">
        <v>160</v>
      </c>
      <c r="M63" s="331" t="s">
        <v>161</v>
      </c>
      <c r="N63" s="329">
        <v>2024.0</v>
      </c>
      <c r="O63" s="331">
        <f>A4-N63</f>
        <v>2</v>
      </c>
      <c r="P63" s="329" t="s">
        <v>245</v>
      </c>
      <c r="Q63" s="331" t="s">
        <v>199</v>
      </c>
      <c r="R63" s="328" t="s">
        <v>707</v>
      </c>
      <c r="S63" s="328" t="s">
        <v>708</v>
      </c>
      <c r="T63" s="333">
        <v>47336.0</v>
      </c>
      <c r="U63" s="54" t="str">
        <f t="shared" si="1"/>
        <v>Berlaku</v>
      </c>
      <c r="V63" s="333">
        <v>46240.0</v>
      </c>
      <c r="W63" s="54" t="str">
        <f t="shared" si="2"/>
        <v>Habis</v>
      </c>
      <c r="X63" s="333">
        <v>46118.0</v>
      </c>
      <c r="Y63" s="54" t="str">
        <f t="shared" si="3"/>
        <v>Habis</v>
      </c>
      <c r="Z63" s="335">
        <v>46118.0</v>
      </c>
      <c r="AA63" s="54" t="str">
        <f t="shared" si="4"/>
        <v>Habis</v>
      </c>
      <c r="AB63" s="335">
        <f>VLOOKUP(B63,'DATA EXP TERA'!$C$3:$D$85,2,0)</f>
        <v>46318</v>
      </c>
      <c r="AC63" s="54" t="str">
        <f t="shared" si="5"/>
        <v>Akan Habis</v>
      </c>
      <c r="AD63" s="336">
        <v>46111.0</v>
      </c>
      <c r="AE63" s="56" t="str">
        <f t="shared" si="6"/>
        <v>Habis</v>
      </c>
      <c r="AF63" s="337" t="s">
        <v>166</v>
      </c>
      <c r="AG63" s="337" t="s">
        <v>167</v>
      </c>
      <c r="AH63" s="382"/>
      <c r="AI63" s="115" t="s">
        <v>726</v>
      </c>
      <c r="AJ63" s="138"/>
      <c r="AK63" s="138"/>
      <c r="AL63" s="138"/>
      <c r="AM63" s="138"/>
      <c r="AN63" s="138"/>
      <c r="AO63" s="138"/>
      <c r="AP63" s="138"/>
      <c r="AQ63" s="165"/>
      <c r="AR63" s="20"/>
      <c r="AS63" s="138"/>
      <c r="AT63" s="59"/>
      <c r="AU63" s="59"/>
      <c r="AV63" s="59"/>
      <c r="AW63" s="59"/>
      <c r="AX63" s="59"/>
    </row>
    <row r="64">
      <c r="A64" s="9">
        <v>55.0</v>
      </c>
      <c r="B64" s="381" t="s">
        <v>102</v>
      </c>
      <c r="C64" s="22" t="s">
        <v>240</v>
      </c>
      <c r="D64" s="22">
        <v>16.0</v>
      </c>
      <c r="E64" s="29" t="s">
        <v>100</v>
      </c>
      <c r="F64" s="22">
        <v>2023.0</v>
      </c>
      <c r="G64" s="22">
        <v>2024.0</v>
      </c>
      <c r="H64" s="11">
        <f>A4-F64</f>
        <v>3</v>
      </c>
      <c r="I64" s="139" t="s">
        <v>466</v>
      </c>
      <c r="J64" s="22">
        <v>7790.0</v>
      </c>
      <c r="K64" s="11" t="s">
        <v>243</v>
      </c>
      <c r="L64" s="22" t="s">
        <v>160</v>
      </c>
      <c r="M64" s="11" t="s">
        <v>161</v>
      </c>
      <c r="N64" s="22">
        <v>2024.0</v>
      </c>
      <c r="O64" s="11">
        <f>A4-N64</f>
        <v>2</v>
      </c>
      <c r="P64" s="22" t="s">
        <v>245</v>
      </c>
      <c r="Q64" s="9" t="s">
        <v>467</v>
      </c>
      <c r="R64" s="140" t="s">
        <v>468</v>
      </c>
      <c r="S64" s="140" t="s">
        <v>469</v>
      </c>
      <c r="T64" s="326">
        <v>47358.0</v>
      </c>
      <c r="U64" s="54" t="str">
        <f t="shared" si="1"/>
        <v>Berlaku</v>
      </c>
      <c r="V64" s="323">
        <v>46262.0</v>
      </c>
      <c r="W64" s="54" t="str">
        <f t="shared" si="2"/>
        <v>Habis</v>
      </c>
      <c r="X64" s="324">
        <v>46301.0</v>
      </c>
      <c r="Y64" s="54" t="str">
        <f t="shared" si="3"/>
        <v>Habis dalam 7-1 Hari</v>
      </c>
      <c r="Z64" s="324">
        <v>46301.0</v>
      </c>
      <c r="AA64" s="54" t="str">
        <f t="shared" si="4"/>
        <v>Habis dalam 7-1 Hari</v>
      </c>
      <c r="AB64" s="53">
        <f>VLOOKUP(B64,'DATA EXP TERA'!$C$3:$D$85,2,0)</f>
        <v>46318</v>
      </c>
      <c r="AC64" s="54" t="str">
        <f t="shared" si="5"/>
        <v>Akan Habis</v>
      </c>
      <c r="AD64" s="315">
        <v>46293.0</v>
      </c>
      <c r="AE64" s="56" t="str">
        <f t="shared" si="6"/>
        <v>Habis</v>
      </c>
      <c r="AF64" s="57" t="s">
        <v>166</v>
      </c>
      <c r="AG64" s="57" t="s">
        <v>167</v>
      </c>
      <c r="AH64" s="167"/>
      <c r="AI64" s="115" t="s">
        <v>470</v>
      </c>
      <c r="AJ64" s="138"/>
      <c r="AK64" s="138"/>
      <c r="AL64" s="138"/>
      <c r="AM64" s="138"/>
      <c r="AN64" s="138"/>
      <c r="AO64" s="138"/>
      <c r="AP64" s="138"/>
      <c r="AQ64" s="165"/>
      <c r="AR64" s="20"/>
      <c r="AS64" s="138"/>
      <c r="AT64" s="59"/>
      <c r="AU64" s="59"/>
      <c r="AV64" s="59"/>
      <c r="AW64" s="59"/>
      <c r="AX64" s="59"/>
    </row>
    <row r="65">
      <c r="A65" s="9">
        <v>56.0</v>
      </c>
      <c r="B65" s="311" t="s">
        <v>103</v>
      </c>
      <c r="C65" s="11" t="s">
        <v>153</v>
      </c>
      <c r="D65" s="11">
        <v>24.0</v>
      </c>
      <c r="E65" s="14" t="s">
        <v>100</v>
      </c>
      <c r="F65" s="11">
        <v>2022.0</v>
      </c>
      <c r="G65" s="11">
        <v>2022.0</v>
      </c>
      <c r="H65" s="11">
        <f>A4-F65</f>
        <v>4</v>
      </c>
      <c r="I65" s="51" t="s">
        <v>471</v>
      </c>
      <c r="J65" s="11">
        <v>7698.0</v>
      </c>
      <c r="K65" s="11" t="s">
        <v>266</v>
      </c>
      <c r="L65" s="11" t="s">
        <v>160</v>
      </c>
      <c r="M65" s="11" t="s">
        <v>332</v>
      </c>
      <c r="N65" s="11">
        <v>2012.0</v>
      </c>
      <c r="O65" s="11">
        <f>A4-N65</f>
        <v>14</v>
      </c>
      <c r="P65" s="11" t="s">
        <v>162</v>
      </c>
      <c r="Q65" s="11" t="s">
        <v>199</v>
      </c>
      <c r="R65" s="52" t="s">
        <v>472</v>
      </c>
      <c r="S65" s="52" t="s">
        <v>473</v>
      </c>
      <c r="T65" s="53">
        <v>46659.0</v>
      </c>
      <c r="U65" s="54" t="str">
        <f t="shared" si="1"/>
        <v>Berlaku</v>
      </c>
      <c r="V65" s="317">
        <v>46294.0</v>
      </c>
      <c r="W65" s="54" t="str">
        <f t="shared" si="2"/>
        <v>Habis</v>
      </c>
      <c r="X65" s="324">
        <v>46330.0</v>
      </c>
      <c r="Y65" s="54" t="str">
        <f t="shared" si="3"/>
        <v>Akan Habis</v>
      </c>
      <c r="Z65" s="324">
        <v>46330.0</v>
      </c>
      <c r="AA65" s="54" t="str">
        <f t="shared" si="4"/>
        <v>Berlaku</v>
      </c>
      <c r="AB65" s="53">
        <f>VLOOKUP(B65,'DATA EXP TERA'!$C$3:$D$85,2,0)</f>
        <v>46694</v>
      </c>
      <c r="AC65" s="54" t="str">
        <f t="shared" si="5"/>
        <v>Berlaku</v>
      </c>
      <c r="AD65" s="315">
        <v>46332.0</v>
      </c>
      <c r="AE65" s="56" t="str">
        <f t="shared" si="6"/>
        <v>Berlaku</v>
      </c>
      <c r="AF65" s="57" t="s">
        <v>166</v>
      </c>
      <c r="AG65" s="57" t="s">
        <v>167</v>
      </c>
      <c r="AH65" s="14"/>
      <c r="AI65" s="115" t="s">
        <v>474</v>
      </c>
      <c r="AJ65" s="146"/>
      <c r="AK65" s="146"/>
      <c r="AL65" s="146"/>
      <c r="AM65" s="146"/>
      <c r="AN65" s="146"/>
      <c r="AO65" s="146"/>
      <c r="AP65" s="146"/>
      <c r="AQ65" s="168"/>
      <c r="AR65" s="169"/>
      <c r="AS65" s="146"/>
      <c r="AT65" s="138"/>
      <c r="AU65" s="138"/>
      <c r="AV65" s="138"/>
      <c r="AW65" s="138"/>
      <c r="AX65" s="138"/>
    </row>
    <row r="66">
      <c r="A66" s="9">
        <v>57.0</v>
      </c>
      <c r="B66" s="311" t="s">
        <v>104</v>
      </c>
      <c r="C66" s="19" t="s">
        <v>240</v>
      </c>
      <c r="D66" s="19">
        <v>16.0</v>
      </c>
      <c r="E66" s="26" t="s">
        <v>105</v>
      </c>
      <c r="F66" s="11">
        <v>2023.0</v>
      </c>
      <c r="G66" s="11">
        <v>2023.0</v>
      </c>
      <c r="H66" s="11">
        <f>A4-F66</f>
        <v>3</v>
      </c>
      <c r="I66" s="51" t="s">
        <v>466</v>
      </c>
      <c r="J66" s="11">
        <v>7790.0</v>
      </c>
      <c r="K66" s="11" t="s">
        <v>243</v>
      </c>
      <c r="L66" s="11" t="s">
        <v>160</v>
      </c>
      <c r="M66" s="11" t="s">
        <v>332</v>
      </c>
      <c r="N66" s="11">
        <v>2023.0</v>
      </c>
      <c r="O66" s="11">
        <f>A4-N66</f>
        <v>3</v>
      </c>
      <c r="P66" s="19" t="s">
        <v>245</v>
      </c>
      <c r="Q66" s="11" t="s">
        <v>467</v>
      </c>
      <c r="R66" s="52" t="s">
        <v>475</v>
      </c>
      <c r="S66" s="52" t="s">
        <v>476</v>
      </c>
      <c r="T66" s="53">
        <v>46924.0</v>
      </c>
      <c r="U66" s="54" t="str">
        <f t="shared" si="1"/>
        <v>Berlaku</v>
      </c>
      <c r="V66" s="317">
        <v>46193.0</v>
      </c>
      <c r="W66" s="54" t="str">
        <f t="shared" si="2"/>
        <v>Habis</v>
      </c>
      <c r="X66" s="320">
        <v>46176.0</v>
      </c>
      <c r="Y66" s="54" t="str">
        <f t="shared" si="3"/>
        <v>Habis</v>
      </c>
      <c r="Z66" s="317">
        <v>46176.0</v>
      </c>
      <c r="AA66" s="54" t="str">
        <f t="shared" si="4"/>
        <v>Habis</v>
      </c>
      <c r="AB66" s="53">
        <f>VLOOKUP(B66,'DATA EXP TERA'!$C$3:$D$85,2,0)</f>
        <v>46199</v>
      </c>
      <c r="AC66" s="54" t="str">
        <f t="shared" si="5"/>
        <v>Habis</v>
      </c>
      <c r="AD66" s="315">
        <v>46340.0</v>
      </c>
      <c r="AE66" s="56" t="str">
        <f t="shared" si="6"/>
        <v>Berlaku</v>
      </c>
      <c r="AF66" s="57" t="s">
        <v>166</v>
      </c>
      <c r="AG66" s="57" t="s">
        <v>167</v>
      </c>
      <c r="AH66" s="24"/>
      <c r="AI66" s="115" t="s">
        <v>478</v>
      </c>
      <c r="AJ66" s="146"/>
      <c r="AK66" s="146"/>
      <c r="AL66" s="146"/>
      <c r="AM66" s="146"/>
      <c r="AN66" s="146"/>
      <c r="AO66" s="146"/>
      <c r="AP66" s="146"/>
      <c r="AQ66" s="168"/>
      <c r="AR66" s="169"/>
      <c r="AS66" s="146"/>
      <c r="AT66" s="138"/>
      <c r="AU66" s="138"/>
      <c r="AV66" s="138"/>
      <c r="AW66" s="138"/>
      <c r="AX66" s="138"/>
    </row>
    <row r="67">
      <c r="A67" s="9">
        <v>58.0</v>
      </c>
      <c r="B67" s="311" t="s">
        <v>106</v>
      </c>
      <c r="C67" s="11" t="s">
        <v>153</v>
      </c>
      <c r="D67" s="11">
        <v>24.0</v>
      </c>
      <c r="E67" s="26" t="s">
        <v>105</v>
      </c>
      <c r="F67" s="22">
        <v>2022.0</v>
      </c>
      <c r="G67" s="22">
        <v>2023.0</v>
      </c>
      <c r="H67" s="11">
        <f>A4-F67</f>
        <v>4</v>
      </c>
      <c r="I67" s="139" t="s">
        <v>479</v>
      </c>
      <c r="J67" s="22">
        <v>7790.0</v>
      </c>
      <c r="K67" s="11" t="s">
        <v>243</v>
      </c>
      <c r="L67" s="11" t="s">
        <v>160</v>
      </c>
      <c r="M67" s="11" t="s">
        <v>267</v>
      </c>
      <c r="N67" s="11">
        <v>2012.0</v>
      </c>
      <c r="O67" s="11">
        <f>A4-N67</f>
        <v>14</v>
      </c>
      <c r="P67" s="11" t="s">
        <v>162</v>
      </c>
      <c r="Q67" s="19" t="s">
        <v>467</v>
      </c>
      <c r="R67" s="115" t="s">
        <v>481</v>
      </c>
      <c r="S67" s="115" t="s">
        <v>482</v>
      </c>
      <c r="T67" s="322">
        <v>46782.0</v>
      </c>
      <c r="U67" s="54" t="str">
        <f t="shared" si="1"/>
        <v>Berlaku</v>
      </c>
      <c r="V67" s="323">
        <v>46417.0</v>
      </c>
      <c r="W67" s="54" t="str">
        <f t="shared" si="2"/>
        <v>Berlaku</v>
      </c>
      <c r="X67" s="323">
        <v>46267.0</v>
      </c>
      <c r="Y67" s="54" t="str">
        <f t="shared" si="3"/>
        <v>Habis</v>
      </c>
      <c r="Z67" s="323">
        <v>46267.0</v>
      </c>
      <c r="AA67" s="54" t="str">
        <f t="shared" si="4"/>
        <v>Habis</v>
      </c>
      <c r="AB67" s="53">
        <f>VLOOKUP(B67,'DATA EXP TERA'!$C$3:$D$85,2,0)</f>
        <v>46438</v>
      </c>
      <c r="AC67" s="54" t="str">
        <f t="shared" si="5"/>
        <v>Berlaku</v>
      </c>
      <c r="AD67" s="315">
        <v>46340.0</v>
      </c>
      <c r="AE67" s="56" t="str">
        <f t="shared" si="6"/>
        <v>Berlaku</v>
      </c>
      <c r="AF67" s="57" t="s">
        <v>166</v>
      </c>
      <c r="AG67" s="57" t="s">
        <v>167</v>
      </c>
      <c r="AH67" s="175"/>
      <c r="AI67" s="115" t="s">
        <v>484</v>
      </c>
      <c r="AJ67" s="177"/>
      <c r="AK67" s="177"/>
      <c r="AL67" s="177"/>
      <c r="AM67" s="177"/>
      <c r="AN67" s="177"/>
      <c r="AO67" s="177"/>
      <c r="AP67" s="177"/>
      <c r="AQ67" s="165"/>
      <c r="AR67" s="165"/>
      <c r="AS67" s="177"/>
      <c r="AT67" s="138"/>
      <c r="AU67" s="138"/>
      <c r="AV67" s="138"/>
      <c r="AW67" s="138"/>
      <c r="AX67" s="138"/>
    </row>
    <row r="68">
      <c r="A68" s="9">
        <v>59.0</v>
      </c>
      <c r="B68" s="311" t="s">
        <v>108</v>
      </c>
      <c r="C68" s="11" t="s">
        <v>240</v>
      </c>
      <c r="D68" s="11">
        <v>16.0</v>
      </c>
      <c r="E68" s="14" t="s">
        <v>109</v>
      </c>
      <c r="F68" s="11">
        <v>2023.0</v>
      </c>
      <c r="G68" s="11">
        <v>2023.0</v>
      </c>
      <c r="H68" s="11">
        <f>A4-F68</f>
        <v>3</v>
      </c>
      <c r="I68" s="51" t="s">
        <v>486</v>
      </c>
      <c r="J68" s="11">
        <v>7684.0</v>
      </c>
      <c r="K68" s="11" t="s">
        <v>243</v>
      </c>
      <c r="L68" s="11" t="s">
        <v>160</v>
      </c>
      <c r="M68" s="11" t="s">
        <v>332</v>
      </c>
      <c r="N68" s="11">
        <v>2023.0</v>
      </c>
      <c r="O68" s="11">
        <f>A4-N68</f>
        <v>3</v>
      </c>
      <c r="P68" s="11" t="s">
        <v>245</v>
      </c>
      <c r="Q68" s="11" t="s">
        <v>163</v>
      </c>
      <c r="R68" s="52" t="s">
        <v>487</v>
      </c>
      <c r="S68" s="52" t="s">
        <v>488</v>
      </c>
      <c r="T68" s="53">
        <v>47071.0</v>
      </c>
      <c r="U68" s="54" t="str">
        <f t="shared" si="1"/>
        <v>Berlaku</v>
      </c>
      <c r="V68" s="317">
        <v>46340.0</v>
      </c>
      <c r="W68" s="54" t="str">
        <f t="shared" si="2"/>
        <v>Akan Habis</v>
      </c>
      <c r="X68" s="320">
        <v>46333.0</v>
      </c>
      <c r="Y68" s="54" t="str">
        <f t="shared" si="3"/>
        <v>Akan Habis</v>
      </c>
      <c r="Z68" s="320">
        <v>46333.0</v>
      </c>
      <c r="AA68" s="54" t="str">
        <f t="shared" si="4"/>
        <v>Berlaku</v>
      </c>
      <c r="AB68" s="53">
        <f>VLOOKUP(B68,'DATA EXP TERA'!$C$3:$D$85,2,0)</f>
        <v>46711</v>
      </c>
      <c r="AC68" s="54" t="str">
        <f t="shared" si="5"/>
        <v>Berlaku</v>
      </c>
      <c r="AD68" s="315">
        <v>46340.0</v>
      </c>
      <c r="AE68" s="56" t="str">
        <f t="shared" si="6"/>
        <v>Berlaku</v>
      </c>
      <c r="AF68" s="57" t="s">
        <v>166</v>
      </c>
      <c r="AG68" s="57" t="s">
        <v>167</v>
      </c>
      <c r="AH68" s="14"/>
      <c r="AI68" s="115" t="s">
        <v>491</v>
      </c>
      <c r="AJ68" s="177"/>
      <c r="AK68" s="177"/>
      <c r="AL68" s="177"/>
      <c r="AM68" s="177"/>
      <c r="AN68" s="177"/>
      <c r="AO68" s="177"/>
      <c r="AP68" s="177"/>
      <c r="AQ68" s="165"/>
      <c r="AR68" s="165"/>
      <c r="AS68" s="177"/>
      <c r="AT68" s="138"/>
      <c r="AU68" s="138"/>
      <c r="AV68" s="138"/>
      <c r="AW68" s="138"/>
      <c r="AX68" s="138"/>
    </row>
    <row r="69">
      <c r="A69" s="9">
        <v>60.0</v>
      </c>
      <c r="B69" s="311" t="s">
        <v>110</v>
      </c>
      <c r="C69" s="11" t="s">
        <v>240</v>
      </c>
      <c r="D69" s="11">
        <v>16.0</v>
      </c>
      <c r="E69" s="14" t="s">
        <v>109</v>
      </c>
      <c r="F69" s="11">
        <v>2023.0</v>
      </c>
      <c r="G69" s="11">
        <v>2023.0</v>
      </c>
      <c r="H69" s="11">
        <f>A4-F69</f>
        <v>3</v>
      </c>
      <c r="I69" s="51" t="s">
        <v>486</v>
      </c>
      <c r="J69" s="11">
        <v>7684.0</v>
      </c>
      <c r="K69" s="11" t="s">
        <v>243</v>
      </c>
      <c r="L69" s="11" t="s">
        <v>160</v>
      </c>
      <c r="M69" s="11" t="s">
        <v>332</v>
      </c>
      <c r="N69" s="11">
        <v>2023.0</v>
      </c>
      <c r="O69" s="11">
        <f>A4-N69</f>
        <v>3</v>
      </c>
      <c r="P69" s="11" t="s">
        <v>245</v>
      </c>
      <c r="Q69" s="11" t="s">
        <v>163</v>
      </c>
      <c r="R69" s="52" t="s">
        <v>494</v>
      </c>
      <c r="S69" s="52" t="s">
        <v>495</v>
      </c>
      <c r="T69" s="53">
        <v>47071.0</v>
      </c>
      <c r="U69" s="54" t="str">
        <f t="shared" si="1"/>
        <v>Berlaku</v>
      </c>
      <c r="V69" s="317">
        <v>46340.0</v>
      </c>
      <c r="W69" s="54" t="str">
        <f t="shared" si="2"/>
        <v>Akan Habis</v>
      </c>
      <c r="X69" s="320">
        <v>46333.0</v>
      </c>
      <c r="Y69" s="54" t="str">
        <f t="shared" si="3"/>
        <v>Akan Habis</v>
      </c>
      <c r="Z69" s="320">
        <v>46333.0</v>
      </c>
      <c r="AA69" s="54" t="str">
        <f t="shared" si="4"/>
        <v>Berlaku</v>
      </c>
      <c r="AB69" s="53">
        <f>VLOOKUP(B69,'DATA EXP TERA'!$C$3:$D$85,2,0)</f>
        <v>46526</v>
      </c>
      <c r="AC69" s="54" t="str">
        <f t="shared" si="5"/>
        <v>Berlaku</v>
      </c>
      <c r="AD69" s="315">
        <v>46340.0</v>
      </c>
      <c r="AE69" s="56" t="str">
        <f t="shared" si="6"/>
        <v>Berlaku</v>
      </c>
      <c r="AF69" s="57" t="s">
        <v>166</v>
      </c>
      <c r="AG69" s="57" t="s">
        <v>167</v>
      </c>
      <c r="AH69" s="14"/>
      <c r="AI69" s="115" t="s">
        <v>505</v>
      </c>
      <c r="AJ69" s="192"/>
      <c r="AK69" s="138"/>
      <c r="AL69" s="138"/>
      <c r="AM69" s="138"/>
      <c r="AN69" s="138"/>
      <c r="AO69" s="138"/>
      <c r="AP69" s="138"/>
      <c r="AQ69" s="138"/>
      <c r="AR69" s="138"/>
      <c r="AS69" s="138"/>
      <c r="AT69" s="138"/>
      <c r="AU69" s="138"/>
      <c r="AV69" s="138"/>
      <c r="AW69" s="138"/>
      <c r="AX69" s="138"/>
    </row>
    <row r="70">
      <c r="A70" s="9">
        <v>61.0</v>
      </c>
      <c r="B70" s="311" t="s">
        <v>111</v>
      </c>
      <c r="C70" s="11" t="s">
        <v>240</v>
      </c>
      <c r="D70" s="11">
        <v>16.0</v>
      </c>
      <c r="E70" s="14" t="s">
        <v>109</v>
      </c>
      <c r="F70" s="11">
        <v>2023.0</v>
      </c>
      <c r="G70" s="11">
        <v>2023.0</v>
      </c>
      <c r="H70" s="11">
        <f>A4-F70</f>
        <v>3</v>
      </c>
      <c r="I70" s="51" t="s">
        <v>486</v>
      </c>
      <c r="J70" s="11">
        <v>7684.0</v>
      </c>
      <c r="K70" s="11" t="s">
        <v>243</v>
      </c>
      <c r="L70" s="11" t="s">
        <v>160</v>
      </c>
      <c r="M70" s="11" t="s">
        <v>332</v>
      </c>
      <c r="N70" s="11">
        <v>2023.0</v>
      </c>
      <c r="O70" s="11">
        <f>A4-N70</f>
        <v>3</v>
      </c>
      <c r="P70" s="11" t="s">
        <v>245</v>
      </c>
      <c r="Q70" s="11" t="s">
        <v>163</v>
      </c>
      <c r="R70" s="52" t="s">
        <v>506</v>
      </c>
      <c r="S70" s="52" t="s">
        <v>507</v>
      </c>
      <c r="T70" s="53">
        <v>47071.0</v>
      </c>
      <c r="U70" s="54" t="str">
        <f t="shared" si="1"/>
        <v>Berlaku</v>
      </c>
      <c r="V70" s="317">
        <v>46340.0</v>
      </c>
      <c r="W70" s="54" t="str">
        <f t="shared" si="2"/>
        <v>Akan Habis</v>
      </c>
      <c r="X70" s="320">
        <v>46333.0</v>
      </c>
      <c r="Y70" s="54" t="str">
        <f t="shared" si="3"/>
        <v>Akan Habis</v>
      </c>
      <c r="Z70" s="320">
        <v>46333.0</v>
      </c>
      <c r="AA70" s="54" t="str">
        <f t="shared" si="4"/>
        <v>Berlaku</v>
      </c>
      <c r="AB70" s="53">
        <f>VLOOKUP(B70,'DATA EXP TERA'!$C$3:$D$85,2,0)</f>
        <v>46711</v>
      </c>
      <c r="AC70" s="54" t="str">
        <f t="shared" si="5"/>
        <v>Berlaku</v>
      </c>
      <c r="AD70" s="315">
        <v>46340.0</v>
      </c>
      <c r="AE70" s="56" t="str">
        <f t="shared" si="6"/>
        <v>Berlaku</v>
      </c>
      <c r="AF70" s="57" t="s">
        <v>166</v>
      </c>
      <c r="AG70" s="57" t="s">
        <v>167</v>
      </c>
      <c r="AH70" s="14"/>
      <c r="AI70" s="115" t="s">
        <v>512</v>
      </c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46"/>
      <c r="AU70" s="146"/>
      <c r="AV70" s="146"/>
      <c r="AW70" s="146"/>
      <c r="AX70" s="146"/>
    </row>
    <row r="71">
      <c r="A71" s="9">
        <v>62.0</v>
      </c>
      <c r="B71" s="311" t="s">
        <v>113</v>
      </c>
      <c r="C71" s="9" t="s">
        <v>153</v>
      </c>
      <c r="D71" s="9">
        <v>24.0</v>
      </c>
      <c r="E71" s="24" t="s">
        <v>109</v>
      </c>
      <c r="F71" s="9">
        <v>2023.0</v>
      </c>
      <c r="G71" s="9">
        <v>2023.0</v>
      </c>
      <c r="H71" s="11">
        <f>A4-F71</f>
        <v>3</v>
      </c>
      <c r="I71" s="117" t="s">
        <v>513</v>
      </c>
      <c r="J71" s="9">
        <v>7684.0</v>
      </c>
      <c r="K71" s="11" t="s">
        <v>243</v>
      </c>
      <c r="L71" s="9" t="s">
        <v>160</v>
      </c>
      <c r="M71" s="9" t="s">
        <v>332</v>
      </c>
      <c r="N71" s="9">
        <v>2023.0</v>
      </c>
      <c r="O71" s="11">
        <f>A4-N71</f>
        <v>3</v>
      </c>
      <c r="P71" s="9" t="s">
        <v>162</v>
      </c>
      <c r="Q71" s="9" t="s">
        <v>163</v>
      </c>
      <c r="R71" s="118" t="s">
        <v>514</v>
      </c>
      <c r="S71" s="118" t="s">
        <v>515</v>
      </c>
      <c r="T71" s="53">
        <v>47115.0</v>
      </c>
      <c r="U71" s="54" t="str">
        <f t="shared" si="1"/>
        <v>Berlaku</v>
      </c>
      <c r="V71" s="317">
        <v>46384.0</v>
      </c>
      <c r="W71" s="54" t="str">
        <f t="shared" si="2"/>
        <v>Berlaku</v>
      </c>
      <c r="X71" s="317">
        <v>46211.0</v>
      </c>
      <c r="Y71" s="54" t="str">
        <f t="shared" si="3"/>
        <v>Habis</v>
      </c>
      <c r="Z71" s="317">
        <v>46211.0</v>
      </c>
      <c r="AA71" s="54" t="str">
        <f t="shared" si="4"/>
        <v>Habis</v>
      </c>
      <c r="AB71" s="53">
        <v>46771.0</v>
      </c>
      <c r="AC71" s="54" t="str">
        <f t="shared" si="5"/>
        <v>Berlaku</v>
      </c>
      <c r="AD71" s="315">
        <v>46210.0</v>
      </c>
      <c r="AE71" s="56" t="str">
        <f t="shared" si="6"/>
        <v>Habis</v>
      </c>
      <c r="AF71" s="57" t="s">
        <v>166</v>
      </c>
      <c r="AG71" s="57" t="s">
        <v>167</v>
      </c>
      <c r="AH71" s="200"/>
      <c r="AI71" s="115" t="s">
        <v>520</v>
      </c>
      <c r="AJ71" s="177"/>
      <c r="AK71" s="177"/>
      <c r="AL71" s="177"/>
      <c r="AM71" s="177"/>
      <c r="AN71" s="177"/>
      <c r="AO71" s="177"/>
      <c r="AP71" s="177"/>
      <c r="AQ71" s="177"/>
      <c r="AR71" s="177"/>
      <c r="AS71" s="177"/>
      <c r="AT71" s="146"/>
      <c r="AU71" s="146"/>
      <c r="AV71" s="146"/>
      <c r="AW71" s="146"/>
      <c r="AX71" s="146"/>
    </row>
    <row r="72">
      <c r="A72" s="9">
        <v>63.0</v>
      </c>
      <c r="B72" s="311" t="s">
        <v>114</v>
      </c>
      <c r="C72" s="9" t="s">
        <v>153</v>
      </c>
      <c r="D72" s="9">
        <v>24.0</v>
      </c>
      <c r="E72" s="24" t="s">
        <v>109</v>
      </c>
      <c r="F72" s="9">
        <v>2023.0</v>
      </c>
      <c r="G72" s="9">
        <v>2024.0</v>
      </c>
      <c r="H72" s="11">
        <f>A4-F72</f>
        <v>3</v>
      </c>
      <c r="I72" s="117" t="s">
        <v>521</v>
      </c>
      <c r="J72" s="9">
        <v>7684.0</v>
      </c>
      <c r="K72" s="11" t="s">
        <v>243</v>
      </c>
      <c r="L72" s="9" t="s">
        <v>160</v>
      </c>
      <c r="M72" s="9" t="s">
        <v>332</v>
      </c>
      <c r="N72" s="9">
        <v>2023.0</v>
      </c>
      <c r="O72" s="11">
        <f>A4-N72</f>
        <v>3</v>
      </c>
      <c r="P72" s="9" t="s">
        <v>162</v>
      </c>
      <c r="Q72" s="9" t="s">
        <v>163</v>
      </c>
      <c r="R72" s="118" t="s">
        <v>523</v>
      </c>
      <c r="S72" s="118" t="s">
        <v>524</v>
      </c>
      <c r="T72" s="53">
        <v>47133.0</v>
      </c>
      <c r="U72" s="54" t="str">
        <f t="shared" si="1"/>
        <v>Berlaku</v>
      </c>
      <c r="V72" s="317">
        <v>46402.0</v>
      </c>
      <c r="W72" s="54" t="str">
        <f t="shared" si="2"/>
        <v>Berlaku</v>
      </c>
      <c r="X72" s="317">
        <v>46211.0</v>
      </c>
      <c r="Y72" s="54" t="str">
        <f t="shared" si="3"/>
        <v>Habis</v>
      </c>
      <c r="Z72" s="317">
        <v>46211.0</v>
      </c>
      <c r="AA72" s="54" t="str">
        <f t="shared" si="4"/>
        <v>Habis</v>
      </c>
      <c r="AB72" s="317">
        <v>46401.0</v>
      </c>
      <c r="AC72" s="54" t="str">
        <f t="shared" si="5"/>
        <v>Berlaku</v>
      </c>
      <c r="AD72" s="315">
        <v>46210.0</v>
      </c>
      <c r="AE72" s="56" t="str">
        <f t="shared" si="6"/>
        <v>Habis</v>
      </c>
      <c r="AF72" s="57" t="s">
        <v>166</v>
      </c>
      <c r="AG72" s="57" t="s">
        <v>167</v>
      </c>
      <c r="AH72" s="200"/>
      <c r="AI72" s="115" t="s">
        <v>531</v>
      </c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</row>
    <row r="73">
      <c r="A73" s="9">
        <v>64.0</v>
      </c>
      <c r="B73" s="52" t="s">
        <v>115</v>
      </c>
      <c r="C73" s="22" t="s">
        <v>240</v>
      </c>
      <c r="D73" s="22">
        <v>16.0</v>
      </c>
      <c r="E73" s="14" t="s">
        <v>116</v>
      </c>
      <c r="F73" s="11">
        <v>2018.0</v>
      </c>
      <c r="G73" s="11">
        <v>2018.0</v>
      </c>
      <c r="H73" s="11">
        <f>A4-F73</f>
        <v>8</v>
      </c>
      <c r="I73" s="51" t="s">
        <v>534</v>
      </c>
      <c r="J73" s="11">
        <v>7790.0</v>
      </c>
      <c r="K73" s="11" t="s">
        <v>159</v>
      </c>
      <c r="L73" s="11" t="s">
        <v>316</v>
      </c>
      <c r="M73" s="11" t="s">
        <v>161</v>
      </c>
      <c r="N73" s="11">
        <v>2018.0</v>
      </c>
      <c r="O73" s="11">
        <f>A4-N73</f>
        <v>8</v>
      </c>
      <c r="P73" s="11" t="s">
        <v>245</v>
      </c>
      <c r="Q73" s="11" t="s">
        <v>467</v>
      </c>
      <c r="R73" s="52" t="s">
        <v>535</v>
      </c>
      <c r="S73" s="52" t="s">
        <v>536</v>
      </c>
      <c r="T73" s="319">
        <v>46999.0</v>
      </c>
      <c r="U73" s="54" t="str">
        <f t="shared" si="1"/>
        <v>Berlaku</v>
      </c>
      <c r="V73" s="320">
        <v>46268.0</v>
      </c>
      <c r="W73" s="54" t="str">
        <f t="shared" si="2"/>
        <v>Habis</v>
      </c>
      <c r="X73" s="323">
        <v>46268.0</v>
      </c>
      <c r="Y73" s="54" t="str">
        <f t="shared" si="3"/>
        <v>Habis</v>
      </c>
      <c r="Z73" s="323">
        <v>46268.0</v>
      </c>
      <c r="AA73" s="54" t="str">
        <f t="shared" si="4"/>
        <v>Habis</v>
      </c>
      <c r="AB73" s="53">
        <f>VLOOKUP(B73,'DATA EXP TERA'!$C$3:$D$85,2,0)</f>
        <v>46648</v>
      </c>
      <c r="AC73" s="54" t="str">
        <f t="shared" si="5"/>
        <v>Berlaku</v>
      </c>
      <c r="AD73" s="315">
        <v>46340.0</v>
      </c>
      <c r="AE73" s="56" t="str">
        <f t="shared" si="6"/>
        <v>Berlaku</v>
      </c>
      <c r="AF73" s="57" t="s">
        <v>166</v>
      </c>
      <c r="AG73" s="57" t="s">
        <v>167</v>
      </c>
      <c r="AH73" s="213"/>
      <c r="AI73" s="115" t="s">
        <v>544</v>
      </c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177"/>
      <c r="AU73" s="177"/>
      <c r="AV73" s="177"/>
      <c r="AW73" s="177"/>
      <c r="AX73" s="177"/>
    </row>
    <row r="74">
      <c r="A74" s="9">
        <v>65.0</v>
      </c>
      <c r="B74" s="311" t="s">
        <v>117</v>
      </c>
      <c r="C74" s="9" t="s">
        <v>240</v>
      </c>
      <c r="D74" s="9">
        <v>16.0</v>
      </c>
      <c r="E74" s="24" t="s">
        <v>118</v>
      </c>
      <c r="F74" s="9">
        <v>2023.0</v>
      </c>
      <c r="G74" s="9">
        <v>2024.0</v>
      </c>
      <c r="H74" s="11">
        <f>A4-F74</f>
        <v>3</v>
      </c>
      <c r="I74" s="117" t="s">
        <v>486</v>
      </c>
      <c r="J74" s="9">
        <v>7684.0</v>
      </c>
      <c r="K74" s="11" t="s">
        <v>243</v>
      </c>
      <c r="L74" s="9" t="s">
        <v>160</v>
      </c>
      <c r="M74" s="9" t="s">
        <v>332</v>
      </c>
      <c r="N74" s="9">
        <v>2023.0</v>
      </c>
      <c r="O74" s="11">
        <f>A4-N74</f>
        <v>3</v>
      </c>
      <c r="P74" s="9" t="s">
        <v>245</v>
      </c>
      <c r="Q74" s="9" t="s">
        <v>163</v>
      </c>
      <c r="R74" s="118" t="s">
        <v>548</v>
      </c>
      <c r="S74" s="118" t="s">
        <v>549</v>
      </c>
      <c r="T74" s="53">
        <v>47199.0</v>
      </c>
      <c r="U74" s="54" t="str">
        <f t="shared" si="1"/>
        <v>Berlaku</v>
      </c>
      <c r="V74" s="317">
        <v>46468.0</v>
      </c>
      <c r="W74" s="54" t="str">
        <f t="shared" si="2"/>
        <v>Berlaku</v>
      </c>
      <c r="X74" s="317">
        <v>46304.0</v>
      </c>
      <c r="Y74" s="54" t="str">
        <f t="shared" si="3"/>
        <v>Akan Habis</v>
      </c>
      <c r="Z74" s="317">
        <v>46304.0</v>
      </c>
      <c r="AA74" s="54" t="str">
        <f t="shared" si="4"/>
        <v>Akan Habis</v>
      </c>
      <c r="AB74" s="53">
        <f>VLOOKUP(B74,'DATA EXP TERA'!$C$3:$D$85,2,0)</f>
        <v>46493</v>
      </c>
      <c r="AC74" s="54" t="str">
        <f t="shared" si="5"/>
        <v>Berlaku</v>
      </c>
      <c r="AD74" s="324">
        <v>46304.0</v>
      </c>
      <c r="AE74" s="56" t="str">
        <f t="shared" si="6"/>
        <v>Akan Habis</v>
      </c>
      <c r="AF74" s="96" t="s">
        <v>322</v>
      </c>
      <c r="AG74" s="57" t="s">
        <v>167</v>
      </c>
      <c r="AH74" s="24"/>
      <c r="AI74" s="115" t="s">
        <v>556</v>
      </c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177"/>
      <c r="AU74" s="177"/>
      <c r="AV74" s="177"/>
      <c r="AW74" s="177"/>
      <c r="AX74" s="177"/>
    </row>
    <row r="75">
      <c r="A75" s="9">
        <v>66.0</v>
      </c>
      <c r="B75" s="311" t="s">
        <v>119</v>
      </c>
      <c r="C75" s="9" t="s">
        <v>240</v>
      </c>
      <c r="D75" s="9">
        <v>16.0</v>
      </c>
      <c r="E75" s="24" t="s">
        <v>118</v>
      </c>
      <c r="F75" s="9">
        <v>2024.0</v>
      </c>
      <c r="G75" s="9">
        <v>2024.0</v>
      </c>
      <c r="H75" s="11">
        <f>A4-F75</f>
        <v>2</v>
      </c>
      <c r="I75" s="117" t="s">
        <v>486</v>
      </c>
      <c r="J75" s="9">
        <v>7684.0</v>
      </c>
      <c r="K75" s="11" t="s">
        <v>243</v>
      </c>
      <c r="L75" s="9" t="s">
        <v>160</v>
      </c>
      <c r="M75" s="9" t="s">
        <v>267</v>
      </c>
      <c r="N75" s="9">
        <v>2024.0</v>
      </c>
      <c r="O75" s="11">
        <f>A4-N75</f>
        <v>2</v>
      </c>
      <c r="P75" s="9" t="s">
        <v>245</v>
      </c>
      <c r="Q75" s="9" t="s">
        <v>163</v>
      </c>
      <c r="R75" s="118" t="s">
        <v>557</v>
      </c>
      <c r="S75" s="118" t="s">
        <v>558</v>
      </c>
      <c r="T75" s="53">
        <v>47360.0</v>
      </c>
      <c r="U75" s="54" t="str">
        <f t="shared" si="1"/>
        <v>Berlaku</v>
      </c>
      <c r="V75" s="317">
        <v>46264.0</v>
      </c>
      <c r="W75" s="54" t="str">
        <f t="shared" si="2"/>
        <v>Habis</v>
      </c>
      <c r="X75" s="317">
        <v>46268.0</v>
      </c>
      <c r="Y75" s="54" t="str">
        <f t="shared" si="3"/>
        <v>Habis</v>
      </c>
      <c r="Z75" s="317">
        <v>46267.0</v>
      </c>
      <c r="AA75" s="54" t="str">
        <f t="shared" si="4"/>
        <v>Habis</v>
      </c>
      <c r="AB75" s="53">
        <f>VLOOKUP(B75,'DATA EXP TERA'!$C$3:$D$85,2,0)</f>
        <v>46277</v>
      </c>
      <c r="AC75" s="54" t="str">
        <f t="shared" si="5"/>
        <v>Habis</v>
      </c>
      <c r="AD75" s="315">
        <v>46340.0</v>
      </c>
      <c r="AE75" s="56" t="str">
        <f t="shared" si="6"/>
        <v>Berlaku</v>
      </c>
      <c r="AF75" s="96" t="s">
        <v>322</v>
      </c>
      <c r="AG75" s="57" t="s">
        <v>167</v>
      </c>
      <c r="AH75" s="200"/>
      <c r="AI75" s="115" t="s">
        <v>564</v>
      </c>
      <c r="AJ75" s="177"/>
      <c r="AK75" s="177"/>
      <c r="AL75" s="177"/>
      <c r="AM75" s="177"/>
      <c r="AN75" s="177"/>
      <c r="AO75" s="177"/>
      <c r="AP75" s="177"/>
      <c r="AQ75" s="165"/>
      <c r="AR75" s="165"/>
      <c r="AS75" s="177"/>
      <c r="AT75" s="146"/>
      <c r="AU75" s="146"/>
      <c r="AV75" s="146"/>
      <c r="AW75" s="146"/>
      <c r="AX75" s="146"/>
    </row>
    <row r="76">
      <c r="A76" s="9">
        <v>67.0</v>
      </c>
      <c r="B76" s="311" t="s">
        <v>120</v>
      </c>
      <c r="C76" s="22" t="s">
        <v>324</v>
      </c>
      <c r="D76" s="22">
        <v>8.0</v>
      </c>
      <c r="E76" s="24" t="s">
        <v>118</v>
      </c>
      <c r="F76" s="9">
        <v>2024.0</v>
      </c>
      <c r="G76" s="9">
        <v>2024.0</v>
      </c>
      <c r="H76" s="11">
        <f>A4-F76</f>
        <v>2</v>
      </c>
      <c r="I76" s="117" t="s">
        <v>568</v>
      </c>
      <c r="J76" s="9">
        <v>7545.0</v>
      </c>
      <c r="K76" s="11" t="s">
        <v>243</v>
      </c>
      <c r="L76" s="9" t="s">
        <v>160</v>
      </c>
      <c r="M76" s="9" t="s">
        <v>559</v>
      </c>
      <c r="N76" s="9">
        <v>2024.0</v>
      </c>
      <c r="O76" s="11">
        <f>A4-N76</f>
        <v>2</v>
      </c>
      <c r="P76" s="9" t="s">
        <v>245</v>
      </c>
      <c r="Q76" s="9" t="s">
        <v>569</v>
      </c>
      <c r="R76" s="24" t="s">
        <v>570</v>
      </c>
      <c r="S76" s="118" t="s">
        <v>571</v>
      </c>
      <c r="T76" s="319">
        <v>47337.0</v>
      </c>
      <c r="U76" s="54" t="str">
        <f t="shared" si="1"/>
        <v>Berlaku</v>
      </c>
      <c r="V76" s="320">
        <v>46241.0</v>
      </c>
      <c r="W76" s="54" t="str">
        <f t="shared" si="2"/>
        <v>Habis</v>
      </c>
      <c r="X76" s="317">
        <v>46270.0</v>
      </c>
      <c r="Y76" s="54" t="str">
        <f t="shared" si="3"/>
        <v>Habis</v>
      </c>
      <c r="Z76" s="317">
        <v>46270.0</v>
      </c>
      <c r="AA76" s="54" t="str">
        <f t="shared" si="4"/>
        <v>Habis</v>
      </c>
      <c r="AB76" s="53">
        <f>VLOOKUP(B76,'DATA EXP TERA'!$C$3:$D$85,2,0)</f>
        <v>46325</v>
      </c>
      <c r="AC76" s="54" t="str">
        <f t="shared" si="5"/>
        <v>Akan Habis</v>
      </c>
      <c r="AD76" s="315">
        <v>46302.0</v>
      </c>
      <c r="AE76" s="56" t="str">
        <f t="shared" si="6"/>
        <v>Habis dalam 7-1 Hari</v>
      </c>
      <c r="AF76" s="96" t="s">
        <v>322</v>
      </c>
      <c r="AG76" s="57" t="s">
        <v>167</v>
      </c>
      <c r="AH76" s="218"/>
      <c r="AI76" s="115" t="s">
        <v>578</v>
      </c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138"/>
      <c r="AU76" s="138"/>
      <c r="AV76" s="138"/>
      <c r="AW76" s="138"/>
      <c r="AX76" s="138"/>
    </row>
    <row r="77">
      <c r="A77" s="9">
        <v>68.0</v>
      </c>
      <c r="B77" s="311" t="s">
        <v>121</v>
      </c>
      <c r="C77" s="22" t="s">
        <v>240</v>
      </c>
      <c r="D77" s="22">
        <v>16.0</v>
      </c>
      <c r="E77" s="24" t="s">
        <v>118</v>
      </c>
      <c r="F77" s="9">
        <v>2024.0</v>
      </c>
      <c r="G77" s="9">
        <v>2024.0</v>
      </c>
      <c r="H77" s="11">
        <f>A4-F77</f>
        <v>2</v>
      </c>
      <c r="I77" s="117" t="s">
        <v>579</v>
      </c>
      <c r="J77" s="9">
        <v>7684.0</v>
      </c>
      <c r="K77" s="11" t="s">
        <v>243</v>
      </c>
      <c r="L77" s="9" t="s">
        <v>316</v>
      </c>
      <c r="M77" s="9" t="s">
        <v>580</v>
      </c>
      <c r="N77" s="9">
        <v>2025.0</v>
      </c>
      <c r="O77" s="11">
        <f>A4-N77</f>
        <v>1</v>
      </c>
      <c r="P77" s="9" t="s">
        <v>245</v>
      </c>
      <c r="Q77" s="9" t="s">
        <v>163</v>
      </c>
      <c r="R77" s="24" t="s">
        <v>582</v>
      </c>
      <c r="S77" s="118" t="s">
        <v>583</v>
      </c>
      <c r="T77" s="319">
        <v>47673.0</v>
      </c>
      <c r="U77" s="54" t="str">
        <f t="shared" si="1"/>
        <v>Berlaku</v>
      </c>
      <c r="V77" s="320">
        <v>46212.0</v>
      </c>
      <c r="W77" s="54" t="str">
        <f t="shared" si="2"/>
        <v>Habis</v>
      </c>
      <c r="X77" s="317">
        <v>46257.0</v>
      </c>
      <c r="Y77" s="54" t="str">
        <f t="shared" si="3"/>
        <v>Habis</v>
      </c>
      <c r="Z77" s="317">
        <v>46257.0</v>
      </c>
      <c r="AA77" s="54" t="str">
        <f t="shared" si="4"/>
        <v>Habis</v>
      </c>
      <c r="AB77" s="53">
        <f>VLOOKUP(B77,'DATA EXP TERA'!$C$3:$D$85,2,0)</f>
        <v>46634</v>
      </c>
      <c r="AC77" s="54" t="str">
        <f t="shared" si="5"/>
        <v>Berlaku</v>
      </c>
      <c r="AD77" s="315">
        <v>46340.0</v>
      </c>
      <c r="AE77" s="56" t="str">
        <f t="shared" si="6"/>
        <v>Berlaku</v>
      </c>
      <c r="AF77" s="96" t="s">
        <v>322</v>
      </c>
      <c r="AG77" s="57" t="s">
        <v>167</v>
      </c>
      <c r="AH77" s="229"/>
      <c r="AI77" s="115" t="s">
        <v>592</v>
      </c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177"/>
      <c r="AU77" s="177"/>
      <c r="AV77" s="177"/>
      <c r="AW77" s="177"/>
      <c r="AX77" s="177"/>
    </row>
    <row r="78">
      <c r="A78" s="9">
        <v>69.0</v>
      </c>
      <c r="B78" s="311" t="s">
        <v>122</v>
      </c>
      <c r="C78" s="11" t="s">
        <v>240</v>
      </c>
      <c r="D78" s="11">
        <v>16.0</v>
      </c>
      <c r="E78" s="14" t="s">
        <v>118</v>
      </c>
      <c r="F78" s="11">
        <v>2024.0</v>
      </c>
      <c r="G78" s="11">
        <v>2025.0</v>
      </c>
      <c r="H78" s="11">
        <f>A4-F78</f>
        <v>2</v>
      </c>
      <c r="I78" s="51" t="s">
        <v>593</v>
      </c>
      <c r="J78" s="11">
        <v>7684.0</v>
      </c>
      <c r="K78" s="11" t="s">
        <v>243</v>
      </c>
      <c r="L78" s="11" t="s">
        <v>160</v>
      </c>
      <c r="M78" s="11" t="s">
        <v>267</v>
      </c>
      <c r="N78" s="11">
        <v>2025.0</v>
      </c>
      <c r="O78" s="11">
        <f>A4-N78</f>
        <v>1</v>
      </c>
      <c r="P78" s="11" t="s">
        <v>162</v>
      </c>
      <c r="Q78" s="11" t="s">
        <v>163</v>
      </c>
      <c r="R78" s="14" t="s">
        <v>596</v>
      </c>
      <c r="S78" s="52" t="s">
        <v>597</v>
      </c>
      <c r="T78" s="321">
        <v>47563.0</v>
      </c>
      <c r="U78" s="54" t="str">
        <f t="shared" si="1"/>
        <v>Berlaku</v>
      </c>
      <c r="V78" s="317">
        <v>46467.0</v>
      </c>
      <c r="W78" s="54" t="str">
        <f t="shared" si="2"/>
        <v>Berlaku</v>
      </c>
      <c r="X78" s="317">
        <v>46270.0</v>
      </c>
      <c r="Y78" s="54" t="str">
        <f t="shared" si="3"/>
        <v>Habis</v>
      </c>
      <c r="Z78" s="317">
        <v>46270.0</v>
      </c>
      <c r="AA78" s="54" t="str">
        <f t="shared" si="4"/>
        <v>Habis</v>
      </c>
      <c r="AB78" s="53">
        <f>VLOOKUP(B78,'DATA EXP TERA'!$C$3:$D$85,2,0)</f>
        <v>46492</v>
      </c>
      <c r="AC78" s="54" t="str">
        <f t="shared" si="5"/>
        <v>Berlaku</v>
      </c>
      <c r="AD78" s="315">
        <v>46302.0</v>
      </c>
      <c r="AE78" s="56" t="str">
        <f t="shared" si="6"/>
        <v>Habis dalam 7-1 Hari</v>
      </c>
      <c r="AF78" s="96" t="s">
        <v>322</v>
      </c>
      <c r="AG78" s="57" t="s">
        <v>167</v>
      </c>
      <c r="AH78" s="14"/>
      <c r="AI78" s="115" t="s">
        <v>607</v>
      </c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177"/>
      <c r="AU78" s="177"/>
      <c r="AV78" s="177"/>
      <c r="AW78" s="177"/>
      <c r="AX78" s="177"/>
    </row>
    <row r="79">
      <c r="A79" s="9">
        <v>70.0</v>
      </c>
      <c r="B79" s="118" t="s">
        <v>123</v>
      </c>
      <c r="C79" s="9" t="s">
        <v>153</v>
      </c>
      <c r="D79" s="9">
        <v>24.0</v>
      </c>
      <c r="E79" s="29" t="s">
        <v>124</v>
      </c>
      <c r="F79" s="22">
        <v>2025.0</v>
      </c>
      <c r="G79" s="22">
        <v>2026.0</v>
      </c>
      <c r="H79" s="9">
        <f>A4-F79</f>
        <v>1</v>
      </c>
      <c r="I79" s="139" t="s">
        <v>609</v>
      </c>
      <c r="J79" s="22">
        <v>7684.0</v>
      </c>
      <c r="K79" s="9" t="s">
        <v>243</v>
      </c>
      <c r="L79" s="9" t="s">
        <v>160</v>
      </c>
      <c r="M79" s="9" t="s">
        <v>161</v>
      </c>
      <c r="N79" s="9">
        <v>2016.0</v>
      </c>
      <c r="O79" s="9">
        <v>10.0</v>
      </c>
      <c r="P79" s="9" t="s">
        <v>162</v>
      </c>
      <c r="Q79" s="22" t="s">
        <v>610</v>
      </c>
      <c r="R79" s="140" t="s">
        <v>611</v>
      </c>
      <c r="S79" s="140" t="s">
        <v>612</v>
      </c>
      <c r="T79" s="325">
        <v>47937.0</v>
      </c>
      <c r="U79" s="153" t="str">
        <f t="shared" si="1"/>
        <v>Berlaku</v>
      </c>
      <c r="V79" s="325">
        <v>46476.0</v>
      </c>
      <c r="W79" s="153" t="str">
        <f t="shared" si="2"/>
        <v>Berlaku</v>
      </c>
      <c r="X79" s="53">
        <v>46301.0</v>
      </c>
      <c r="Y79" s="153" t="str">
        <f t="shared" si="3"/>
        <v>Habis dalam 7-1 Hari</v>
      </c>
      <c r="Z79" s="53">
        <v>46483.0</v>
      </c>
      <c r="AA79" s="153" t="str">
        <f t="shared" si="4"/>
        <v>Berlaku</v>
      </c>
      <c r="AB79" s="317">
        <v>46856.0</v>
      </c>
      <c r="AC79" s="153" t="str">
        <f t="shared" si="5"/>
        <v>Berlaku</v>
      </c>
      <c r="AD79" s="315">
        <v>46320.0</v>
      </c>
      <c r="AE79" s="154" t="str">
        <f t="shared" si="6"/>
        <v>Berlaku</v>
      </c>
      <c r="AF79" s="155" t="s">
        <v>166</v>
      </c>
      <c r="AG79" s="155" t="s">
        <v>167</v>
      </c>
      <c r="AH79" s="29"/>
      <c r="AI79" s="29" t="s">
        <v>617</v>
      </c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</row>
    <row r="80">
      <c r="A80" s="9">
        <v>71.0</v>
      </c>
      <c r="B80" s="118" t="s">
        <v>125</v>
      </c>
      <c r="C80" s="9" t="s">
        <v>153</v>
      </c>
      <c r="D80" s="9">
        <v>24.0</v>
      </c>
      <c r="E80" s="29" t="s">
        <v>124</v>
      </c>
      <c r="F80" s="22">
        <v>2025.0</v>
      </c>
      <c r="G80" s="22">
        <v>2026.0</v>
      </c>
      <c r="H80" s="11">
        <f>A4-F80</f>
        <v>1</v>
      </c>
      <c r="I80" s="139" t="s">
        <v>609</v>
      </c>
      <c r="J80" s="22">
        <v>7684.0</v>
      </c>
      <c r="K80" s="9" t="s">
        <v>243</v>
      </c>
      <c r="L80" s="9" t="s">
        <v>160</v>
      </c>
      <c r="M80" s="9" t="s">
        <v>161</v>
      </c>
      <c r="N80" s="9">
        <v>2016.0</v>
      </c>
      <c r="O80" s="9">
        <v>10.0</v>
      </c>
      <c r="P80" s="9" t="s">
        <v>162</v>
      </c>
      <c r="Q80" s="22" t="s">
        <v>610</v>
      </c>
      <c r="R80" s="140" t="s">
        <v>618</v>
      </c>
      <c r="S80" s="140" t="s">
        <v>619</v>
      </c>
      <c r="T80" s="325">
        <v>47911.0</v>
      </c>
      <c r="U80" s="153" t="str">
        <f t="shared" si="1"/>
        <v>Berlaku</v>
      </c>
      <c r="V80" s="325">
        <v>46450.0</v>
      </c>
      <c r="W80" s="153" t="str">
        <f t="shared" si="2"/>
        <v>Berlaku</v>
      </c>
      <c r="X80" s="53">
        <v>46278.0</v>
      </c>
      <c r="Y80" s="153" t="str">
        <f t="shared" si="3"/>
        <v>Habis</v>
      </c>
      <c r="Z80" s="317">
        <v>46278.0</v>
      </c>
      <c r="AA80" s="153" t="str">
        <f t="shared" si="4"/>
        <v>Habis</v>
      </c>
      <c r="AB80" s="317">
        <v>46829.0</v>
      </c>
      <c r="AC80" s="153" t="str">
        <f t="shared" si="5"/>
        <v>Berlaku</v>
      </c>
      <c r="AD80" s="317">
        <v>46285.0</v>
      </c>
      <c r="AE80" s="154" t="str">
        <f t="shared" si="6"/>
        <v>Habis</v>
      </c>
      <c r="AF80" s="155" t="s">
        <v>166</v>
      </c>
      <c r="AG80" s="155" t="s">
        <v>167</v>
      </c>
      <c r="AH80" s="29"/>
      <c r="AI80" s="29" t="s">
        <v>620</v>
      </c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146"/>
      <c r="AU80" s="146"/>
      <c r="AV80" s="146"/>
      <c r="AW80" s="146"/>
      <c r="AX80" s="146"/>
    </row>
    <row r="81">
      <c r="A81" s="9">
        <v>72.0</v>
      </c>
      <c r="B81" s="311" t="s">
        <v>127</v>
      </c>
      <c r="C81" s="11" t="s">
        <v>153</v>
      </c>
      <c r="D81" s="11">
        <v>24.0</v>
      </c>
      <c r="E81" s="26" t="s">
        <v>124</v>
      </c>
      <c r="F81" s="19">
        <v>2022.0</v>
      </c>
      <c r="G81" s="19">
        <v>2022.0</v>
      </c>
      <c r="H81" s="11">
        <f>A4-F81</f>
        <v>4</v>
      </c>
      <c r="I81" s="137" t="s">
        <v>317</v>
      </c>
      <c r="J81" s="19">
        <v>7684.0</v>
      </c>
      <c r="K81" s="11" t="s">
        <v>243</v>
      </c>
      <c r="L81" s="11" t="s">
        <v>160</v>
      </c>
      <c r="M81" s="11" t="s">
        <v>332</v>
      </c>
      <c r="N81" s="11">
        <v>2012.0</v>
      </c>
      <c r="O81" s="11">
        <f>A4-N81</f>
        <v>14</v>
      </c>
      <c r="P81" s="11" t="s">
        <v>162</v>
      </c>
      <c r="Q81" s="19" t="s">
        <v>610</v>
      </c>
      <c r="R81" s="115" t="s">
        <v>621</v>
      </c>
      <c r="S81" s="115" t="s">
        <v>622</v>
      </c>
      <c r="T81" s="325">
        <v>46639.0</v>
      </c>
      <c r="U81" s="54" t="str">
        <f t="shared" si="1"/>
        <v>Berlaku</v>
      </c>
      <c r="V81" s="324">
        <v>46274.0</v>
      </c>
      <c r="W81" s="54" t="str">
        <f t="shared" si="2"/>
        <v>Habis</v>
      </c>
      <c r="X81" s="324">
        <v>46301.0</v>
      </c>
      <c r="Y81" s="54" t="str">
        <f t="shared" si="3"/>
        <v>Habis dalam 7-1 Hari</v>
      </c>
      <c r="Z81" s="324">
        <v>46301.0</v>
      </c>
      <c r="AA81" s="54" t="str">
        <f t="shared" si="4"/>
        <v>Habis dalam 7-1 Hari</v>
      </c>
      <c r="AB81" s="53">
        <f>VLOOKUP(B81,'DATA EXP TERA'!$C$3:$D$85,2,0)</f>
        <v>46312</v>
      </c>
      <c r="AC81" s="54" t="str">
        <f t="shared" si="5"/>
        <v>Akan Habis</v>
      </c>
      <c r="AD81" s="324">
        <v>46304.0</v>
      </c>
      <c r="AE81" s="56" t="str">
        <f t="shared" si="6"/>
        <v>Akan Habis</v>
      </c>
      <c r="AF81" s="96" t="s">
        <v>203</v>
      </c>
      <c r="AG81" s="57" t="s">
        <v>167</v>
      </c>
      <c r="AH81" s="175"/>
      <c r="AI81" s="58"/>
      <c r="AJ81" s="138"/>
      <c r="AK81" s="138"/>
      <c r="AL81" s="138"/>
      <c r="AM81" s="138"/>
      <c r="AN81" s="138"/>
      <c r="AO81" s="138"/>
      <c r="AP81" s="138"/>
      <c r="AQ81" s="138"/>
      <c r="AR81" s="138"/>
      <c r="AS81" s="138"/>
      <c r="AT81" s="214"/>
      <c r="AU81" s="214"/>
      <c r="AV81" s="214"/>
      <c r="AW81" s="214"/>
      <c r="AX81" s="214"/>
    </row>
    <row r="82">
      <c r="A82" s="9">
        <v>73.0</v>
      </c>
      <c r="B82" s="466" t="s">
        <v>129</v>
      </c>
      <c r="C82" s="9" t="s">
        <v>153</v>
      </c>
      <c r="D82" s="9">
        <v>24.0</v>
      </c>
      <c r="E82" s="29" t="s">
        <v>133</v>
      </c>
      <c r="F82" s="22">
        <v>2024.0</v>
      </c>
      <c r="G82" s="22">
        <v>2025.0</v>
      </c>
      <c r="H82" s="11">
        <f>A4-F82</f>
        <v>2</v>
      </c>
      <c r="I82" s="139" t="s">
        <v>623</v>
      </c>
      <c r="J82" s="22">
        <v>7790.0</v>
      </c>
      <c r="K82" s="11" t="s">
        <v>243</v>
      </c>
      <c r="L82" s="9" t="s">
        <v>160</v>
      </c>
      <c r="M82" s="9" t="s">
        <v>559</v>
      </c>
      <c r="N82" s="9">
        <v>2025.0</v>
      </c>
      <c r="O82" s="11">
        <f>A4-N82</f>
        <v>1</v>
      </c>
      <c r="P82" s="9" t="s">
        <v>162</v>
      </c>
      <c r="Q82" s="22" t="s">
        <v>467</v>
      </c>
      <c r="R82" s="29" t="s">
        <v>624</v>
      </c>
      <c r="S82" s="29" t="s">
        <v>625</v>
      </c>
      <c r="T82" s="326">
        <v>47645.0</v>
      </c>
      <c r="U82" s="54" t="str">
        <f t="shared" si="1"/>
        <v>Berlaku</v>
      </c>
      <c r="V82" s="323">
        <v>46184.0</v>
      </c>
      <c r="W82" s="54" t="str">
        <f t="shared" si="2"/>
        <v>Habis</v>
      </c>
      <c r="X82" s="323">
        <v>46181.0</v>
      </c>
      <c r="Y82" s="54" t="str">
        <f t="shared" si="3"/>
        <v>Habis</v>
      </c>
      <c r="Z82" s="317">
        <v>46188.0</v>
      </c>
      <c r="AA82" s="54" t="str">
        <f t="shared" si="4"/>
        <v>Habis</v>
      </c>
      <c r="AB82" s="53">
        <v>46774.0</v>
      </c>
      <c r="AC82" s="54" t="str">
        <f t="shared" si="5"/>
        <v>Berlaku</v>
      </c>
      <c r="AD82" s="324">
        <v>46304.0</v>
      </c>
      <c r="AE82" s="56" t="str">
        <f t="shared" si="6"/>
        <v>Akan Habis</v>
      </c>
      <c r="AF82" s="96" t="s">
        <v>626</v>
      </c>
      <c r="AG82" s="57" t="s">
        <v>167</v>
      </c>
      <c r="AH82" s="245"/>
      <c r="AI82" s="246"/>
      <c r="AJ82" s="138"/>
      <c r="AK82" s="138"/>
      <c r="AL82" s="138"/>
      <c r="AM82" s="138"/>
      <c r="AN82" s="146"/>
      <c r="AO82" s="146"/>
      <c r="AP82" s="146"/>
      <c r="AQ82" s="138"/>
      <c r="AR82" s="138"/>
      <c r="AS82" s="146"/>
      <c r="AT82" s="214"/>
      <c r="AU82" s="214"/>
      <c r="AV82" s="214"/>
      <c r="AW82" s="214"/>
      <c r="AX82" s="214"/>
    </row>
    <row r="83">
      <c r="A83" s="9">
        <v>74.0</v>
      </c>
      <c r="B83" s="311" t="s">
        <v>134</v>
      </c>
      <c r="C83" s="11" t="s">
        <v>153</v>
      </c>
      <c r="D83" s="11">
        <v>24.0</v>
      </c>
      <c r="E83" s="26" t="s">
        <v>133</v>
      </c>
      <c r="F83" s="19">
        <v>2024.0</v>
      </c>
      <c r="G83" s="19">
        <v>2025.0</v>
      </c>
      <c r="H83" s="11">
        <f>A4-F83</f>
        <v>2</v>
      </c>
      <c r="I83" s="137" t="s">
        <v>623</v>
      </c>
      <c r="J83" s="19">
        <v>7790.0</v>
      </c>
      <c r="K83" s="11" t="s">
        <v>243</v>
      </c>
      <c r="L83" s="11" t="s">
        <v>160</v>
      </c>
      <c r="M83" s="11" t="s">
        <v>559</v>
      </c>
      <c r="N83" s="11">
        <v>2025.0</v>
      </c>
      <c r="O83" s="11">
        <f>A4-N83</f>
        <v>1</v>
      </c>
      <c r="P83" s="11" t="s">
        <v>162</v>
      </c>
      <c r="Q83" s="19" t="s">
        <v>467</v>
      </c>
      <c r="R83" s="115" t="s">
        <v>627</v>
      </c>
      <c r="S83" s="115" t="s">
        <v>628</v>
      </c>
      <c r="T83" s="327">
        <v>47668.0</v>
      </c>
      <c r="U83" s="54" t="str">
        <f t="shared" si="1"/>
        <v>Berlaku</v>
      </c>
      <c r="V83" s="324">
        <v>46207.0</v>
      </c>
      <c r="W83" s="54" t="str">
        <f t="shared" si="2"/>
        <v>Habis</v>
      </c>
      <c r="X83" s="323">
        <v>46181.0</v>
      </c>
      <c r="Y83" s="54" t="str">
        <f t="shared" si="3"/>
        <v>Habis</v>
      </c>
      <c r="Z83" s="323">
        <v>46181.0</v>
      </c>
      <c r="AA83" s="54" t="str">
        <f t="shared" si="4"/>
        <v>Habis</v>
      </c>
      <c r="AB83" s="53">
        <f>VLOOKUP(B83,'DATA EXP TERA'!$C$3:$D$85,2,0)</f>
        <v>46591</v>
      </c>
      <c r="AC83" s="54" t="str">
        <f t="shared" si="5"/>
        <v>Berlaku</v>
      </c>
      <c r="AD83" s="315">
        <v>46223.0</v>
      </c>
      <c r="AE83" s="56" t="str">
        <f t="shared" si="6"/>
        <v>Habis</v>
      </c>
      <c r="AF83" s="96" t="s">
        <v>626</v>
      </c>
      <c r="AG83" s="57" t="s">
        <v>167</v>
      </c>
      <c r="AH83" s="163"/>
      <c r="AI83" s="246"/>
      <c r="AJ83" s="138"/>
      <c r="AK83" s="138"/>
      <c r="AL83" s="138"/>
      <c r="AM83" s="138"/>
      <c r="AN83" s="146"/>
      <c r="AO83" s="146"/>
      <c r="AP83" s="146"/>
      <c r="AQ83" s="138"/>
      <c r="AR83" s="138"/>
      <c r="AS83" s="146"/>
      <c r="AT83" s="214"/>
      <c r="AU83" s="214"/>
      <c r="AV83" s="214"/>
      <c r="AW83" s="214"/>
      <c r="AX83" s="214"/>
    </row>
    <row r="84">
      <c r="A84" s="9">
        <v>75.0</v>
      </c>
      <c r="B84" s="477" t="s">
        <v>358</v>
      </c>
      <c r="C84" s="19" t="s">
        <v>240</v>
      </c>
      <c r="D84" s="19">
        <v>16.0</v>
      </c>
      <c r="E84" s="26" t="s">
        <v>142</v>
      </c>
      <c r="F84" s="19">
        <v>2016.0</v>
      </c>
      <c r="G84" s="19">
        <v>2017.0</v>
      </c>
      <c r="H84" s="11">
        <v>10.0</v>
      </c>
      <c r="I84" s="137" t="s">
        <v>678</v>
      </c>
      <c r="J84" s="19">
        <v>7790.0</v>
      </c>
      <c r="K84" s="11" t="s">
        <v>159</v>
      </c>
      <c r="L84" s="11" t="s">
        <v>160</v>
      </c>
      <c r="M84" s="19" t="s">
        <v>332</v>
      </c>
      <c r="N84" s="19">
        <v>2016.0</v>
      </c>
      <c r="O84" s="11">
        <v>10.0</v>
      </c>
      <c r="P84" s="19" t="s">
        <v>245</v>
      </c>
      <c r="Q84" s="19" t="s">
        <v>467</v>
      </c>
      <c r="R84" s="19" t="s">
        <v>680</v>
      </c>
      <c r="S84" s="115" t="s">
        <v>681</v>
      </c>
      <c r="T84" s="326">
        <v>46417.0</v>
      </c>
      <c r="U84" s="54" t="str">
        <f t="shared" si="1"/>
        <v>Berlaku</v>
      </c>
      <c r="V84" s="323">
        <v>46417.0</v>
      </c>
      <c r="W84" s="54" t="str">
        <f t="shared" si="2"/>
        <v>Berlaku</v>
      </c>
      <c r="X84" s="324">
        <v>46238.0</v>
      </c>
      <c r="Y84" s="54" t="str">
        <f t="shared" si="3"/>
        <v>Habis</v>
      </c>
      <c r="Z84" s="324">
        <v>46238.0</v>
      </c>
      <c r="AA84" s="54" t="str">
        <f t="shared" si="4"/>
        <v>Habis</v>
      </c>
      <c r="AB84" s="53">
        <f>VLOOKUP(B84,'DATA EXP TERA'!$C$3:$D$85,2,0)</f>
        <v>46802</v>
      </c>
      <c r="AC84" s="54" t="str">
        <f t="shared" si="5"/>
        <v>Berlaku</v>
      </c>
      <c r="AD84" s="315">
        <v>46258.0</v>
      </c>
      <c r="AE84" s="56" t="str">
        <f t="shared" si="6"/>
        <v>Habis</v>
      </c>
      <c r="AF84" s="57" t="s">
        <v>166</v>
      </c>
      <c r="AG84" s="57" t="s">
        <v>167</v>
      </c>
      <c r="AH84" s="163"/>
      <c r="AI84" s="58"/>
      <c r="AJ84" s="138"/>
      <c r="AK84" s="138"/>
      <c r="AL84" s="138"/>
      <c r="AM84" s="138"/>
      <c r="AN84" s="146"/>
      <c r="AO84" s="146"/>
      <c r="AP84" s="146"/>
      <c r="AQ84" s="138"/>
      <c r="AR84" s="138"/>
      <c r="AS84" s="146"/>
      <c r="AT84" s="138"/>
      <c r="AU84" s="138"/>
      <c r="AV84" s="138"/>
      <c r="AW84" s="138"/>
      <c r="AX84" s="138"/>
    </row>
    <row r="85">
      <c r="A85" s="9">
        <v>76.0</v>
      </c>
      <c r="B85" s="477" t="s">
        <v>359</v>
      </c>
      <c r="C85" s="19" t="s">
        <v>240</v>
      </c>
      <c r="D85" s="19">
        <v>16.0</v>
      </c>
      <c r="E85" s="26" t="s">
        <v>142</v>
      </c>
      <c r="F85" s="19">
        <v>2016.0</v>
      </c>
      <c r="G85" s="19">
        <v>2017.0</v>
      </c>
      <c r="H85" s="11">
        <v>10.0</v>
      </c>
      <c r="I85" s="137" t="s">
        <v>678</v>
      </c>
      <c r="J85" s="19">
        <v>7790.0</v>
      </c>
      <c r="K85" s="11" t="s">
        <v>159</v>
      </c>
      <c r="L85" s="11" t="s">
        <v>160</v>
      </c>
      <c r="M85" s="19" t="s">
        <v>332</v>
      </c>
      <c r="N85" s="19">
        <v>2016.0</v>
      </c>
      <c r="O85" s="11">
        <v>10.0</v>
      </c>
      <c r="P85" s="19" t="s">
        <v>245</v>
      </c>
      <c r="Q85" s="19" t="s">
        <v>467</v>
      </c>
      <c r="R85" s="19" t="s">
        <v>682</v>
      </c>
      <c r="S85" s="115" t="s">
        <v>681</v>
      </c>
      <c r="T85" s="326">
        <v>46417.0</v>
      </c>
      <c r="U85" s="54" t="str">
        <f t="shared" si="1"/>
        <v>Berlaku</v>
      </c>
      <c r="V85" s="323">
        <v>46417.0</v>
      </c>
      <c r="W85" s="54" t="str">
        <f t="shared" si="2"/>
        <v>Berlaku</v>
      </c>
      <c r="X85" s="324">
        <v>46238.0</v>
      </c>
      <c r="Y85" s="54" t="str">
        <f t="shared" si="3"/>
        <v>Habis</v>
      </c>
      <c r="Z85" s="324">
        <v>46238.0</v>
      </c>
      <c r="AA85" s="54" t="str">
        <f t="shared" si="4"/>
        <v>Habis</v>
      </c>
      <c r="AB85" s="53">
        <f>VLOOKUP(B85,'DATA EXP TERA'!$C$3:$D$85,2,0)</f>
        <v>46438</v>
      </c>
      <c r="AC85" s="54" t="str">
        <f t="shared" si="5"/>
        <v>Berlaku</v>
      </c>
      <c r="AD85" s="315">
        <v>46340.0</v>
      </c>
      <c r="AE85" s="56" t="str">
        <f t="shared" si="6"/>
        <v>Berlaku</v>
      </c>
      <c r="AF85" s="57" t="s">
        <v>166</v>
      </c>
      <c r="AG85" s="57" t="s">
        <v>167</v>
      </c>
      <c r="AH85" s="163"/>
      <c r="AI85" s="58"/>
      <c r="AJ85" s="138"/>
      <c r="AK85" s="138"/>
      <c r="AL85" s="138"/>
      <c r="AM85" s="138"/>
      <c r="AN85" s="138"/>
      <c r="AO85" s="138"/>
      <c r="AP85" s="138"/>
      <c r="AQ85" s="138"/>
      <c r="AR85" s="138"/>
      <c r="AS85" s="138"/>
      <c r="AT85" s="138"/>
      <c r="AU85" s="138"/>
      <c r="AV85" s="138"/>
      <c r="AW85" s="138"/>
      <c r="AX85" s="138"/>
    </row>
    <row r="86">
      <c r="A86" s="9">
        <v>77.0</v>
      </c>
      <c r="B86" s="477" t="s">
        <v>135</v>
      </c>
      <c r="C86" s="19" t="s">
        <v>240</v>
      </c>
      <c r="D86" s="19">
        <v>16.0</v>
      </c>
      <c r="E86" s="26" t="s">
        <v>142</v>
      </c>
      <c r="F86" s="19">
        <v>2017.0</v>
      </c>
      <c r="G86" s="19">
        <v>2018.0</v>
      </c>
      <c r="H86" s="11">
        <f>A4-F86</f>
        <v>9</v>
      </c>
      <c r="I86" s="137" t="s">
        <v>629</v>
      </c>
      <c r="J86" s="19">
        <v>7684.0</v>
      </c>
      <c r="K86" s="11" t="s">
        <v>159</v>
      </c>
      <c r="L86" s="11" t="s">
        <v>316</v>
      </c>
      <c r="M86" s="11" t="s">
        <v>161</v>
      </c>
      <c r="N86" s="11">
        <v>2017.0</v>
      </c>
      <c r="O86" s="11">
        <f>A4-N86</f>
        <v>9</v>
      </c>
      <c r="P86" s="11" t="s">
        <v>245</v>
      </c>
      <c r="Q86" s="19" t="s">
        <v>163</v>
      </c>
      <c r="R86" s="19" t="s">
        <v>630</v>
      </c>
      <c r="S86" s="115" t="s">
        <v>631</v>
      </c>
      <c r="T86" s="326">
        <v>46831.0</v>
      </c>
      <c r="U86" s="54" t="str">
        <f t="shared" si="1"/>
        <v>Berlaku</v>
      </c>
      <c r="V86" s="323">
        <v>46465.0</v>
      </c>
      <c r="W86" s="54" t="str">
        <f t="shared" si="2"/>
        <v>Berlaku</v>
      </c>
      <c r="X86" s="324">
        <v>46167.0</v>
      </c>
      <c r="Y86" s="54" t="str">
        <f t="shared" si="3"/>
        <v>Habis</v>
      </c>
      <c r="Z86" s="53">
        <v>46174.0</v>
      </c>
      <c r="AA86" s="54" t="str">
        <f t="shared" si="4"/>
        <v>Habis</v>
      </c>
      <c r="AB86" s="53">
        <f>VLOOKUP(B86,'DATA EXP TERA'!$C$3:$D$85,2,0)</f>
        <v>46803</v>
      </c>
      <c r="AC86" s="54" t="str">
        <f t="shared" si="5"/>
        <v>Berlaku</v>
      </c>
      <c r="AD86" s="315">
        <v>46176.0</v>
      </c>
      <c r="AE86" s="56" t="str">
        <f t="shared" si="6"/>
        <v>Habis</v>
      </c>
      <c r="AF86" s="57" t="s">
        <v>166</v>
      </c>
      <c r="AG86" s="57" t="s">
        <v>167</v>
      </c>
      <c r="AH86" s="163"/>
      <c r="AI86" s="58"/>
      <c r="AJ86" s="138"/>
      <c r="AK86" s="247"/>
      <c r="AL86" s="247"/>
      <c r="AM86" s="247"/>
      <c r="AN86" s="247"/>
      <c r="AO86" s="248"/>
      <c r="AP86" s="249"/>
      <c r="AQ86" s="248"/>
      <c r="AR86" s="249"/>
      <c r="AS86" s="249"/>
      <c r="AT86" s="249"/>
      <c r="AU86" s="249"/>
      <c r="AV86" s="249"/>
      <c r="AW86" s="249"/>
      <c r="AX86" s="249"/>
    </row>
    <row r="87">
      <c r="A87" s="9">
        <v>78.0</v>
      </c>
      <c r="B87" s="11" t="s">
        <v>145</v>
      </c>
      <c r="C87" s="11" t="s">
        <v>153</v>
      </c>
      <c r="D87" s="11">
        <v>24.0</v>
      </c>
      <c r="E87" s="26" t="s">
        <v>142</v>
      </c>
      <c r="F87" s="19">
        <v>2019.0</v>
      </c>
      <c r="G87" s="19">
        <v>2019.0</v>
      </c>
      <c r="H87" s="11">
        <f>A4-F87</f>
        <v>7</v>
      </c>
      <c r="I87" s="137" t="s">
        <v>632</v>
      </c>
      <c r="J87" s="19">
        <v>6374.0</v>
      </c>
      <c r="K87" s="11" t="s">
        <v>159</v>
      </c>
      <c r="L87" s="11" t="s">
        <v>160</v>
      </c>
      <c r="M87" s="11" t="s">
        <v>161</v>
      </c>
      <c r="N87" s="11">
        <v>2019.0</v>
      </c>
      <c r="O87" s="11">
        <f>A4-N87</f>
        <v>7</v>
      </c>
      <c r="P87" s="11" t="s">
        <v>162</v>
      </c>
      <c r="Q87" s="19" t="s">
        <v>270</v>
      </c>
      <c r="R87" s="19" t="s">
        <v>633</v>
      </c>
      <c r="S87" s="115" t="s">
        <v>634</v>
      </c>
      <c r="T87" s="322">
        <v>47402.0</v>
      </c>
      <c r="U87" s="54" t="str">
        <f t="shared" si="1"/>
        <v>Berlaku</v>
      </c>
      <c r="V87" s="323">
        <v>46306.0</v>
      </c>
      <c r="W87" s="54" t="str">
        <f t="shared" si="2"/>
        <v>Akan Habis</v>
      </c>
      <c r="X87" s="323">
        <v>46261.0</v>
      </c>
      <c r="Y87" s="54" t="str">
        <f t="shared" si="3"/>
        <v>Habis</v>
      </c>
      <c r="Z87" s="323">
        <v>46261.0</v>
      </c>
      <c r="AA87" s="54" t="str">
        <f t="shared" si="4"/>
        <v>Habis</v>
      </c>
      <c r="AB87" s="53">
        <v>46815.0</v>
      </c>
      <c r="AC87" s="54" t="str">
        <f t="shared" si="5"/>
        <v>Berlaku</v>
      </c>
      <c r="AD87" s="315">
        <v>46302.0</v>
      </c>
      <c r="AE87" s="56" t="str">
        <f t="shared" si="6"/>
        <v>Habis dalam 7-1 Hari</v>
      </c>
      <c r="AF87" s="57" t="s">
        <v>166</v>
      </c>
      <c r="AG87" s="57" t="s">
        <v>167</v>
      </c>
      <c r="AH87" s="163"/>
      <c r="AI87" s="58"/>
      <c r="AJ87" s="138"/>
      <c r="AK87" s="247"/>
      <c r="AL87" s="247"/>
      <c r="AM87" s="247"/>
      <c r="AN87" s="247"/>
      <c r="AO87" s="248"/>
      <c r="AP87" s="249"/>
      <c r="AQ87" s="248"/>
      <c r="AR87" s="249"/>
      <c r="AS87" s="249"/>
      <c r="AT87" s="249"/>
      <c r="AU87" s="249"/>
      <c r="AV87" s="249"/>
      <c r="AW87" s="249"/>
      <c r="AX87" s="249"/>
    </row>
    <row r="88" ht="18.75" customHeight="1">
      <c r="A88" s="9">
        <v>79.0</v>
      </c>
      <c r="B88" s="477" t="s">
        <v>147</v>
      </c>
      <c r="C88" s="19" t="s">
        <v>240</v>
      </c>
      <c r="D88" s="19">
        <v>16.0</v>
      </c>
      <c r="E88" s="26" t="s">
        <v>142</v>
      </c>
      <c r="F88" s="19">
        <v>2019.0</v>
      </c>
      <c r="G88" s="19">
        <v>2019.0</v>
      </c>
      <c r="H88" s="11">
        <f>A4-F88</f>
        <v>7</v>
      </c>
      <c r="I88" s="137" t="s">
        <v>635</v>
      </c>
      <c r="J88" s="19">
        <v>7698.0</v>
      </c>
      <c r="K88" s="11" t="s">
        <v>159</v>
      </c>
      <c r="L88" s="11" t="s">
        <v>160</v>
      </c>
      <c r="M88" s="11" t="s">
        <v>332</v>
      </c>
      <c r="N88" s="11">
        <v>2019.0</v>
      </c>
      <c r="O88" s="11">
        <f>A4-N88</f>
        <v>7</v>
      </c>
      <c r="P88" s="11" t="s">
        <v>245</v>
      </c>
      <c r="Q88" s="11" t="s">
        <v>199</v>
      </c>
      <c r="R88" s="19" t="s">
        <v>636</v>
      </c>
      <c r="S88" s="115" t="s">
        <v>637</v>
      </c>
      <c r="T88" s="327">
        <v>47396.0</v>
      </c>
      <c r="U88" s="54" t="str">
        <f t="shared" si="1"/>
        <v>Berlaku</v>
      </c>
      <c r="V88" s="324">
        <v>46300.0</v>
      </c>
      <c r="W88" s="54" t="str">
        <f t="shared" si="2"/>
        <v>Habis dalam 7-1 Hari</v>
      </c>
      <c r="X88" s="323">
        <v>46268.0</v>
      </c>
      <c r="Y88" s="54" t="str">
        <f t="shared" si="3"/>
        <v>Habis</v>
      </c>
      <c r="Z88" s="323">
        <v>46268.0</v>
      </c>
      <c r="AA88" s="54" t="str">
        <f t="shared" si="4"/>
        <v>Habis</v>
      </c>
      <c r="AB88" s="53">
        <f>VLOOKUP(B88,'DATA EXP TERA'!$C$3:$D$85,2,0)</f>
        <v>46472</v>
      </c>
      <c r="AC88" s="54" t="str">
        <f t="shared" si="5"/>
        <v>Berlaku</v>
      </c>
      <c r="AD88" s="315">
        <v>46302.0</v>
      </c>
      <c r="AE88" s="56" t="str">
        <f t="shared" si="6"/>
        <v>Habis dalam 7-1 Hari</v>
      </c>
      <c r="AF88" s="57" t="s">
        <v>166</v>
      </c>
      <c r="AG88" s="57" t="s">
        <v>167</v>
      </c>
      <c r="AH88" s="163"/>
      <c r="AI88" s="158" t="s">
        <v>638</v>
      </c>
      <c r="AJ88" s="138"/>
      <c r="AK88" s="250" t="s">
        <v>639</v>
      </c>
      <c r="AL88" s="61"/>
      <c r="AM88" s="61"/>
      <c r="AN88" s="61"/>
      <c r="AO88" s="251">
        <v>80.0</v>
      </c>
      <c r="AP88" s="252">
        <v>1640.0</v>
      </c>
      <c r="AQ88" s="251">
        <v>84.0</v>
      </c>
      <c r="AR88" s="252">
        <v>1720.0</v>
      </c>
      <c r="AS88" s="252">
        <v>0.0</v>
      </c>
      <c r="AT88" s="252">
        <v>0.0</v>
      </c>
      <c r="AU88" s="252">
        <v>6.0</v>
      </c>
      <c r="AV88" s="252">
        <v>112.0</v>
      </c>
      <c r="AW88" s="252">
        <v>78.0</v>
      </c>
      <c r="AX88" s="252">
        <v>1608.0</v>
      </c>
    </row>
    <row r="89">
      <c r="A89" s="9">
        <v>80.0</v>
      </c>
      <c r="B89" s="11" t="s">
        <v>149</v>
      </c>
      <c r="C89" s="11" t="s">
        <v>153</v>
      </c>
      <c r="D89" s="11">
        <v>24.0</v>
      </c>
      <c r="E89" s="26" t="s">
        <v>142</v>
      </c>
      <c r="F89" s="19">
        <v>2019.0</v>
      </c>
      <c r="G89" s="19">
        <v>2019.0</v>
      </c>
      <c r="H89" s="11">
        <f>A4-F89</f>
        <v>7</v>
      </c>
      <c r="I89" s="137" t="s">
        <v>373</v>
      </c>
      <c r="J89" s="19">
        <v>6374.0</v>
      </c>
      <c r="K89" s="11" t="s">
        <v>159</v>
      </c>
      <c r="L89" s="11" t="s">
        <v>160</v>
      </c>
      <c r="M89" s="11" t="s">
        <v>508</v>
      </c>
      <c r="N89" s="11">
        <v>2019.0</v>
      </c>
      <c r="O89" s="11">
        <f>A4-N89</f>
        <v>7</v>
      </c>
      <c r="P89" s="11" t="s">
        <v>162</v>
      </c>
      <c r="Q89" s="19" t="s">
        <v>270</v>
      </c>
      <c r="R89" s="19" t="s">
        <v>640</v>
      </c>
      <c r="S89" s="115" t="s">
        <v>641</v>
      </c>
      <c r="T89" s="322">
        <v>47405.0</v>
      </c>
      <c r="U89" s="54" t="str">
        <f t="shared" si="1"/>
        <v>Berlaku</v>
      </c>
      <c r="V89" s="323">
        <v>46309.0</v>
      </c>
      <c r="W89" s="54" t="str">
        <f t="shared" si="2"/>
        <v>Akan Habis</v>
      </c>
      <c r="X89" s="324">
        <v>46240.0</v>
      </c>
      <c r="Y89" s="54" t="str">
        <f t="shared" si="3"/>
        <v>Habis</v>
      </c>
      <c r="Z89" s="317">
        <v>46240.0</v>
      </c>
      <c r="AA89" s="54" t="str">
        <f t="shared" si="4"/>
        <v>Habis</v>
      </c>
      <c r="AB89" s="53">
        <f>VLOOKUP(B89,'DATA EXP TERA'!$C$3:$D$85,2,0)</f>
        <v>46599</v>
      </c>
      <c r="AC89" s="54" t="str">
        <f t="shared" si="5"/>
        <v>Berlaku</v>
      </c>
      <c r="AD89" s="315">
        <v>46302.0</v>
      </c>
      <c r="AE89" s="56" t="str">
        <f t="shared" si="6"/>
        <v>Habis dalam 7-1 Hari</v>
      </c>
      <c r="AF89" s="57" t="s">
        <v>166</v>
      </c>
      <c r="AG89" s="57" t="s">
        <v>167</v>
      </c>
      <c r="AH89" s="163"/>
      <c r="AI89" s="158" t="s">
        <v>642</v>
      </c>
      <c r="AJ89" s="138"/>
      <c r="AK89" s="138"/>
      <c r="AL89" s="138"/>
      <c r="AM89" s="138"/>
      <c r="AN89" s="138"/>
      <c r="AO89" s="138"/>
      <c r="AP89" s="138"/>
      <c r="AQ89" s="138"/>
      <c r="AR89" s="138"/>
      <c r="AS89" s="138"/>
      <c r="AT89" s="138"/>
      <c r="AU89" s="138"/>
      <c r="AV89" s="138"/>
      <c r="AW89" s="138"/>
      <c r="AX89" s="138"/>
    </row>
    <row r="90">
      <c r="A90" s="9">
        <v>81.0</v>
      </c>
      <c r="B90" s="478" t="s">
        <v>150</v>
      </c>
      <c r="C90" s="49" t="s">
        <v>240</v>
      </c>
      <c r="D90" s="49">
        <v>16.0</v>
      </c>
      <c r="E90" s="50" t="s">
        <v>142</v>
      </c>
      <c r="F90" s="49">
        <v>2019.0</v>
      </c>
      <c r="G90" s="49">
        <v>2019.0</v>
      </c>
      <c r="H90" s="11">
        <f>A4-F90</f>
        <v>7</v>
      </c>
      <c r="I90" s="137" t="s">
        <v>635</v>
      </c>
      <c r="J90" s="49">
        <v>7698.0</v>
      </c>
      <c r="K90" s="11" t="s">
        <v>159</v>
      </c>
      <c r="L90" s="49" t="s">
        <v>160</v>
      </c>
      <c r="M90" s="11" t="s">
        <v>161</v>
      </c>
      <c r="N90" s="49">
        <v>2019.0</v>
      </c>
      <c r="O90" s="11">
        <f>A4-N90</f>
        <v>7</v>
      </c>
      <c r="P90" s="19" t="s">
        <v>245</v>
      </c>
      <c r="Q90" s="49" t="s">
        <v>199</v>
      </c>
      <c r="R90" s="49" t="s">
        <v>643</v>
      </c>
      <c r="S90" s="253" t="s">
        <v>644</v>
      </c>
      <c r="T90" s="327">
        <v>47396.0</v>
      </c>
      <c r="U90" s="54" t="str">
        <f t="shared" si="1"/>
        <v>Berlaku</v>
      </c>
      <c r="V90" s="324">
        <v>46300.0</v>
      </c>
      <c r="W90" s="54" t="str">
        <f t="shared" si="2"/>
        <v>Habis dalam 7-1 Hari</v>
      </c>
      <c r="X90" s="323">
        <v>46277.0</v>
      </c>
      <c r="Y90" s="54" t="str">
        <f t="shared" si="3"/>
        <v>Habis</v>
      </c>
      <c r="Z90" s="323">
        <v>46277.0</v>
      </c>
      <c r="AA90" s="54" t="str">
        <f t="shared" si="4"/>
        <v>Habis</v>
      </c>
      <c r="AB90" s="53">
        <v>46773.0</v>
      </c>
      <c r="AC90" s="54" t="str">
        <f t="shared" si="5"/>
        <v>Berlaku</v>
      </c>
      <c r="AD90" s="315">
        <v>46302.0</v>
      </c>
      <c r="AE90" s="56" t="str">
        <f t="shared" si="6"/>
        <v>Habis dalam 7-1 Hari</v>
      </c>
      <c r="AF90" s="57" t="s">
        <v>166</v>
      </c>
      <c r="AG90" s="57" t="s">
        <v>167</v>
      </c>
      <c r="AH90" s="163"/>
      <c r="AI90" s="254"/>
      <c r="AJ90" s="138"/>
      <c r="AK90" s="138"/>
      <c r="AL90" s="138"/>
      <c r="AM90" s="138"/>
      <c r="AN90" s="138"/>
      <c r="AO90" s="138"/>
      <c r="AP90" s="138"/>
      <c r="AQ90" s="165"/>
      <c r="AR90" s="20"/>
      <c r="AS90" s="138"/>
      <c r="AT90" s="177"/>
      <c r="AU90" s="177"/>
      <c r="AV90" s="177"/>
      <c r="AW90" s="177"/>
      <c r="AX90" s="177"/>
    </row>
    <row r="91">
      <c r="A91" s="9">
        <v>82.0</v>
      </c>
      <c r="B91" s="478" t="s">
        <v>152</v>
      </c>
      <c r="C91" s="49" t="s">
        <v>240</v>
      </c>
      <c r="D91" s="49">
        <v>16.0</v>
      </c>
      <c r="E91" s="50" t="s">
        <v>142</v>
      </c>
      <c r="F91" s="49">
        <v>2019.0</v>
      </c>
      <c r="G91" s="49">
        <v>2019.0</v>
      </c>
      <c r="H91" s="11">
        <f>A4-F91</f>
        <v>7</v>
      </c>
      <c r="I91" s="137" t="s">
        <v>635</v>
      </c>
      <c r="J91" s="49">
        <v>7698.0</v>
      </c>
      <c r="K91" s="11" t="s">
        <v>159</v>
      </c>
      <c r="L91" s="49" t="s">
        <v>160</v>
      </c>
      <c r="M91" s="11" t="s">
        <v>161</v>
      </c>
      <c r="N91" s="49">
        <v>2019.0</v>
      </c>
      <c r="O91" s="11">
        <f>A4-N91</f>
        <v>7</v>
      </c>
      <c r="P91" s="19" t="s">
        <v>245</v>
      </c>
      <c r="Q91" s="49" t="s">
        <v>199</v>
      </c>
      <c r="R91" s="49" t="s">
        <v>645</v>
      </c>
      <c r="S91" s="253" t="s">
        <v>646</v>
      </c>
      <c r="T91" s="327">
        <v>47396.0</v>
      </c>
      <c r="U91" s="54" t="str">
        <f t="shared" si="1"/>
        <v>Berlaku</v>
      </c>
      <c r="V91" s="324">
        <v>46300.0</v>
      </c>
      <c r="W91" s="54" t="str">
        <f t="shared" si="2"/>
        <v>Habis dalam 7-1 Hari</v>
      </c>
      <c r="X91" s="323">
        <v>46277.0</v>
      </c>
      <c r="Y91" s="54" t="str">
        <f t="shared" si="3"/>
        <v>Habis</v>
      </c>
      <c r="Z91" s="323">
        <v>46277.0</v>
      </c>
      <c r="AA91" s="54" t="str">
        <f t="shared" si="4"/>
        <v>Habis</v>
      </c>
      <c r="AB91" s="53">
        <f>VLOOKUP(B91,'DATA EXP TERA'!$C$3:$D$85,2,0)</f>
        <v>46443</v>
      </c>
      <c r="AC91" s="54" t="str">
        <f t="shared" si="5"/>
        <v>Berlaku</v>
      </c>
      <c r="AD91" s="315">
        <v>46340.0</v>
      </c>
      <c r="AE91" s="56" t="str">
        <f t="shared" si="6"/>
        <v>Berlaku</v>
      </c>
      <c r="AF91" s="57" t="s">
        <v>166</v>
      </c>
      <c r="AG91" s="57" t="s">
        <v>167</v>
      </c>
      <c r="AH91" s="163"/>
      <c r="AI91" s="254"/>
      <c r="AJ91" s="138"/>
      <c r="AK91" s="138"/>
      <c r="AL91" s="138"/>
      <c r="AM91" s="138"/>
      <c r="AN91" s="138"/>
      <c r="AO91" s="138"/>
      <c r="AP91" s="138"/>
      <c r="AQ91" s="165"/>
      <c r="AR91" s="20"/>
      <c r="AS91" s="138"/>
      <c r="AT91" s="177"/>
      <c r="AU91" s="177"/>
      <c r="AV91" s="177"/>
      <c r="AW91" s="177"/>
      <c r="AX91" s="177"/>
    </row>
    <row r="92"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>
      <c r="A94" s="255"/>
      <c r="B94" s="257"/>
      <c r="C94" s="257"/>
      <c r="D94" s="257"/>
      <c r="E94" s="266"/>
      <c r="F94" s="257"/>
      <c r="G94" s="257"/>
      <c r="H94" s="238"/>
      <c r="I94" s="260"/>
      <c r="J94" s="257"/>
      <c r="K94" s="238"/>
      <c r="L94" s="257"/>
      <c r="M94" s="238"/>
      <c r="N94" s="257"/>
      <c r="O94" s="238"/>
      <c r="P94" s="259"/>
      <c r="Q94" s="257"/>
      <c r="R94" s="257"/>
      <c r="S94" s="261"/>
      <c r="T94" s="267"/>
      <c r="U94" s="239"/>
      <c r="V94" s="268"/>
      <c r="W94" s="239"/>
      <c r="X94" s="269"/>
      <c r="Y94" s="239"/>
      <c r="Z94" s="270"/>
      <c r="AA94" s="239"/>
      <c r="AB94" s="239"/>
      <c r="AC94" s="239"/>
      <c r="AD94" s="239"/>
      <c r="AE94" s="239"/>
      <c r="AF94" s="265"/>
      <c r="AG94" s="265"/>
      <c r="AH94" s="25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>
      <c r="I95" s="35"/>
    </row>
    <row r="96">
      <c r="I96" s="35"/>
    </row>
    <row r="97">
      <c r="I97" s="35"/>
    </row>
    <row r="98">
      <c r="I98" s="35"/>
      <c r="AQ98" s="233">
        <v>8.0</v>
      </c>
      <c r="AR98" s="233">
        <v>16.0</v>
      </c>
      <c r="AS98" s="233">
        <v>24.0</v>
      </c>
    </row>
    <row r="99">
      <c r="I99" s="35"/>
      <c r="AQ99" s="233">
        <v>3.0</v>
      </c>
      <c r="AR99" s="233">
        <v>30.0</v>
      </c>
      <c r="AS99" s="233">
        <v>47.0</v>
      </c>
    </row>
    <row r="100">
      <c r="I100" s="35"/>
    </row>
    <row r="101">
      <c r="I101" s="35"/>
      <c r="AR101" s="161">
        <f t="shared" ref="AR101:AS101" si="10">AR99*AR98</f>
        <v>480</v>
      </c>
      <c r="AS101" s="161">
        <f t="shared" si="10"/>
        <v>1128</v>
      </c>
    </row>
    <row r="102">
      <c r="I102" s="35"/>
    </row>
    <row r="103">
      <c r="I103" s="35"/>
    </row>
    <row r="104">
      <c r="I104" s="35"/>
    </row>
    <row r="105">
      <c r="I105" s="35"/>
    </row>
    <row r="106">
      <c r="I106" s="35"/>
    </row>
    <row r="107">
      <c r="I107" s="35"/>
    </row>
    <row r="108">
      <c r="I108" s="35"/>
    </row>
    <row r="109">
      <c r="I109" s="35"/>
    </row>
    <row r="110">
      <c r="I110" s="35"/>
    </row>
    <row r="111">
      <c r="I111" s="35"/>
    </row>
    <row r="112">
      <c r="I112" s="35"/>
    </row>
    <row r="113">
      <c r="I113" s="35"/>
    </row>
    <row r="114">
      <c r="I114" s="35"/>
    </row>
    <row r="115">
      <c r="I115" s="35"/>
    </row>
    <row r="116">
      <c r="I116" s="35"/>
    </row>
    <row r="117">
      <c r="I117" s="35"/>
    </row>
    <row r="118">
      <c r="I118" s="35"/>
    </row>
    <row r="119">
      <c r="I119" s="35"/>
    </row>
    <row r="120">
      <c r="I120" s="35"/>
    </row>
    <row r="121">
      <c r="I121" s="35"/>
    </row>
    <row r="122">
      <c r="I122" s="35"/>
    </row>
    <row r="123">
      <c r="I123" s="35"/>
    </row>
    <row r="124">
      <c r="I124" s="35"/>
    </row>
    <row r="125">
      <c r="I125" s="35"/>
    </row>
    <row r="126">
      <c r="I126" s="35"/>
    </row>
    <row r="127">
      <c r="I127" s="35"/>
    </row>
    <row r="128">
      <c r="I128" s="35"/>
    </row>
    <row r="129">
      <c r="I129" s="35"/>
    </row>
    <row r="130">
      <c r="I130" s="35"/>
    </row>
    <row r="131">
      <c r="I131" s="35"/>
    </row>
    <row r="132">
      <c r="I132" s="35"/>
    </row>
    <row r="133">
      <c r="I133" s="35"/>
    </row>
    <row r="134">
      <c r="I134" s="35"/>
    </row>
    <row r="135">
      <c r="I135" s="35"/>
    </row>
    <row r="136">
      <c r="I136" s="35"/>
    </row>
    <row r="137">
      <c r="I137" s="35"/>
    </row>
    <row r="138">
      <c r="I138" s="35"/>
    </row>
    <row r="139">
      <c r="I139" s="35"/>
    </row>
    <row r="140">
      <c r="I140" s="35"/>
    </row>
    <row r="141">
      <c r="I141" s="35"/>
    </row>
    <row r="142">
      <c r="I142" s="35"/>
    </row>
    <row r="143">
      <c r="I143" s="35"/>
    </row>
    <row r="144">
      <c r="I144" s="35"/>
    </row>
    <row r="145">
      <c r="I145" s="35"/>
    </row>
    <row r="146">
      <c r="I146" s="35"/>
    </row>
    <row r="147">
      <c r="I147" s="35"/>
    </row>
    <row r="148">
      <c r="I148" s="35"/>
    </row>
    <row r="149">
      <c r="I149" s="35"/>
    </row>
    <row r="150">
      <c r="I150" s="35"/>
    </row>
    <row r="151">
      <c r="I151" s="35"/>
    </row>
    <row r="152">
      <c r="I152" s="35"/>
    </row>
    <row r="153">
      <c r="I153" s="35"/>
    </row>
    <row r="154">
      <c r="I154" s="35"/>
    </row>
    <row r="155">
      <c r="I155" s="35"/>
    </row>
    <row r="156">
      <c r="I156" s="35"/>
    </row>
    <row r="157">
      <c r="I157" s="35"/>
    </row>
    <row r="158">
      <c r="I158" s="35"/>
    </row>
    <row r="159">
      <c r="I159" s="35"/>
    </row>
    <row r="160">
      <c r="I160" s="35"/>
    </row>
    <row r="161">
      <c r="I161" s="35"/>
    </row>
    <row r="162">
      <c r="I162" s="35"/>
    </row>
    <row r="163">
      <c r="I163" s="35"/>
    </row>
    <row r="164">
      <c r="I164" s="35"/>
    </row>
    <row r="165">
      <c r="I165" s="35"/>
    </row>
    <row r="166">
      <c r="I166" s="35"/>
    </row>
    <row r="167">
      <c r="I167" s="35"/>
    </row>
    <row r="168">
      <c r="I168" s="35"/>
    </row>
    <row r="169">
      <c r="I169" s="35"/>
    </row>
    <row r="170">
      <c r="I170" s="35"/>
    </row>
    <row r="171">
      <c r="I171" s="35"/>
    </row>
    <row r="172">
      <c r="I172" s="35"/>
    </row>
    <row r="173">
      <c r="I173" s="35"/>
    </row>
    <row r="174">
      <c r="I174" s="35"/>
    </row>
    <row r="175">
      <c r="I175" s="35"/>
    </row>
    <row r="176">
      <c r="I176" s="35"/>
    </row>
    <row r="177">
      <c r="I177" s="35"/>
    </row>
    <row r="178">
      <c r="I178" s="35"/>
    </row>
    <row r="179">
      <c r="I179" s="35"/>
    </row>
    <row r="180">
      <c r="I180" s="35"/>
    </row>
    <row r="181">
      <c r="I181" s="35"/>
    </row>
    <row r="182">
      <c r="I182" s="35"/>
    </row>
    <row r="183">
      <c r="I183" s="35"/>
    </row>
    <row r="184">
      <c r="I184" s="35"/>
    </row>
    <row r="185">
      <c r="I185" s="35"/>
    </row>
    <row r="186">
      <c r="I186" s="35"/>
    </row>
    <row r="187">
      <c r="I187" s="35"/>
    </row>
    <row r="188">
      <c r="I188" s="35"/>
    </row>
    <row r="189">
      <c r="I189" s="35"/>
    </row>
    <row r="190">
      <c r="I190" s="35"/>
    </row>
    <row r="191">
      <c r="I191" s="35"/>
    </row>
    <row r="192">
      <c r="I192" s="35"/>
    </row>
    <row r="193">
      <c r="I193" s="35"/>
    </row>
    <row r="194">
      <c r="I194" s="35"/>
    </row>
    <row r="195">
      <c r="I195" s="35"/>
    </row>
    <row r="196">
      <c r="I196" s="35"/>
    </row>
    <row r="197">
      <c r="I197" s="35"/>
    </row>
    <row r="198">
      <c r="I198" s="35"/>
    </row>
    <row r="199">
      <c r="I199" s="35"/>
    </row>
    <row r="200">
      <c r="I200" s="35"/>
    </row>
    <row r="201">
      <c r="I201" s="35"/>
    </row>
    <row r="202">
      <c r="I202" s="35"/>
    </row>
    <row r="203">
      <c r="I203" s="35"/>
    </row>
    <row r="204">
      <c r="I204" s="35"/>
    </row>
    <row r="205">
      <c r="I205" s="35"/>
    </row>
    <row r="206">
      <c r="I206" s="35"/>
    </row>
    <row r="207">
      <c r="I207" s="35"/>
    </row>
    <row r="208">
      <c r="I208" s="35"/>
    </row>
    <row r="209">
      <c r="I209" s="35"/>
    </row>
    <row r="210">
      <c r="I210" s="35"/>
    </row>
    <row r="211">
      <c r="I211" s="35"/>
    </row>
    <row r="212">
      <c r="I212" s="35"/>
    </row>
    <row r="213">
      <c r="I213" s="35"/>
    </row>
    <row r="214">
      <c r="I214" s="35"/>
    </row>
    <row r="215">
      <c r="I215" s="35"/>
    </row>
    <row r="216">
      <c r="I216" s="35"/>
    </row>
    <row r="217">
      <c r="I217" s="35"/>
    </row>
    <row r="218">
      <c r="I218" s="35"/>
    </row>
    <row r="219">
      <c r="I219" s="35"/>
    </row>
    <row r="220">
      <c r="I220" s="35"/>
    </row>
    <row r="221">
      <c r="I221" s="35"/>
    </row>
    <row r="222">
      <c r="I222" s="35"/>
    </row>
    <row r="223">
      <c r="I223" s="35"/>
    </row>
    <row r="224">
      <c r="I224" s="35"/>
    </row>
    <row r="225">
      <c r="I225" s="35"/>
    </row>
    <row r="226">
      <c r="I226" s="35"/>
    </row>
    <row r="227">
      <c r="I227" s="35"/>
    </row>
    <row r="228">
      <c r="I228" s="35"/>
    </row>
    <row r="229">
      <c r="I229" s="35"/>
    </row>
    <row r="230">
      <c r="I230" s="35"/>
    </row>
    <row r="231">
      <c r="I231" s="35"/>
    </row>
    <row r="232">
      <c r="I232" s="35"/>
    </row>
    <row r="233">
      <c r="I233" s="35"/>
    </row>
    <row r="234">
      <c r="I234" s="35"/>
    </row>
    <row r="235">
      <c r="I235" s="35"/>
    </row>
    <row r="236">
      <c r="I236" s="35"/>
    </row>
    <row r="237">
      <c r="I237" s="35"/>
    </row>
    <row r="238">
      <c r="I238" s="35"/>
    </row>
    <row r="239">
      <c r="I239" s="35"/>
    </row>
    <row r="240">
      <c r="I240" s="35"/>
    </row>
    <row r="241">
      <c r="I241" s="35"/>
    </row>
    <row r="242">
      <c r="I242" s="35"/>
    </row>
    <row r="243">
      <c r="I243" s="35"/>
    </row>
    <row r="244">
      <c r="I244" s="35"/>
    </row>
    <row r="245">
      <c r="I245" s="35"/>
    </row>
    <row r="246">
      <c r="I246" s="35"/>
    </row>
    <row r="247">
      <c r="I247" s="35"/>
    </row>
    <row r="248">
      <c r="I248" s="35"/>
    </row>
    <row r="249">
      <c r="I249" s="35"/>
    </row>
    <row r="250">
      <c r="I250" s="35"/>
    </row>
    <row r="251">
      <c r="I251" s="35"/>
    </row>
    <row r="252">
      <c r="I252" s="35"/>
    </row>
    <row r="253">
      <c r="I253" s="35"/>
    </row>
    <row r="254">
      <c r="I254" s="35"/>
    </row>
    <row r="255">
      <c r="I255" s="35"/>
    </row>
    <row r="256">
      <c r="I256" s="35"/>
    </row>
    <row r="257">
      <c r="I257" s="35"/>
    </row>
    <row r="258">
      <c r="I258" s="35"/>
    </row>
    <row r="259">
      <c r="I259" s="35"/>
    </row>
    <row r="260">
      <c r="I260" s="35"/>
    </row>
    <row r="261">
      <c r="I261" s="35"/>
    </row>
    <row r="262">
      <c r="I262" s="35"/>
    </row>
    <row r="263">
      <c r="F263" s="151" t="s">
        <v>351</v>
      </c>
      <c r="G263" s="151" t="s">
        <v>664</v>
      </c>
      <c r="H263" s="151" t="s">
        <v>665</v>
      </c>
      <c r="I263" s="278" t="s">
        <v>99</v>
      </c>
      <c r="J263" s="151" t="s">
        <v>666</v>
      </c>
    </row>
    <row r="264">
      <c r="F264" s="151">
        <v>9552.0</v>
      </c>
      <c r="G264" s="279">
        <v>46372.0</v>
      </c>
      <c r="H264" s="280">
        <v>46145.0</v>
      </c>
      <c r="I264" s="280">
        <v>46145.0</v>
      </c>
      <c r="J264" s="279">
        <v>46814.0</v>
      </c>
    </row>
    <row r="265">
      <c r="F265" s="151">
        <v>9554.0</v>
      </c>
      <c r="G265" s="279">
        <v>46372.0</v>
      </c>
      <c r="H265" s="280">
        <v>46149.0</v>
      </c>
      <c r="I265" s="280">
        <v>46149.0</v>
      </c>
      <c r="J265" s="279">
        <v>46816.0</v>
      </c>
    </row>
    <row r="266">
      <c r="F266" s="151">
        <v>9556.0</v>
      </c>
      <c r="G266" s="279">
        <v>46372.0</v>
      </c>
      <c r="H266" s="280">
        <v>46145.0</v>
      </c>
      <c r="I266" s="280">
        <v>46145.0</v>
      </c>
      <c r="J266" s="279">
        <v>46817.0</v>
      </c>
    </row>
    <row r="267">
      <c r="I267" s="35"/>
    </row>
    <row r="268">
      <c r="I268" s="35"/>
    </row>
    <row r="269">
      <c r="I269" s="35"/>
    </row>
    <row r="270">
      <c r="I270" s="35"/>
    </row>
    <row r="271">
      <c r="I271" s="35"/>
    </row>
    <row r="272">
      <c r="I272" s="35"/>
    </row>
    <row r="273">
      <c r="I273" s="35"/>
    </row>
    <row r="274">
      <c r="I274" s="35"/>
    </row>
    <row r="275">
      <c r="I275" s="35"/>
    </row>
    <row r="276">
      <c r="I276" s="35"/>
    </row>
    <row r="277">
      <c r="I277" s="35"/>
    </row>
    <row r="278">
      <c r="I278" s="35"/>
    </row>
    <row r="279">
      <c r="I279" s="35"/>
    </row>
    <row r="280">
      <c r="I280" s="35"/>
    </row>
    <row r="281">
      <c r="I281" s="35"/>
    </row>
    <row r="282">
      <c r="I282" s="35"/>
    </row>
    <row r="283">
      <c r="I283" s="35"/>
    </row>
    <row r="284">
      <c r="I284" s="35"/>
    </row>
    <row r="285">
      <c r="I285" s="35"/>
    </row>
    <row r="286">
      <c r="I286" s="35"/>
    </row>
    <row r="287">
      <c r="I287" s="35"/>
    </row>
    <row r="288">
      <c r="I288" s="35"/>
    </row>
    <row r="289">
      <c r="I289" s="35"/>
    </row>
    <row r="290">
      <c r="I290" s="35"/>
    </row>
    <row r="291">
      <c r="I291" s="35"/>
    </row>
    <row r="292">
      <c r="I292" s="35"/>
    </row>
    <row r="293">
      <c r="I293" s="35"/>
    </row>
    <row r="294">
      <c r="I294" s="35"/>
    </row>
    <row r="295">
      <c r="I295" s="35"/>
    </row>
    <row r="296">
      <c r="I296" s="35"/>
    </row>
    <row r="297">
      <c r="I297" s="35"/>
    </row>
    <row r="298">
      <c r="I298" s="35"/>
    </row>
    <row r="299">
      <c r="I299" s="35"/>
    </row>
    <row r="300">
      <c r="I300" s="35"/>
    </row>
    <row r="301">
      <c r="I301" s="35"/>
    </row>
    <row r="302">
      <c r="I302" s="35"/>
    </row>
    <row r="303">
      <c r="I303" s="35"/>
    </row>
    <row r="304">
      <c r="I304" s="35"/>
    </row>
    <row r="305">
      <c r="I305" s="35"/>
    </row>
    <row r="306">
      <c r="I306" s="35"/>
    </row>
    <row r="307">
      <c r="I307" s="35"/>
    </row>
    <row r="308">
      <c r="I308" s="35"/>
    </row>
    <row r="309">
      <c r="I309" s="35"/>
    </row>
    <row r="310">
      <c r="I310" s="35"/>
    </row>
    <row r="311">
      <c r="I311" s="35"/>
    </row>
    <row r="312">
      <c r="I312" s="35"/>
    </row>
    <row r="313">
      <c r="I313" s="35"/>
    </row>
    <row r="314">
      <c r="I314" s="35"/>
    </row>
    <row r="315">
      <c r="I315" s="35"/>
    </row>
    <row r="316">
      <c r="I316" s="35"/>
    </row>
    <row r="317">
      <c r="I317" s="35"/>
    </row>
    <row r="318">
      <c r="I318" s="35"/>
    </row>
    <row r="319">
      <c r="I319" s="35"/>
    </row>
    <row r="320">
      <c r="I320" s="35"/>
    </row>
    <row r="321">
      <c r="I321" s="35"/>
    </row>
    <row r="322">
      <c r="I322" s="35"/>
    </row>
    <row r="323">
      <c r="I323" s="35"/>
    </row>
    <row r="324">
      <c r="I324" s="35"/>
    </row>
    <row r="325">
      <c r="I325" s="35"/>
    </row>
    <row r="326">
      <c r="I326" s="35"/>
    </row>
    <row r="327">
      <c r="I327" s="35"/>
    </row>
    <row r="328">
      <c r="I328" s="35"/>
    </row>
    <row r="329">
      <c r="I329" s="35"/>
    </row>
    <row r="330">
      <c r="I330" s="35"/>
    </row>
    <row r="331">
      <c r="I331" s="35"/>
    </row>
    <row r="332">
      <c r="I332" s="35"/>
    </row>
    <row r="333">
      <c r="I333" s="35"/>
    </row>
    <row r="334">
      <c r="I334" s="35"/>
    </row>
    <row r="335">
      <c r="I335" s="35"/>
    </row>
    <row r="336">
      <c r="I336" s="35"/>
    </row>
    <row r="337">
      <c r="I337" s="35"/>
    </row>
    <row r="338">
      <c r="I338" s="35"/>
    </row>
    <row r="339">
      <c r="I339" s="35"/>
    </row>
    <row r="340">
      <c r="I340" s="35"/>
    </row>
    <row r="341">
      <c r="I341" s="35"/>
    </row>
    <row r="342">
      <c r="I342" s="35"/>
    </row>
    <row r="343">
      <c r="I343" s="35"/>
    </row>
    <row r="344">
      <c r="I344" s="35"/>
    </row>
    <row r="345">
      <c r="I345" s="35"/>
    </row>
    <row r="346">
      <c r="I346" s="35"/>
    </row>
    <row r="347">
      <c r="I347" s="35"/>
    </row>
    <row r="348">
      <c r="I348" s="35"/>
    </row>
    <row r="349">
      <c r="I349" s="35"/>
    </row>
    <row r="350">
      <c r="I350" s="35"/>
    </row>
    <row r="351">
      <c r="I351" s="35"/>
    </row>
    <row r="352">
      <c r="I352" s="35"/>
    </row>
    <row r="353">
      <c r="I353" s="35"/>
    </row>
    <row r="354">
      <c r="I354" s="35"/>
    </row>
    <row r="355">
      <c r="I355" s="35"/>
    </row>
    <row r="356">
      <c r="I356" s="35"/>
    </row>
    <row r="357">
      <c r="I357" s="35"/>
    </row>
    <row r="358">
      <c r="I358" s="35"/>
    </row>
    <row r="359">
      <c r="I359" s="35"/>
    </row>
    <row r="360">
      <c r="I360" s="35"/>
    </row>
    <row r="361">
      <c r="I361" s="35"/>
    </row>
    <row r="362">
      <c r="I362" s="35"/>
    </row>
    <row r="363">
      <c r="I363" s="35"/>
    </row>
    <row r="364">
      <c r="I364" s="35"/>
    </row>
    <row r="365">
      <c r="I365" s="35"/>
    </row>
    <row r="366">
      <c r="I366" s="35"/>
    </row>
    <row r="367">
      <c r="I367" s="35"/>
    </row>
    <row r="368">
      <c r="I368" s="35"/>
    </row>
    <row r="369">
      <c r="I369" s="35"/>
    </row>
    <row r="370">
      <c r="I370" s="35"/>
    </row>
    <row r="371">
      <c r="I371" s="35"/>
    </row>
    <row r="372">
      <c r="I372" s="35"/>
    </row>
    <row r="373">
      <c r="I373" s="35"/>
    </row>
    <row r="374">
      <c r="I374" s="35"/>
    </row>
    <row r="375">
      <c r="I375" s="35"/>
    </row>
    <row r="376">
      <c r="I376" s="35"/>
    </row>
    <row r="377">
      <c r="I377" s="35"/>
    </row>
    <row r="378">
      <c r="I378" s="35"/>
    </row>
    <row r="379">
      <c r="I379" s="35"/>
    </row>
    <row r="380">
      <c r="I380" s="35"/>
    </row>
    <row r="381">
      <c r="I381" s="35"/>
    </row>
    <row r="382">
      <c r="I382" s="35"/>
    </row>
    <row r="383">
      <c r="I383" s="35"/>
    </row>
    <row r="384">
      <c r="I384" s="35"/>
    </row>
    <row r="385">
      <c r="I385" s="35"/>
    </row>
    <row r="386">
      <c r="I386" s="35"/>
    </row>
    <row r="387">
      <c r="I387" s="35"/>
    </row>
    <row r="388">
      <c r="I388" s="35"/>
    </row>
    <row r="389">
      <c r="I389" s="35"/>
    </row>
    <row r="390">
      <c r="I390" s="35"/>
    </row>
    <row r="391">
      <c r="I391" s="35"/>
    </row>
    <row r="392">
      <c r="I392" s="35"/>
    </row>
    <row r="393">
      <c r="I393" s="35"/>
    </row>
    <row r="394">
      <c r="I394" s="35"/>
    </row>
    <row r="395">
      <c r="I395" s="35"/>
    </row>
    <row r="396">
      <c r="I396" s="35"/>
    </row>
    <row r="397">
      <c r="I397" s="35"/>
    </row>
    <row r="398">
      <c r="I398" s="35"/>
    </row>
    <row r="399">
      <c r="I399" s="35"/>
    </row>
    <row r="400">
      <c r="I400" s="35"/>
    </row>
    <row r="401">
      <c r="I401" s="35"/>
    </row>
    <row r="402">
      <c r="I402" s="35"/>
    </row>
    <row r="403">
      <c r="I403" s="35"/>
    </row>
    <row r="404">
      <c r="I404" s="35"/>
    </row>
    <row r="405">
      <c r="I405" s="35"/>
    </row>
    <row r="406">
      <c r="I406" s="35"/>
    </row>
    <row r="407">
      <c r="I407" s="35"/>
    </row>
    <row r="408">
      <c r="I408" s="35"/>
    </row>
    <row r="409">
      <c r="I409" s="35"/>
    </row>
    <row r="410">
      <c r="I410" s="35"/>
    </row>
    <row r="411">
      <c r="I411" s="35"/>
    </row>
    <row r="412">
      <c r="I412" s="35"/>
    </row>
    <row r="413">
      <c r="I413" s="35"/>
    </row>
    <row r="414">
      <c r="I414" s="35"/>
    </row>
    <row r="415">
      <c r="I415" s="35"/>
    </row>
    <row r="416">
      <c r="I416" s="35"/>
    </row>
    <row r="417">
      <c r="I417" s="35"/>
    </row>
    <row r="418">
      <c r="I418" s="35"/>
    </row>
    <row r="419">
      <c r="I419" s="35"/>
    </row>
    <row r="420">
      <c r="I420" s="35"/>
    </row>
    <row r="421">
      <c r="I421" s="35"/>
    </row>
    <row r="422">
      <c r="I422" s="35"/>
    </row>
    <row r="423">
      <c r="I423" s="35"/>
    </row>
    <row r="424">
      <c r="I424" s="35"/>
    </row>
    <row r="425">
      <c r="I425" s="35"/>
    </row>
    <row r="426">
      <c r="I426" s="35"/>
    </row>
    <row r="427">
      <c r="I427" s="35"/>
    </row>
    <row r="428">
      <c r="I428" s="35"/>
    </row>
    <row r="429">
      <c r="I429" s="35"/>
    </row>
    <row r="430">
      <c r="I430" s="35"/>
    </row>
    <row r="431">
      <c r="I431" s="35"/>
    </row>
    <row r="432">
      <c r="I432" s="35"/>
    </row>
    <row r="433">
      <c r="I433" s="35"/>
    </row>
    <row r="434">
      <c r="I434" s="35"/>
    </row>
    <row r="435">
      <c r="I435" s="35"/>
    </row>
    <row r="436">
      <c r="I436" s="35"/>
    </row>
    <row r="437">
      <c r="I437" s="35"/>
    </row>
    <row r="438">
      <c r="I438" s="35"/>
    </row>
    <row r="439">
      <c r="I439" s="35"/>
    </row>
    <row r="440">
      <c r="I440" s="35"/>
    </row>
    <row r="441">
      <c r="I441" s="35"/>
    </row>
    <row r="442">
      <c r="I442" s="35"/>
    </row>
    <row r="443">
      <c r="I443" s="35"/>
    </row>
    <row r="444">
      <c r="I444" s="35"/>
    </row>
    <row r="445">
      <c r="I445" s="35"/>
    </row>
    <row r="446">
      <c r="I446" s="35"/>
    </row>
    <row r="447">
      <c r="I447" s="35"/>
    </row>
    <row r="448">
      <c r="I448" s="35"/>
    </row>
    <row r="449">
      <c r="I449" s="35"/>
    </row>
    <row r="450">
      <c r="I450" s="35"/>
    </row>
    <row r="451">
      <c r="I451" s="35"/>
    </row>
    <row r="452">
      <c r="I452" s="35"/>
    </row>
    <row r="453">
      <c r="I453" s="35"/>
    </row>
    <row r="454">
      <c r="I454" s="35"/>
    </row>
    <row r="455">
      <c r="I455" s="35"/>
    </row>
    <row r="456">
      <c r="I456" s="35"/>
    </row>
    <row r="457">
      <c r="I457" s="35"/>
    </row>
    <row r="458">
      <c r="I458" s="35"/>
    </row>
    <row r="459">
      <c r="I459" s="35"/>
    </row>
    <row r="460">
      <c r="I460" s="35"/>
    </row>
    <row r="461">
      <c r="I461" s="35"/>
    </row>
    <row r="462">
      <c r="I462" s="35"/>
    </row>
    <row r="463">
      <c r="I463" s="35"/>
    </row>
    <row r="464">
      <c r="I464" s="35"/>
    </row>
    <row r="465">
      <c r="I465" s="35"/>
    </row>
    <row r="466">
      <c r="I466" s="35"/>
    </row>
    <row r="467">
      <c r="I467" s="35"/>
    </row>
    <row r="468">
      <c r="I468" s="35"/>
    </row>
    <row r="469">
      <c r="I469" s="35"/>
    </row>
    <row r="470">
      <c r="I470" s="35"/>
    </row>
    <row r="471">
      <c r="I471" s="35"/>
    </row>
    <row r="472">
      <c r="I472" s="35"/>
    </row>
    <row r="473">
      <c r="I473" s="35"/>
    </row>
    <row r="474">
      <c r="I474" s="35"/>
    </row>
    <row r="475">
      <c r="I475" s="35"/>
    </row>
    <row r="476">
      <c r="I476" s="35"/>
    </row>
    <row r="477">
      <c r="I477" s="35"/>
    </row>
    <row r="478">
      <c r="I478" s="35"/>
    </row>
    <row r="479">
      <c r="I479" s="35"/>
    </row>
    <row r="480">
      <c r="I480" s="35"/>
    </row>
    <row r="481">
      <c r="I481" s="35"/>
    </row>
    <row r="482">
      <c r="I482" s="35"/>
    </row>
    <row r="483">
      <c r="I483" s="35"/>
    </row>
    <row r="484">
      <c r="I484" s="35"/>
    </row>
    <row r="485">
      <c r="I485" s="35"/>
    </row>
    <row r="486">
      <c r="I486" s="35"/>
    </row>
    <row r="487">
      <c r="I487" s="35"/>
    </row>
    <row r="488">
      <c r="I488" s="35"/>
    </row>
    <row r="489">
      <c r="I489" s="35"/>
    </row>
    <row r="490">
      <c r="I490" s="35"/>
    </row>
    <row r="491">
      <c r="I491" s="35"/>
    </row>
    <row r="492">
      <c r="I492" s="35"/>
    </row>
    <row r="493">
      <c r="I493" s="35"/>
    </row>
    <row r="494">
      <c r="I494" s="35"/>
    </row>
    <row r="495">
      <c r="I495" s="35"/>
    </row>
    <row r="496">
      <c r="I496" s="35"/>
    </row>
    <row r="497">
      <c r="I497" s="35"/>
    </row>
    <row r="498">
      <c r="I498" s="35"/>
    </row>
    <row r="499">
      <c r="I499" s="35"/>
    </row>
    <row r="500">
      <c r="I500" s="35"/>
    </row>
    <row r="501">
      <c r="I501" s="35"/>
    </row>
    <row r="502">
      <c r="I502" s="35"/>
    </row>
    <row r="503">
      <c r="I503" s="35"/>
    </row>
    <row r="504">
      <c r="I504" s="35"/>
    </row>
    <row r="505">
      <c r="I505" s="35"/>
    </row>
    <row r="506">
      <c r="I506" s="35"/>
    </row>
    <row r="507">
      <c r="I507" s="35"/>
    </row>
    <row r="508">
      <c r="I508" s="35"/>
    </row>
    <row r="509">
      <c r="I509" s="35"/>
    </row>
    <row r="510">
      <c r="I510" s="35"/>
    </row>
    <row r="511">
      <c r="I511" s="35"/>
    </row>
    <row r="512">
      <c r="I512" s="35"/>
    </row>
    <row r="513">
      <c r="I513" s="35"/>
    </row>
    <row r="514">
      <c r="I514" s="35"/>
    </row>
    <row r="515">
      <c r="I515" s="35"/>
    </row>
    <row r="516">
      <c r="I516" s="35"/>
    </row>
    <row r="517">
      <c r="I517" s="35"/>
    </row>
    <row r="518">
      <c r="I518" s="35"/>
    </row>
    <row r="519">
      <c r="I519" s="35"/>
    </row>
    <row r="520">
      <c r="I520" s="35"/>
    </row>
    <row r="521">
      <c r="I521" s="35"/>
    </row>
    <row r="522">
      <c r="I522" s="35"/>
    </row>
    <row r="523">
      <c r="I523" s="35"/>
    </row>
    <row r="524">
      <c r="I524" s="35"/>
    </row>
    <row r="525">
      <c r="I525" s="35"/>
    </row>
    <row r="526">
      <c r="I526" s="35"/>
    </row>
    <row r="527">
      <c r="I527" s="35"/>
    </row>
    <row r="528">
      <c r="I528" s="35"/>
    </row>
    <row r="529">
      <c r="I529" s="35"/>
    </row>
    <row r="530">
      <c r="I530" s="35"/>
    </row>
    <row r="531">
      <c r="I531" s="35"/>
    </row>
    <row r="532">
      <c r="I532" s="35"/>
    </row>
    <row r="533">
      <c r="I533" s="35"/>
    </row>
    <row r="534">
      <c r="I534" s="35"/>
    </row>
    <row r="535">
      <c r="I535" s="35"/>
    </row>
    <row r="536">
      <c r="I536" s="35"/>
    </row>
    <row r="537">
      <c r="I537" s="35"/>
    </row>
    <row r="538">
      <c r="I538" s="35"/>
    </row>
    <row r="539">
      <c r="I539" s="35"/>
    </row>
    <row r="540">
      <c r="I540" s="35"/>
    </row>
    <row r="541">
      <c r="I541" s="35"/>
    </row>
    <row r="542">
      <c r="I542" s="35"/>
    </row>
    <row r="543">
      <c r="I543" s="35"/>
    </row>
    <row r="544">
      <c r="I544" s="35"/>
    </row>
    <row r="545">
      <c r="I545" s="35"/>
    </row>
    <row r="546">
      <c r="I546" s="35"/>
    </row>
    <row r="547">
      <c r="I547" s="35"/>
    </row>
    <row r="548">
      <c r="I548" s="35"/>
    </row>
    <row r="549">
      <c r="I549" s="35"/>
    </row>
    <row r="550">
      <c r="I550" s="35"/>
    </row>
    <row r="551">
      <c r="I551" s="35"/>
    </row>
    <row r="552">
      <c r="I552" s="35"/>
    </row>
    <row r="553">
      <c r="I553" s="35"/>
    </row>
    <row r="554">
      <c r="I554" s="35"/>
    </row>
    <row r="555">
      <c r="I555" s="35"/>
    </row>
    <row r="556">
      <c r="I556" s="35"/>
    </row>
    <row r="557">
      <c r="I557" s="35"/>
    </row>
    <row r="558">
      <c r="I558" s="35"/>
    </row>
    <row r="559">
      <c r="I559" s="35"/>
    </row>
    <row r="560">
      <c r="I560" s="35"/>
    </row>
    <row r="561">
      <c r="I561" s="35"/>
    </row>
    <row r="562">
      <c r="I562" s="35"/>
    </row>
    <row r="563">
      <c r="I563" s="35"/>
    </row>
    <row r="564">
      <c r="I564" s="35"/>
    </row>
    <row r="565">
      <c r="I565" s="35"/>
    </row>
    <row r="566">
      <c r="I566" s="35"/>
    </row>
    <row r="567">
      <c r="I567" s="35"/>
    </row>
    <row r="568">
      <c r="I568" s="35"/>
    </row>
    <row r="569">
      <c r="I569" s="35"/>
    </row>
    <row r="570">
      <c r="I570" s="35"/>
    </row>
    <row r="571">
      <c r="I571" s="35"/>
    </row>
    <row r="572">
      <c r="I572" s="35"/>
    </row>
    <row r="573">
      <c r="I573" s="35"/>
    </row>
    <row r="574">
      <c r="I574" s="35"/>
    </row>
    <row r="575">
      <c r="I575" s="35"/>
    </row>
    <row r="576">
      <c r="I576" s="35"/>
    </row>
    <row r="577">
      <c r="I577" s="35"/>
    </row>
    <row r="578">
      <c r="I578" s="35"/>
    </row>
    <row r="579">
      <c r="I579" s="35"/>
    </row>
    <row r="580">
      <c r="I580" s="35"/>
    </row>
    <row r="581">
      <c r="I581" s="35"/>
    </row>
    <row r="582">
      <c r="I582" s="35"/>
    </row>
    <row r="583">
      <c r="I583" s="35"/>
    </row>
    <row r="584">
      <c r="I584" s="35"/>
    </row>
    <row r="585">
      <c r="I585" s="35"/>
    </row>
    <row r="586">
      <c r="I586" s="35"/>
    </row>
    <row r="587">
      <c r="I587" s="35"/>
    </row>
    <row r="588">
      <c r="I588" s="35"/>
    </row>
    <row r="589">
      <c r="I589" s="35"/>
    </row>
    <row r="590">
      <c r="I590" s="35"/>
    </row>
    <row r="591">
      <c r="I591" s="35"/>
    </row>
    <row r="592">
      <c r="I592" s="35"/>
    </row>
    <row r="593">
      <c r="I593" s="35"/>
    </row>
    <row r="594">
      <c r="I594" s="35"/>
    </row>
    <row r="595">
      <c r="I595" s="35"/>
    </row>
    <row r="596">
      <c r="I596" s="35"/>
    </row>
    <row r="597">
      <c r="I597" s="35"/>
    </row>
    <row r="598">
      <c r="I598" s="35"/>
    </row>
    <row r="599">
      <c r="I599" s="35"/>
    </row>
    <row r="600">
      <c r="I600" s="35"/>
    </row>
    <row r="601">
      <c r="I601" s="35"/>
    </row>
    <row r="602">
      <c r="I602" s="35"/>
    </row>
    <row r="603">
      <c r="I603" s="35"/>
    </row>
    <row r="604">
      <c r="I604" s="35"/>
    </row>
    <row r="605">
      <c r="I605" s="35"/>
    </row>
    <row r="606">
      <c r="I606" s="35"/>
    </row>
    <row r="607">
      <c r="I607" s="35"/>
    </row>
    <row r="608">
      <c r="I608" s="35"/>
    </row>
    <row r="609">
      <c r="I609" s="35"/>
    </row>
    <row r="610">
      <c r="I610" s="35"/>
    </row>
    <row r="611">
      <c r="I611" s="35"/>
    </row>
    <row r="612">
      <c r="I612" s="35"/>
    </row>
    <row r="613">
      <c r="I613" s="35"/>
    </row>
    <row r="614">
      <c r="I614" s="35"/>
    </row>
    <row r="615">
      <c r="I615" s="35"/>
    </row>
    <row r="616">
      <c r="I616" s="35"/>
    </row>
    <row r="617">
      <c r="I617" s="35"/>
    </row>
    <row r="618">
      <c r="I618" s="35"/>
    </row>
    <row r="619">
      <c r="I619" s="35"/>
    </row>
    <row r="620">
      <c r="I620" s="35"/>
    </row>
    <row r="621">
      <c r="I621" s="35"/>
    </row>
    <row r="622">
      <c r="I622" s="35"/>
    </row>
    <row r="623">
      <c r="I623" s="35"/>
    </row>
    <row r="624">
      <c r="I624" s="35"/>
    </row>
    <row r="625">
      <c r="I625" s="35"/>
    </row>
    <row r="626">
      <c r="I626" s="35"/>
    </row>
    <row r="627">
      <c r="I627" s="35"/>
    </row>
    <row r="628">
      <c r="I628" s="35"/>
    </row>
    <row r="629">
      <c r="I629" s="35"/>
    </row>
    <row r="630">
      <c r="I630" s="35"/>
    </row>
    <row r="631">
      <c r="I631" s="35"/>
    </row>
    <row r="632">
      <c r="I632" s="35"/>
    </row>
    <row r="633">
      <c r="I633" s="35"/>
    </row>
    <row r="634">
      <c r="I634" s="35"/>
    </row>
    <row r="635">
      <c r="I635" s="35"/>
    </row>
    <row r="636">
      <c r="I636" s="35"/>
    </row>
    <row r="637">
      <c r="I637" s="35"/>
    </row>
    <row r="638">
      <c r="I638" s="35"/>
    </row>
    <row r="639">
      <c r="I639" s="35"/>
    </row>
    <row r="640">
      <c r="I640" s="35"/>
    </row>
    <row r="641">
      <c r="I641" s="35"/>
    </row>
    <row r="642">
      <c r="I642" s="35"/>
    </row>
    <row r="643">
      <c r="I643" s="35"/>
    </row>
    <row r="644">
      <c r="I644" s="35"/>
    </row>
    <row r="645">
      <c r="I645" s="35"/>
    </row>
    <row r="646">
      <c r="I646" s="35"/>
    </row>
    <row r="647">
      <c r="I647" s="35"/>
    </row>
    <row r="648">
      <c r="I648" s="35"/>
    </row>
    <row r="649">
      <c r="I649" s="35"/>
    </row>
    <row r="650">
      <c r="I650" s="35"/>
    </row>
    <row r="651">
      <c r="I651" s="35"/>
    </row>
    <row r="652">
      <c r="I652" s="35"/>
    </row>
    <row r="653">
      <c r="I653" s="35"/>
    </row>
    <row r="654">
      <c r="I654" s="35"/>
    </row>
    <row r="655">
      <c r="I655" s="35"/>
    </row>
    <row r="656">
      <c r="I656" s="35"/>
    </row>
    <row r="657">
      <c r="I657" s="35"/>
    </row>
    <row r="658">
      <c r="I658" s="35"/>
    </row>
    <row r="659">
      <c r="I659" s="35"/>
    </row>
    <row r="660">
      <c r="I660" s="35"/>
    </row>
    <row r="661">
      <c r="I661" s="35"/>
    </row>
    <row r="662">
      <c r="I662" s="35"/>
    </row>
    <row r="663">
      <c r="I663" s="35"/>
    </row>
    <row r="664">
      <c r="I664" s="35"/>
    </row>
    <row r="665">
      <c r="I665" s="35"/>
    </row>
    <row r="666">
      <c r="I666" s="35"/>
    </row>
    <row r="667">
      <c r="I667" s="35"/>
    </row>
    <row r="668">
      <c r="I668" s="35"/>
    </row>
    <row r="669">
      <c r="I669" s="35"/>
    </row>
    <row r="670">
      <c r="I670" s="35"/>
    </row>
    <row r="671">
      <c r="I671" s="35"/>
    </row>
    <row r="672">
      <c r="I672" s="35"/>
    </row>
    <row r="673">
      <c r="I673" s="35"/>
    </row>
    <row r="674">
      <c r="I674" s="35"/>
    </row>
    <row r="675">
      <c r="I675" s="35"/>
    </row>
    <row r="676">
      <c r="I676" s="35"/>
    </row>
    <row r="677">
      <c r="I677" s="35"/>
    </row>
    <row r="678">
      <c r="I678" s="35"/>
    </row>
    <row r="679">
      <c r="I679" s="35"/>
    </row>
    <row r="680">
      <c r="I680" s="35"/>
    </row>
    <row r="681">
      <c r="I681" s="35"/>
    </row>
    <row r="682">
      <c r="I682" s="35"/>
    </row>
    <row r="683">
      <c r="I683" s="35"/>
    </row>
    <row r="684">
      <c r="I684" s="35"/>
    </row>
    <row r="685">
      <c r="I685" s="35"/>
    </row>
    <row r="686">
      <c r="I686" s="35"/>
    </row>
    <row r="687">
      <c r="I687" s="35"/>
    </row>
    <row r="688">
      <c r="I688" s="35"/>
    </row>
    <row r="689">
      <c r="I689" s="35"/>
    </row>
    <row r="690">
      <c r="I690" s="35"/>
    </row>
    <row r="691">
      <c r="I691" s="35"/>
    </row>
    <row r="692">
      <c r="I692" s="35"/>
    </row>
    <row r="693">
      <c r="I693" s="35"/>
    </row>
    <row r="694">
      <c r="I694" s="35"/>
    </row>
    <row r="695">
      <c r="I695" s="35"/>
    </row>
    <row r="696">
      <c r="I696" s="35"/>
    </row>
    <row r="697">
      <c r="I697" s="35"/>
    </row>
    <row r="698">
      <c r="I698" s="35"/>
    </row>
    <row r="699">
      <c r="I699" s="35"/>
    </row>
    <row r="700">
      <c r="I700" s="35"/>
    </row>
    <row r="701">
      <c r="I701" s="35"/>
    </row>
    <row r="702">
      <c r="I702" s="35"/>
    </row>
    <row r="703">
      <c r="I703" s="35"/>
    </row>
    <row r="704">
      <c r="I704" s="35"/>
    </row>
    <row r="705">
      <c r="I705" s="35"/>
    </row>
    <row r="706">
      <c r="I706" s="35"/>
    </row>
    <row r="707">
      <c r="I707" s="35"/>
    </row>
    <row r="708">
      <c r="I708" s="35"/>
    </row>
    <row r="709">
      <c r="I709" s="35"/>
    </row>
    <row r="710">
      <c r="I710" s="35"/>
    </row>
    <row r="711">
      <c r="I711" s="35"/>
    </row>
    <row r="712">
      <c r="I712" s="35"/>
    </row>
    <row r="713">
      <c r="I713" s="35"/>
    </row>
    <row r="714">
      <c r="I714" s="35"/>
    </row>
    <row r="715">
      <c r="I715" s="35"/>
    </row>
    <row r="716">
      <c r="I716" s="35"/>
    </row>
    <row r="717">
      <c r="I717" s="35"/>
    </row>
    <row r="718">
      <c r="I718" s="35"/>
    </row>
    <row r="719">
      <c r="I719" s="35"/>
    </row>
    <row r="720">
      <c r="I720" s="35"/>
    </row>
    <row r="721">
      <c r="I721" s="35"/>
    </row>
    <row r="722">
      <c r="I722" s="35"/>
    </row>
    <row r="723">
      <c r="I723" s="35"/>
    </row>
    <row r="724">
      <c r="I724" s="35"/>
    </row>
    <row r="725">
      <c r="I725" s="35"/>
    </row>
    <row r="726">
      <c r="I726" s="35"/>
    </row>
    <row r="727">
      <c r="I727" s="35"/>
    </row>
    <row r="728">
      <c r="I728" s="35"/>
    </row>
    <row r="729">
      <c r="I729" s="35"/>
    </row>
    <row r="730">
      <c r="I730" s="35"/>
    </row>
    <row r="731">
      <c r="I731" s="35"/>
    </row>
    <row r="732">
      <c r="I732" s="35"/>
    </row>
    <row r="733">
      <c r="I733" s="35"/>
    </row>
    <row r="734">
      <c r="I734" s="35"/>
    </row>
    <row r="735">
      <c r="I735" s="35"/>
    </row>
    <row r="736">
      <c r="I736" s="35"/>
    </row>
    <row r="737">
      <c r="I737" s="35"/>
    </row>
    <row r="738">
      <c r="I738" s="35"/>
    </row>
    <row r="739">
      <c r="I739" s="35"/>
    </row>
    <row r="740">
      <c r="I740" s="35"/>
    </row>
    <row r="741">
      <c r="I741" s="35"/>
    </row>
    <row r="742">
      <c r="I742" s="35"/>
    </row>
    <row r="743">
      <c r="I743" s="35"/>
    </row>
    <row r="744">
      <c r="I744" s="35"/>
    </row>
    <row r="745">
      <c r="I745" s="35"/>
    </row>
    <row r="746">
      <c r="I746" s="35"/>
    </row>
    <row r="747">
      <c r="I747" s="35"/>
    </row>
    <row r="748">
      <c r="I748" s="35"/>
    </row>
    <row r="749">
      <c r="I749" s="35"/>
    </row>
    <row r="750">
      <c r="I750" s="35"/>
    </row>
    <row r="751">
      <c r="I751" s="35"/>
    </row>
    <row r="752">
      <c r="I752" s="35"/>
    </row>
    <row r="753">
      <c r="I753" s="35"/>
    </row>
    <row r="754">
      <c r="I754" s="35"/>
    </row>
    <row r="755">
      <c r="I755" s="35"/>
    </row>
    <row r="756">
      <c r="I756" s="35"/>
    </row>
    <row r="757">
      <c r="I757" s="35"/>
    </row>
    <row r="758">
      <c r="I758" s="35"/>
    </row>
    <row r="759">
      <c r="I759" s="35"/>
    </row>
    <row r="760">
      <c r="I760" s="35"/>
    </row>
    <row r="761">
      <c r="I761" s="35"/>
    </row>
    <row r="762">
      <c r="I762" s="35"/>
    </row>
    <row r="763">
      <c r="I763" s="35"/>
    </row>
    <row r="764">
      <c r="I764" s="35"/>
    </row>
    <row r="765">
      <c r="I765" s="35"/>
    </row>
    <row r="766">
      <c r="I766" s="35"/>
    </row>
    <row r="767">
      <c r="I767" s="35"/>
    </row>
    <row r="768">
      <c r="I768" s="35"/>
    </row>
    <row r="769">
      <c r="I769" s="35"/>
    </row>
    <row r="770">
      <c r="I770" s="35"/>
    </row>
    <row r="771">
      <c r="I771" s="35"/>
    </row>
    <row r="772">
      <c r="I772" s="35"/>
    </row>
    <row r="773">
      <c r="I773" s="35"/>
    </row>
    <row r="774">
      <c r="I774" s="35"/>
    </row>
    <row r="775">
      <c r="I775" s="35"/>
    </row>
    <row r="776">
      <c r="I776" s="35"/>
    </row>
    <row r="777">
      <c r="I777" s="35"/>
    </row>
    <row r="778">
      <c r="I778" s="35"/>
    </row>
    <row r="779">
      <c r="I779" s="35"/>
    </row>
    <row r="780">
      <c r="I780" s="35"/>
    </row>
    <row r="781">
      <c r="I781" s="35"/>
    </row>
    <row r="782">
      <c r="I782" s="35"/>
    </row>
    <row r="783">
      <c r="I783" s="35"/>
    </row>
    <row r="784">
      <c r="I784" s="35"/>
    </row>
    <row r="785">
      <c r="I785" s="35"/>
    </row>
    <row r="786">
      <c r="I786" s="35"/>
    </row>
    <row r="787">
      <c r="I787" s="35"/>
    </row>
    <row r="788">
      <c r="I788" s="35"/>
    </row>
    <row r="789">
      <c r="I789" s="35"/>
    </row>
    <row r="790">
      <c r="I790" s="35"/>
    </row>
    <row r="791">
      <c r="I791" s="35"/>
    </row>
    <row r="792">
      <c r="I792" s="35"/>
    </row>
    <row r="793">
      <c r="I793" s="35"/>
    </row>
    <row r="794">
      <c r="I794" s="35"/>
    </row>
    <row r="795">
      <c r="I795" s="35"/>
    </row>
    <row r="796">
      <c r="I796" s="35"/>
    </row>
    <row r="797">
      <c r="I797" s="35"/>
    </row>
    <row r="798">
      <c r="I798" s="35"/>
    </row>
    <row r="799">
      <c r="I799" s="35"/>
    </row>
    <row r="800">
      <c r="I800" s="35"/>
    </row>
    <row r="801">
      <c r="I801" s="35"/>
    </row>
    <row r="802">
      <c r="I802" s="35"/>
    </row>
    <row r="803">
      <c r="I803" s="35"/>
    </row>
    <row r="804">
      <c r="I804" s="35"/>
    </row>
    <row r="805">
      <c r="I805" s="35"/>
    </row>
    <row r="806">
      <c r="I806" s="35"/>
    </row>
    <row r="807">
      <c r="I807" s="35"/>
    </row>
    <row r="808">
      <c r="I808" s="35"/>
    </row>
    <row r="809">
      <c r="I809" s="35"/>
    </row>
    <row r="810">
      <c r="I810" s="35"/>
    </row>
    <row r="811">
      <c r="I811" s="35"/>
    </row>
    <row r="812">
      <c r="I812" s="35"/>
    </row>
    <row r="813">
      <c r="I813" s="35"/>
    </row>
    <row r="814">
      <c r="I814" s="35"/>
    </row>
    <row r="815">
      <c r="I815" s="35"/>
    </row>
    <row r="816">
      <c r="I816" s="35"/>
    </row>
    <row r="817">
      <c r="I817" s="35"/>
    </row>
    <row r="818">
      <c r="I818" s="35"/>
    </row>
    <row r="819">
      <c r="I819" s="35"/>
    </row>
    <row r="820">
      <c r="I820" s="35"/>
    </row>
    <row r="821">
      <c r="I821" s="35"/>
    </row>
    <row r="822">
      <c r="I822" s="35"/>
    </row>
    <row r="823">
      <c r="I823" s="35"/>
    </row>
    <row r="824">
      <c r="I824" s="35"/>
    </row>
    <row r="825">
      <c r="I825" s="35"/>
    </row>
    <row r="826">
      <c r="I826" s="35"/>
    </row>
    <row r="827">
      <c r="I827" s="35"/>
    </row>
    <row r="828">
      <c r="I828" s="35"/>
    </row>
    <row r="829">
      <c r="I829" s="35"/>
    </row>
    <row r="830">
      <c r="I830" s="35"/>
    </row>
    <row r="831">
      <c r="I831" s="35"/>
    </row>
    <row r="832">
      <c r="I832" s="35"/>
    </row>
    <row r="833">
      <c r="I833" s="35"/>
    </row>
    <row r="834">
      <c r="I834" s="35"/>
    </row>
    <row r="835">
      <c r="I835" s="35"/>
    </row>
    <row r="836">
      <c r="I836" s="35"/>
    </row>
    <row r="837">
      <c r="I837" s="35"/>
    </row>
    <row r="838">
      <c r="I838" s="35"/>
    </row>
    <row r="839">
      <c r="I839" s="35"/>
    </row>
    <row r="840">
      <c r="I840" s="35"/>
    </row>
    <row r="841">
      <c r="I841" s="35"/>
    </row>
    <row r="842">
      <c r="I842" s="35"/>
    </row>
    <row r="843">
      <c r="I843" s="35"/>
    </row>
    <row r="844">
      <c r="I844" s="35"/>
    </row>
    <row r="845">
      <c r="I845" s="35"/>
    </row>
    <row r="846">
      <c r="I846" s="35"/>
    </row>
    <row r="847">
      <c r="I847" s="35"/>
    </row>
    <row r="848">
      <c r="I848" s="35"/>
    </row>
    <row r="849">
      <c r="I849" s="35"/>
    </row>
    <row r="850">
      <c r="I850" s="35"/>
    </row>
    <row r="851">
      <c r="I851" s="35"/>
    </row>
    <row r="852">
      <c r="I852" s="35"/>
    </row>
    <row r="853">
      <c r="I853" s="35"/>
    </row>
    <row r="854">
      <c r="I854" s="35"/>
    </row>
    <row r="855">
      <c r="I855" s="35"/>
    </row>
    <row r="856">
      <c r="I856" s="35"/>
    </row>
    <row r="857">
      <c r="I857" s="35"/>
    </row>
    <row r="858">
      <c r="I858" s="35"/>
    </row>
    <row r="859">
      <c r="I859" s="35"/>
    </row>
    <row r="860">
      <c r="I860" s="35"/>
    </row>
    <row r="861">
      <c r="I861" s="35"/>
    </row>
    <row r="862">
      <c r="I862" s="35"/>
    </row>
    <row r="863">
      <c r="I863" s="35"/>
    </row>
    <row r="864">
      <c r="I864" s="35"/>
    </row>
    <row r="865">
      <c r="I865" s="35"/>
    </row>
    <row r="866">
      <c r="I866" s="35"/>
    </row>
    <row r="867">
      <c r="I867" s="35"/>
    </row>
    <row r="868">
      <c r="I868" s="35"/>
    </row>
    <row r="869">
      <c r="I869" s="35"/>
    </row>
    <row r="870">
      <c r="I870" s="35"/>
    </row>
    <row r="871">
      <c r="I871" s="35"/>
    </row>
    <row r="872">
      <c r="I872" s="35"/>
    </row>
    <row r="873">
      <c r="I873" s="35"/>
    </row>
    <row r="874">
      <c r="I874" s="35"/>
    </row>
    <row r="875">
      <c r="I875" s="35"/>
    </row>
    <row r="876">
      <c r="I876" s="35"/>
    </row>
    <row r="877">
      <c r="I877" s="35"/>
    </row>
    <row r="878">
      <c r="I878" s="35"/>
    </row>
    <row r="879">
      <c r="I879" s="35"/>
    </row>
    <row r="880">
      <c r="I880" s="35"/>
    </row>
    <row r="881">
      <c r="I881" s="35"/>
    </row>
    <row r="882">
      <c r="I882" s="35"/>
    </row>
    <row r="883">
      <c r="I883" s="35"/>
    </row>
    <row r="884">
      <c r="I884" s="35"/>
    </row>
    <row r="885">
      <c r="I885" s="35"/>
    </row>
    <row r="886">
      <c r="I886" s="35"/>
    </row>
    <row r="887">
      <c r="I887" s="35"/>
    </row>
    <row r="888">
      <c r="I888" s="35"/>
    </row>
    <row r="889">
      <c r="I889" s="35"/>
    </row>
    <row r="890">
      <c r="I890" s="35"/>
    </row>
    <row r="891">
      <c r="I891" s="35"/>
    </row>
    <row r="892">
      <c r="I892" s="35"/>
    </row>
    <row r="893">
      <c r="I893" s="35"/>
    </row>
    <row r="894">
      <c r="I894" s="35"/>
    </row>
    <row r="895">
      <c r="I895" s="35"/>
    </row>
    <row r="896">
      <c r="I896" s="35"/>
    </row>
    <row r="897">
      <c r="I897" s="35"/>
    </row>
    <row r="898">
      <c r="I898" s="35"/>
    </row>
    <row r="899">
      <c r="I899" s="35"/>
    </row>
    <row r="900">
      <c r="I900" s="35"/>
    </row>
    <row r="901">
      <c r="I901" s="35"/>
    </row>
    <row r="902">
      <c r="I902" s="35"/>
    </row>
    <row r="903">
      <c r="I903" s="35"/>
    </row>
    <row r="904">
      <c r="I904" s="35"/>
    </row>
    <row r="905">
      <c r="I905" s="35"/>
    </row>
    <row r="906">
      <c r="I906" s="35"/>
    </row>
    <row r="907">
      <c r="I907" s="35"/>
    </row>
    <row r="908">
      <c r="I908" s="35"/>
    </row>
    <row r="909">
      <c r="I909" s="35"/>
    </row>
    <row r="910">
      <c r="I910" s="35"/>
    </row>
    <row r="911">
      <c r="I911" s="35"/>
    </row>
    <row r="912">
      <c r="I912" s="35"/>
    </row>
    <row r="913">
      <c r="I913" s="35"/>
    </row>
    <row r="914">
      <c r="I914" s="35"/>
    </row>
    <row r="915">
      <c r="I915" s="35"/>
    </row>
    <row r="916">
      <c r="I916" s="35"/>
    </row>
    <row r="917">
      <c r="I917" s="35"/>
    </row>
    <row r="918">
      <c r="I918" s="35"/>
    </row>
    <row r="919">
      <c r="I919" s="35"/>
    </row>
    <row r="920">
      <c r="I920" s="35"/>
    </row>
    <row r="921">
      <c r="I921" s="35"/>
    </row>
    <row r="922">
      <c r="I922" s="35"/>
    </row>
    <row r="923">
      <c r="I923" s="35"/>
    </row>
    <row r="924">
      <c r="I924" s="35"/>
    </row>
    <row r="925">
      <c r="I925" s="35"/>
    </row>
    <row r="926">
      <c r="I926" s="35"/>
    </row>
    <row r="927">
      <c r="I927" s="35"/>
    </row>
    <row r="928">
      <c r="I928" s="35"/>
    </row>
    <row r="929">
      <c r="I929" s="35"/>
    </row>
    <row r="930">
      <c r="I930" s="35"/>
    </row>
    <row r="931">
      <c r="I931" s="35"/>
    </row>
    <row r="932">
      <c r="I932" s="35"/>
    </row>
    <row r="933">
      <c r="I933" s="35"/>
    </row>
    <row r="934">
      <c r="I934" s="35"/>
    </row>
    <row r="935">
      <c r="I935" s="35"/>
    </row>
    <row r="936">
      <c r="I936" s="35"/>
    </row>
    <row r="937">
      <c r="I937" s="35"/>
    </row>
    <row r="938">
      <c r="I938" s="35"/>
    </row>
    <row r="939">
      <c r="I939" s="35"/>
    </row>
    <row r="940">
      <c r="I940" s="35"/>
    </row>
    <row r="941">
      <c r="I941" s="35"/>
    </row>
    <row r="942">
      <c r="I942" s="35"/>
    </row>
    <row r="943">
      <c r="I943" s="35"/>
    </row>
    <row r="944">
      <c r="I944" s="35"/>
    </row>
    <row r="945">
      <c r="I945" s="35"/>
    </row>
    <row r="946">
      <c r="I946" s="35"/>
    </row>
    <row r="947">
      <c r="I947" s="35"/>
    </row>
    <row r="948">
      <c r="I948" s="35"/>
    </row>
    <row r="949">
      <c r="I949" s="35"/>
    </row>
    <row r="950">
      <c r="I950" s="35"/>
    </row>
    <row r="951">
      <c r="I951" s="35"/>
    </row>
    <row r="952">
      <c r="I952" s="35"/>
    </row>
    <row r="953">
      <c r="I953" s="35"/>
    </row>
    <row r="954">
      <c r="I954" s="35"/>
    </row>
    <row r="955">
      <c r="I955" s="35"/>
    </row>
    <row r="956">
      <c r="I956" s="35"/>
    </row>
    <row r="957">
      <c r="I957" s="35"/>
    </row>
    <row r="958">
      <c r="I958" s="35"/>
    </row>
    <row r="959">
      <c r="I959" s="35"/>
    </row>
    <row r="960">
      <c r="I960" s="35"/>
    </row>
    <row r="961">
      <c r="I961" s="35"/>
    </row>
    <row r="962">
      <c r="I962" s="35"/>
    </row>
    <row r="963">
      <c r="I963" s="35"/>
    </row>
    <row r="964">
      <c r="I964" s="35"/>
    </row>
    <row r="965">
      <c r="I965" s="35"/>
    </row>
    <row r="966">
      <c r="I966" s="35"/>
    </row>
    <row r="967">
      <c r="I967" s="35"/>
    </row>
    <row r="968">
      <c r="I968" s="35"/>
    </row>
    <row r="969">
      <c r="I969" s="35"/>
    </row>
    <row r="970">
      <c r="I970" s="35"/>
    </row>
    <row r="971">
      <c r="I971" s="35"/>
    </row>
    <row r="972">
      <c r="I972" s="35"/>
    </row>
    <row r="973">
      <c r="I973" s="35"/>
    </row>
    <row r="974">
      <c r="I974" s="35"/>
    </row>
    <row r="975">
      <c r="I975" s="35"/>
    </row>
    <row r="976">
      <c r="I976" s="35"/>
    </row>
    <row r="977">
      <c r="I977" s="35"/>
    </row>
    <row r="978">
      <c r="I978" s="35"/>
    </row>
    <row r="979">
      <c r="I979" s="35"/>
    </row>
    <row r="980">
      <c r="I980" s="35"/>
    </row>
    <row r="981">
      <c r="I981" s="35"/>
    </row>
    <row r="982">
      <c r="I982" s="35"/>
    </row>
    <row r="983">
      <c r="I983" s="35"/>
    </row>
    <row r="984">
      <c r="I984" s="35"/>
    </row>
    <row r="985">
      <c r="I985" s="35"/>
    </row>
    <row r="986">
      <c r="I986" s="35"/>
    </row>
    <row r="987">
      <c r="I987" s="35"/>
    </row>
    <row r="988">
      <c r="I988" s="35"/>
    </row>
    <row r="989">
      <c r="I989" s="35"/>
    </row>
    <row r="990">
      <c r="I990" s="35"/>
    </row>
    <row r="991">
      <c r="I991" s="35"/>
    </row>
    <row r="992">
      <c r="I992" s="35"/>
    </row>
    <row r="993">
      <c r="I993" s="35"/>
    </row>
    <row r="994">
      <c r="I994" s="35"/>
    </row>
    <row r="995">
      <c r="I995" s="35"/>
    </row>
    <row r="996">
      <c r="I996" s="35"/>
    </row>
    <row r="997">
      <c r="I997" s="35"/>
    </row>
    <row r="998">
      <c r="I998" s="35"/>
    </row>
    <row r="999">
      <c r="I999" s="35"/>
    </row>
    <row r="1000">
      <c r="I1000" s="35"/>
    </row>
    <row r="1001">
      <c r="I1001" s="35"/>
    </row>
    <row r="1002">
      <c r="I1002" s="35"/>
    </row>
    <row r="1003">
      <c r="I1003" s="35"/>
    </row>
    <row r="1004">
      <c r="I1004" s="35"/>
    </row>
    <row r="1005">
      <c r="I1005" s="35"/>
    </row>
    <row r="1006">
      <c r="I1006" s="35"/>
    </row>
    <row r="1007">
      <c r="I1007" s="35"/>
    </row>
  </sheetData>
  <autoFilter ref="$A$4:$AI$91"/>
  <mergeCells count="31">
    <mergeCell ref="F1:AH1"/>
    <mergeCell ref="F2:AH2"/>
    <mergeCell ref="A3:B3"/>
    <mergeCell ref="T5:U5"/>
    <mergeCell ref="V5:W5"/>
    <mergeCell ref="X5:Y5"/>
    <mergeCell ref="Z5:AA5"/>
    <mergeCell ref="AI5:AI6"/>
    <mergeCell ref="AK8:AK15"/>
    <mergeCell ref="AK17:AK20"/>
    <mergeCell ref="AH5:AH6"/>
    <mergeCell ref="AK7:AN7"/>
    <mergeCell ref="AO7:AP7"/>
    <mergeCell ref="AQ7:AR7"/>
    <mergeCell ref="AS7:AT7"/>
    <mergeCell ref="AU7:AV7"/>
    <mergeCell ref="AW7:AX7"/>
    <mergeCell ref="AL15:AN15"/>
    <mergeCell ref="AK16:AX16"/>
    <mergeCell ref="AM17:AN17"/>
    <mergeCell ref="AM18:AN18"/>
    <mergeCell ref="AM19:AN19"/>
    <mergeCell ref="AL20:AN20"/>
    <mergeCell ref="AK88:AN88"/>
    <mergeCell ref="AM8:AN8"/>
    <mergeCell ref="AM9:AN9"/>
    <mergeCell ref="AM10:AN10"/>
    <mergeCell ref="AM11:AN11"/>
    <mergeCell ref="AM12:AN12"/>
    <mergeCell ref="AM13:AN13"/>
    <mergeCell ref="AM14:AN14"/>
  </mergeCells>
  <conditionalFormatting sqref="AA3:AE4 AA6:AE6 AA95:AE1007">
    <cfRule type="timePeriod" dxfId="3" priority="1" timePeriod="last7Days"/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</cols>
  <sheetData>
    <row r="1">
      <c r="A1" s="304" t="s">
        <v>698</v>
      </c>
      <c r="AG1" s="304"/>
      <c r="AH1" s="304"/>
    </row>
    <row r="2">
      <c r="A2" s="305"/>
      <c r="B2" s="305"/>
      <c r="C2" s="305"/>
      <c r="D2" s="305"/>
      <c r="E2" s="306"/>
      <c r="F2" s="305"/>
      <c r="G2" s="306"/>
      <c r="H2" s="306"/>
      <c r="I2" s="307"/>
      <c r="J2" s="307"/>
      <c r="K2" s="307"/>
      <c r="L2" s="307"/>
      <c r="M2" s="307"/>
      <c r="N2" s="306"/>
      <c r="O2" s="306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</row>
    <row r="3">
      <c r="A3" s="305"/>
      <c r="B3" s="305"/>
      <c r="C3" s="305"/>
      <c r="D3" s="305"/>
      <c r="E3" s="306"/>
      <c r="F3" s="305"/>
      <c r="G3" s="306"/>
      <c r="H3" s="306"/>
      <c r="I3" s="307"/>
      <c r="J3" s="307"/>
      <c r="K3" s="307"/>
      <c r="L3" s="307"/>
      <c r="M3" s="307"/>
      <c r="N3" s="306"/>
      <c r="O3" s="306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305"/>
      <c r="AG3" s="305"/>
      <c r="AH3" s="305"/>
    </row>
    <row r="4">
      <c r="A4" s="308" t="s">
        <v>2</v>
      </c>
      <c r="B4" s="309" t="s">
        <v>3</v>
      </c>
      <c r="C4" s="309" t="s">
        <v>5</v>
      </c>
      <c r="D4" s="309" t="s">
        <v>4</v>
      </c>
      <c r="E4" s="310" t="s">
        <v>126</v>
      </c>
      <c r="F4" s="309" t="s">
        <v>128</v>
      </c>
      <c r="G4" s="310" t="s">
        <v>130</v>
      </c>
      <c r="H4" s="310" t="s">
        <v>131</v>
      </c>
      <c r="I4" s="312" t="s">
        <v>132</v>
      </c>
      <c r="J4" s="312" t="s">
        <v>136</v>
      </c>
      <c r="K4" s="312" t="s">
        <v>137</v>
      </c>
      <c r="L4" s="312" t="s">
        <v>138</v>
      </c>
      <c r="M4" s="312" t="s">
        <v>139</v>
      </c>
      <c r="N4" s="310" t="s">
        <v>140</v>
      </c>
      <c r="O4" s="310" t="s">
        <v>141</v>
      </c>
      <c r="P4" s="309" t="s">
        <v>143</v>
      </c>
      <c r="Q4" s="309" t="s">
        <v>144</v>
      </c>
      <c r="R4" s="309" t="s">
        <v>146</v>
      </c>
      <c r="S4" s="313" t="s">
        <v>49</v>
      </c>
      <c r="T4" s="313" t="s">
        <v>148</v>
      </c>
      <c r="U4" s="313" t="s">
        <v>60</v>
      </c>
      <c r="V4" s="313" t="s">
        <v>148</v>
      </c>
      <c r="W4" s="313" t="s">
        <v>61</v>
      </c>
      <c r="X4" s="313" t="s">
        <v>148</v>
      </c>
      <c r="Y4" s="313" t="s">
        <v>63</v>
      </c>
      <c r="Z4" s="313" t="s">
        <v>148</v>
      </c>
      <c r="AA4" s="313" t="s">
        <v>65</v>
      </c>
      <c r="AB4" s="313" t="s">
        <v>148</v>
      </c>
      <c r="AC4" s="313" t="s">
        <v>67</v>
      </c>
      <c r="AD4" s="313" t="s">
        <v>148</v>
      </c>
      <c r="AE4" s="313" t="s">
        <v>151</v>
      </c>
      <c r="AF4" s="313" t="s">
        <v>148</v>
      </c>
      <c r="AG4" s="305"/>
      <c r="AH4" s="305"/>
    </row>
    <row r="5">
      <c r="A5" s="9">
        <v>1.0</v>
      </c>
      <c r="B5" s="9" t="s">
        <v>14</v>
      </c>
      <c r="C5" s="9" t="s">
        <v>153</v>
      </c>
      <c r="D5" s="9" t="s">
        <v>8</v>
      </c>
      <c r="E5" s="9">
        <v>2016.0</v>
      </c>
      <c r="F5" s="9">
        <v>2017.0</v>
      </c>
      <c r="G5" s="9">
        <v>9.0</v>
      </c>
      <c r="H5" s="117" t="s">
        <v>184</v>
      </c>
      <c r="I5" s="9">
        <v>7684.0</v>
      </c>
      <c r="J5" s="9" t="s">
        <v>159</v>
      </c>
      <c r="K5" s="9" t="s">
        <v>160</v>
      </c>
      <c r="L5" s="9" t="s">
        <v>161</v>
      </c>
      <c r="M5" s="9">
        <v>2016.0</v>
      </c>
      <c r="N5" s="9">
        <v>9.0</v>
      </c>
      <c r="O5" s="9" t="s">
        <v>162</v>
      </c>
      <c r="P5" s="9" t="s">
        <v>163</v>
      </c>
      <c r="Q5" s="9" t="s">
        <v>186</v>
      </c>
      <c r="R5" s="9" t="s">
        <v>187</v>
      </c>
      <c r="S5" s="53">
        <v>46417.0</v>
      </c>
      <c r="T5" s="314" t="s">
        <v>668</v>
      </c>
      <c r="U5" s="53">
        <v>46052.0</v>
      </c>
      <c r="V5" s="314" t="s">
        <v>669</v>
      </c>
      <c r="W5" s="53">
        <v>46096.0</v>
      </c>
      <c r="X5" s="314" t="s">
        <v>668</v>
      </c>
      <c r="Y5" s="53">
        <v>46096.0</v>
      </c>
      <c r="Z5" s="314" t="s">
        <v>668</v>
      </c>
      <c r="AA5" s="53">
        <v>46409.0</v>
      </c>
      <c r="AB5" s="314" t="s">
        <v>668</v>
      </c>
      <c r="AC5" s="315">
        <v>46089.0</v>
      </c>
      <c r="AD5" s="314" t="s">
        <v>668</v>
      </c>
      <c r="AE5" s="155" t="s">
        <v>166</v>
      </c>
      <c r="AF5" s="155" t="s">
        <v>167</v>
      </c>
      <c r="AG5" s="316"/>
      <c r="AH5" s="316"/>
    </row>
    <row r="6" hidden="1">
      <c r="A6" s="9">
        <v>4.0</v>
      </c>
      <c r="B6" s="10" t="s">
        <v>17</v>
      </c>
      <c r="C6" s="11" t="s">
        <v>153</v>
      </c>
      <c r="D6" s="14" t="s">
        <v>8</v>
      </c>
      <c r="E6" s="11">
        <v>2018.0</v>
      </c>
      <c r="F6" s="11">
        <v>2018.0</v>
      </c>
      <c r="G6" s="11">
        <v>7.0</v>
      </c>
      <c r="H6" s="51" t="s">
        <v>197</v>
      </c>
      <c r="I6" s="11">
        <v>7698.0</v>
      </c>
      <c r="J6" s="11" t="s">
        <v>159</v>
      </c>
      <c r="K6" s="11" t="s">
        <v>160</v>
      </c>
      <c r="L6" s="11" t="s">
        <v>161</v>
      </c>
      <c r="M6" s="11">
        <v>2018.0</v>
      </c>
      <c r="N6" s="11">
        <v>7.0</v>
      </c>
      <c r="O6" s="11" t="s">
        <v>162</v>
      </c>
      <c r="P6" s="11" t="s">
        <v>199</v>
      </c>
      <c r="Q6" s="52" t="s">
        <v>200</v>
      </c>
      <c r="R6" s="52" t="s">
        <v>201</v>
      </c>
      <c r="S6" s="53">
        <v>46903.0</v>
      </c>
      <c r="T6" s="54" t="s">
        <v>668</v>
      </c>
      <c r="U6" s="317">
        <v>46172.0</v>
      </c>
      <c r="V6" s="54" t="s">
        <v>668</v>
      </c>
      <c r="W6" s="318">
        <v>46059.0</v>
      </c>
      <c r="X6" s="54" t="s">
        <v>669</v>
      </c>
      <c r="Y6" s="53">
        <v>46059.0</v>
      </c>
      <c r="Z6" s="54" t="s">
        <v>668</v>
      </c>
      <c r="AA6" s="53">
        <v>46506.0</v>
      </c>
      <c r="AB6" s="54" t="s">
        <v>668</v>
      </c>
      <c r="AC6" s="315">
        <v>46155.0</v>
      </c>
      <c r="AD6" s="54" t="s">
        <v>668</v>
      </c>
      <c r="AE6" s="96" t="s">
        <v>203</v>
      </c>
      <c r="AF6" s="57" t="s">
        <v>167</v>
      </c>
      <c r="AG6" s="265"/>
      <c r="AH6" s="265"/>
    </row>
    <row r="7" hidden="1">
      <c r="A7" s="9">
        <v>5.0</v>
      </c>
      <c r="B7" s="10" t="s">
        <v>20</v>
      </c>
      <c r="C7" s="11" t="s">
        <v>153</v>
      </c>
      <c r="D7" s="14" t="s">
        <v>8</v>
      </c>
      <c r="E7" s="11">
        <v>2018.0</v>
      </c>
      <c r="F7" s="11">
        <v>2018.0</v>
      </c>
      <c r="G7" s="11">
        <v>7.0</v>
      </c>
      <c r="H7" s="51" t="s">
        <v>197</v>
      </c>
      <c r="I7" s="11">
        <v>7698.0</v>
      </c>
      <c r="J7" s="11" t="s">
        <v>159</v>
      </c>
      <c r="K7" s="11" t="s">
        <v>160</v>
      </c>
      <c r="L7" s="11" t="s">
        <v>161</v>
      </c>
      <c r="M7" s="11">
        <v>2018.0</v>
      </c>
      <c r="N7" s="11">
        <v>7.0</v>
      </c>
      <c r="O7" s="11" t="s">
        <v>162</v>
      </c>
      <c r="P7" s="11" t="s">
        <v>199</v>
      </c>
      <c r="Q7" s="52" t="s">
        <v>210</v>
      </c>
      <c r="R7" s="52" t="s">
        <v>211</v>
      </c>
      <c r="S7" s="53">
        <v>46903.0</v>
      </c>
      <c r="T7" s="54" t="s">
        <v>668</v>
      </c>
      <c r="U7" s="317">
        <v>46172.0</v>
      </c>
      <c r="V7" s="54" t="s">
        <v>668</v>
      </c>
      <c r="W7" s="53">
        <v>46081.0</v>
      </c>
      <c r="X7" s="54" t="s">
        <v>668</v>
      </c>
      <c r="Y7" s="53">
        <v>46081.0</v>
      </c>
      <c r="Z7" s="54" t="s">
        <v>668</v>
      </c>
      <c r="AA7" s="53">
        <v>46187.0</v>
      </c>
      <c r="AB7" s="54" t="s">
        <v>668</v>
      </c>
      <c r="AC7" s="315">
        <v>46187.0</v>
      </c>
      <c r="AD7" s="54" t="s">
        <v>668</v>
      </c>
      <c r="AE7" s="96" t="s">
        <v>203</v>
      </c>
      <c r="AF7" s="57" t="s">
        <v>167</v>
      </c>
      <c r="AG7" s="265"/>
      <c r="AH7" s="265"/>
    </row>
    <row r="8" hidden="1">
      <c r="A8" s="9">
        <v>6.0</v>
      </c>
      <c r="B8" s="10" t="s">
        <v>22</v>
      </c>
      <c r="C8" s="11" t="s">
        <v>153</v>
      </c>
      <c r="D8" s="14" t="s">
        <v>8</v>
      </c>
      <c r="E8" s="11">
        <v>2018.0</v>
      </c>
      <c r="F8" s="11">
        <v>2018.0</v>
      </c>
      <c r="G8" s="11">
        <v>7.0</v>
      </c>
      <c r="H8" s="51" t="s">
        <v>197</v>
      </c>
      <c r="I8" s="11">
        <v>7698.0</v>
      </c>
      <c r="J8" s="11" t="s">
        <v>159</v>
      </c>
      <c r="K8" s="11" t="s">
        <v>160</v>
      </c>
      <c r="L8" s="11" t="s">
        <v>161</v>
      </c>
      <c r="M8" s="11">
        <v>2018.0</v>
      </c>
      <c r="N8" s="11">
        <v>7.0</v>
      </c>
      <c r="O8" s="11" t="s">
        <v>162</v>
      </c>
      <c r="P8" s="11" t="s">
        <v>199</v>
      </c>
      <c r="Q8" s="52" t="s">
        <v>226</v>
      </c>
      <c r="R8" s="52" t="s">
        <v>228</v>
      </c>
      <c r="S8" s="53">
        <v>46903.0</v>
      </c>
      <c r="T8" s="54" t="s">
        <v>668</v>
      </c>
      <c r="U8" s="317">
        <v>46172.0</v>
      </c>
      <c r="V8" s="54" t="s">
        <v>668</v>
      </c>
      <c r="W8" s="53">
        <v>46081.0</v>
      </c>
      <c r="X8" s="54" t="s">
        <v>668</v>
      </c>
      <c r="Y8" s="53">
        <v>46081.0</v>
      </c>
      <c r="Z8" s="54" t="s">
        <v>668</v>
      </c>
      <c r="AA8" s="53">
        <v>46507.0</v>
      </c>
      <c r="AB8" s="54" t="s">
        <v>668</v>
      </c>
      <c r="AC8" s="315">
        <v>46155.0</v>
      </c>
      <c r="AD8" s="54" t="s">
        <v>668</v>
      </c>
      <c r="AE8" s="96" t="s">
        <v>203</v>
      </c>
      <c r="AF8" s="57" t="s">
        <v>167</v>
      </c>
      <c r="AG8" s="265"/>
      <c r="AH8" s="265"/>
    </row>
    <row r="9" hidden="1">
      <c r="A9" s="9">
        <v>7.0</v>
      </c>
      <c r="B9" s="10" t="s">
        <v>24</v>
      </c>
      <c r="C9" s="19" t="s">
        <v>240</v>
      </c>
      <c r="D9" s="14" t="s">
        <v>8</v>
      </c>
      <c r="E9" s="11">
        <v>2022.0</v>
      </c>
      <c r="F9" s="11">
        <v>2022.0</v>
      </c>
      <c r="G9" s="11">
        <v>3.0</v>
      </c>
      <c r="H9" s="51" t="s">
        <v>242</v>
      </c>
      <c r="I9" s="11">
        <v>7684.0</v>
      </c>
      <c r="J9" s="11" t="s">
        <v>243</v>
      </c>
      <c r="K9" s="11" t="s">
        <v>160</v>
      </c>
      <c r="L9" s="11" t="s">
        <v>161</v>
      </c>
      <c r="M9" s="11">
        <v>2022.0</v>
      </c>
      <c r="N9" s="11">
        <v>3.0</v>
      </c>
      <c r="O9" s="11" t="s">
        <v>245</v>
      </c>
      <c r="P9" s="11" t="s">
        <v>163</v>
      </c>
      <c r="Q9" s="52" t="s">
        <v>246</v>
      </c>
      <c r="R9" s="52" t="s">
        <v>248</v>
      </c>
      <c r="S9" s="319">
        <v>46730.0</v>
      </c>
      <c r="T9" s="54" t="s">
        <v>668</v>
      </c>
      <c r="U9" s="320">
        <v>46365.0</v>
      </c>
      <c r="V9" s="54" t="s">
        <v>668</v>
      </c>
      <c r="W9" s="53">
        <v>46157.0</v>
      </c>
      <c r="X9" s="54" t="s">
        <v>668</v>
      </c>
      <c r="Y9" s="53">
        <v>46157.0</v>
      </c>
      <c r="Z9" s="54" t="s">
        <v>668</v>
      </c>
      <c r="AA9" s="53">
        <v>46337.0</v>
      </c>
      <c r="AB9" s="54" t="s">
        <v>668</v>
      </c>
      <c r="AC9" s="315">
        <v>46161.0</v>
      </c>
      <c r="AD9" s="54" t="s">
        <v>668</v>
      </c>
      <c r="AE9" s="57" t="s">
        <v>166</v>
      </c>
      <c r="AF9" s="57" t="s">
        <v>167</v>
      </c>
      <c r="AG9" s="265"/>
      <c r="AH9" s="265"/>
    </row>
    <row r="10" hidden="1">
      <c r="A10" s="9">
        <v>8.0</v>
      </c>
      <c r="B10" s="10" t="s">
        <v>26</v>
      </c>
      <c r="C10" s="22" t="s">
        <v>240</v>
      </c>
      <c r="D10" s="24" t="s">
        <v>8</v>
      </c>
      <c r="E10" s="9">
        <v>2023.0</v>
      </c>
      <c r="F10" s="9">
        <v>2023.0</v>
      </c>
      <c r="G10" s="11">
        <v>2.0</v>
      </c>
      <c r="H10" s="117" t="s">
        <v>265</v>
      </c>
      <c r="I10" s="9">
        <v>6374.0</v>
      </c>
      <c r="J10" s="9" t="s">
        <v>266</v>
      </c>
      <c r="K10" s="9" t="s">
        <v>160</v>
      </c>
      <c r="L10" s="9" t="s">
        <v>267</v>
      </c>
      <c r="M10" s="9">
        <v>2023.0</v>
      </c>
      <c r="N10" s="11">
        <v>2.0</v>
      </c>
      <c r="O10" s="9" t="s">
        <v>245</v>
      </c>
      <c r="P10" s="9" t="s">
        <v>270</v>
      </c>
      <c r="Q10" s="118" t="s">
        <v>271</v>
      </c>
      <c r="R10" s="118" t="s">
        <v>273</v>
      </c>
      <c r="S10" s="53">
        <v>47025.0</v>
      </c>
      <c r="T10" s="54" t="s">
        <v>668</v>
      </c>
      <c r="U10" s="317">
        <v>46294.0</v>
      </c>
      <c r="V10" s="54" t="s">
        <v>668</v>
      </c>
      <c r="W10" s="53">
        <v>46096.0</v>
      </c>
      <c r="X10" s="54" t="s">
        <v>668</v>
      </c>
      <c r="Y10" s="53">
        <v>46096.0</v>
      </c>
      <c r="Z10" s="54" t="s">
        <v>668</v>
      </c>
      <c r="AA10" s="53">
        <v>46688.0</v>
      </c>
      <c r="AB10" s="54" t="s">
        <v>668</v>
      </c>
      <c r="AC10" s="315">
        <v>46096.0</v>
      </c>
      <c r="AD10" s="54" t="s">
        <v>668</v>
      </c>
      <c r="AE10" s="57" t="s">
        <v>166</v>
      </c>
      <c r="AF10" s="57" t="s">
        <v>167</v>
      </c>
      <c r="AG10" s="265"/>
      <c r="AH10" s="265"/>
    </row>
    <row r="11" hidden="1">
      <c r="A11" s="9">
        <v>9.0</v>
      </c>
      <c r="B11" s="10" t="s">
        <v>28</v>
      </c>
      <c r="C11" s="22" t="s">
        <v>240</v>
      </c>
      <c r="D11" s="24" t="s">
        <v>8</v>
      </c>
      <c r="E11" s="9">
        <v>2023.0</v>
      </c>
      <c r="F11" s="9">
        <v>2023.0</v>
      </c>
      <c r="G11" s="11">
        <v>2.0</v>
      </c>
      <c r="H11" s="117" t="s">
        <v>265</v>
      </c>
      <c r="I11" s="9">
        <v>6374.0</v>
      </c>
      <c r="J11" s="9" t="s">
        <v>266</v>
      </c>
      <c r="K11" s="9" t="s">
        <v>160</v>
      </c>
      <c r="L11" s="9" t="s">
        <v>267</v>
      </c>
      <c r="M11" s="9">
        <v>2023.0</v>
      </c>
      <c r="N11" s="11">
        <v>2.0</v>
      </c>
      <c r="O11" s="9" t="s">
        <v>245</v>
      </c>
      <c r="P11" s="9" t="s">
        <v>270</v>
      </c>
      <c r="Q11" s="118" t="s">
        <v>291</v>
      </c>
      <c r="R11" s="118" t="s">
        <v>292</v>
      </c>
      <c r="S11" s="53">
        <v>47025.0</v>
      </c>
      <c r="T11" s="54" t="s">
        <v>668</v>
      </c>
      <c r="U11" s="317">
        <v>46294.0</v>
      </c>
      <c r="V11" s="54" t="s">
        <v>668</v>
      </c>
      <c r="W11" s="53">
        <v>46096.0</v>
      </c>
      <c r="X11" s="54" t="s">
        <v>668</v>
      </c>
      <c r="Y11" s="53">
        <v>46096.0</v>
      </c>
      <c r="Z11" s="54" t="s">
        <v>668</v>
      </c>
      <c r="AA11" s="53">
        <v>46684.0</v>
      </c>
      <c r="AB11" s="54" t="s">
        <v>668</v>
      </c>
      <c r="AC11" s="315">
        <v>46096.0</v>
      </c>
      <c r="AD11" s="54" t="s">
        <v>668</v>
      </c>
      <c r="AE11" s="57" t="s">
        <v>166</v>
      </c>
      <c r="AF11" s="57" t="s">
        <v>167</v>
      </c>
      <c r="AG11" s="265"/>
      <c r="AH11" s="265"/>
    </row>
    <row r="12" hidden="1">
      <c r="A12" s="9">
        <v>10.0</v>
      </c>
      <c r="B12" s="52" t="s">
        <v>31</v>
      </c>
      <c r="C12" s="11" t="s">
        <v>153</v>
      </c>
      <c r="D12" s="14" t="s">
        <v>8</v>
      </c>
      <c r="E12" s="11">
        <v>2022.0</v>
      </c>
      <c r="F12" s="11">
        <v>2022.0</v>
      </c>
      <c r="G12" s="11">
        <v>3.0</v>
      </c>
      <c r="H12" s="51" t="s">
        <v>309</v>
      </c>
      <c r="I12" s="11">
        <v>7684.0</v>
      </c>
      <c r="J12" s="11" t="s">
        <v>243</v>
      </c>
      <c r="K12" s="11" t="s">
        <v>160</v>
      </c>
      <c r="L12" s="11" t="s">
        <v>267</v>
      </c>
      <c r="M12" s="11">
        <v>2022.0</v>
      </c>
      <c r="N12" s="11">
        <v>3.0</v>
      </c>
      <c r="O12" s="11" t="s">
        <v>162</v>
      </c>
      <c r="P12" s="11" t="s">
        <v>163</v>
      </c>
      <c r="Q12" s="52" t="s">
        <v>310</v>
      </c>
      <c r="R12" s="52" t="s">
        <v>311</v>
      </c>
      <c r="S12" s="53">
        <v>46713.0</v>
      </c>
      <c r="T12" s="54" t="s">
        <v>668</v>
      </c>
      <c r="U12" s="317">
        <v>46348.0</v>
      </c>
      <c r="V12" s="54" t="s">
        <v>668</v>
      </c>
      <c r="W12" s="321">
        <v>46127.0</v>
      </c>
      <c r="X12" s="54" t="s">
        <v>668</v>
      </c>
      <c r="Y12" s="53">
        <v>46127.0</v>
      </c>
      <c r="Z12" s="54" t="s">
        <v>668</v>
      </c>
      <c r="AA12" s="53">
        <v>46548.0</v>
      </c>
      <c r="AB12" s="54" t="s">
        <v>668</v>
      </c>
      <c r="AC12" s="315">
        <v>46126.0</v>
      </c>
      <c r="AD12" s="54" t="s">
        <v>668</v>
      </c>
      <c r="AE12" s="57" t="s">
        <v>166</v>
      </c>
      <c r="AF12" s="57" t="s">
        <v>167</v>
      </c>
      <c r="AG12" s="265"/>
      <c r="AH12" s="265"/>
    </row>
    <row r="13" hidden="1">
      <c r="A13" s="9">
        <v>11.0</v>
      </c>
      <c r="B13" s="52" t="s">
        <v>33</v>
      </c>
      <c r="C13" s="11" t="s">
        <v>153</v>
      </c>
      <c r="D13" s="14" t="s">
        <v>8</v>
      </c>
      <c r="E13" s="11">
        <v>2022.0</v>
      </c>
      <c r="F13" s="11">
        <v>2022.0</v>
      </c>
      <c r="G13" s="11">
        <v>3.0</v>
      </c>
      <c r="H13" s="51" t="s">
        <v>309</v>
      </c>
      <c r="I13" s="11">
        <v>7684.0</v>
      </c>
      <c r="J13" s="11" t="s">
        <v>243</v>
      </c>
      <c r="K13" s="11" t="s">
        <v>160</v>
      </c>
      <c r="L13" s="11" t="s">
        <v>267</v>
      </c>
      <c r="M13" s="11">
        <v>2022.0</v>
      </c>
      <c r="N13" s="11">
        <v>3.0</v>
      </c>
      <c r="O13" s="11" t="s">
        <v>162</v>
      </c>
      <c r="P13" s="11" t="s">
        <v>163</v>
      </c>
      <c r="Q13" s="52" t="s">
        <v>313</v>
      </c>
      <c r="R13" s="52" t="s">
        <v>314</v>
      </c>
      <c r="S13" s="53">
        <v>46680.0</v>
      </c>
      <c r="T13" s="54" t="s">
        <v>668</v>
      </c>
      <c r="U13" s="317">
        <v>46315.0</v>
      </c>
      <c r="V13" s="54" t="s">
        <v>668</v>
      </c>
      <c r="W13" s="321">
        <v>46127.0</v>
      </c>
      <c r="X13" s="54" t="s">
        <v>668</v>
      </c>
      <c r="Y13" s="53">
        <v>46127.0</v>
      </c>
      <c r="Z13" s="54" t="s">
        <v>668</v>
      </c>
      <c r="AA13" s="53">
        <v>46402.0</v>
      </c>
      <c r="AB13" s="54" t="s">
        <v>668</v>
      </c>
      <c r="AC13" s="315">
        <v>46126.0</v>
      </c>
      <c r="AD13" s="54" t="s">
        <v>668</v>
      </c>
      <c r="AE13" s="57" t="s">
        <v>166</v>
      </c>
      <c r="AF13" s="57" t="s">
        <v>167</v>
      </c>
      <c r="AG13" s="265"/>
      <c r="AH13" s="265"/>
    </row>
    <row r="14" hidden="1">
      <c r="A14" s="9">
        <v>12.0</v>
      </c>
      <c r="B14" s="52" t="s">
        <v>35</v>
      </c>
      <c r="C14" s="11" t="s">
        <v>153</v>
      </c>
      <c r="D14" s="26" t="s">
        <v>36</v>
      </c>
      <c r="E14" s="19">
        <v>2022.0</v>
      </c>
      <c r="F14" s="19">
        <v>2022.0</v>
      </c>
      <c r="G14" s="11">
        <v>3.0</v>
      </c>
      <c r="H14" s="137" t="s">
        <v>317</v>
      </c>
      <c r="I14" s="19">
        <v>7960.0</v>
      </c>
      <c r="J14" s="11" t="s">
        <v>243</v>
      </c>
      <c r="K14" s="11" t="s">
        <v>160</v>
      </c>
      <c r="L14" s="11" t="s">
        <v>267</v>
      </c>
      <c r="M14" s="11">
        <v>2012.0</v>
      </c>
      <c r="N14" s="11">
        <v>13.0</v>
      </c>
      <c r="O14" s="11" t="s">
        <v>162</v>
      </c>
      <c r="P14" s="19" t="s">
        <v>163</v>
      </c>
      <c r="Q14" s="115" t="s">
        <v>318</v>
      </c>
      <c r="R14" s="115" t="s">
        <v>319</v>
      </c>
      <c r="S14" s="322">
        <v>46708.0</v>
      </c>
      <c r="T14" s="54" t="s">
        <v>668</v>
      </c>
      <c r="U14" s="323">
        <v>46343.0</v>
      </c>
      <c r="V14" s="54" t="s">
        <v>668</v>
      </c>
      <c r="W14" s="324">
        <v>46174.0</v>
      </c>
      <c r="X14" s="54" t="s">
        <v>668</v>
      </c>
      <c r="Y14" s="53">
        <v>46177.0</v>
      </c>
      <c r="Z14" s="54" t="s">
        <v>668</v>
      </c>
      <c r="AA14" s="53">
        <v>46339.0</v>
      </c>
      <c r="AB14" s="54" t="s">
        <v>668</v>
      </c>
      <c r="AC14" s="315">
        <v>46155.0</v>
      </c>
      <c r="AD14" s="54" t="s">
        <v>668</v>
      </c>
      <c r="AE14" s="57" t="s">
        <v>166</v>
      </c>
      <c r="AF14" s="57" t="s">
        <v>167</v>
      </c>
      <c r="AG14" s="265"/>
      <c r="AH14" s="265"/>
    </row>
    <row r="15" hidden="1">
      <c r="A15" s="9">
        <v>13.0</v>
      </c>
      <c r="B15" s="52" t="s">
        <v>38</v>
      </c>
      <c r="C15" s="9" t="s">
        <v>153</v>
      </c>
      <c r="D15" s="29" t="s">
        <v>39</v>
      </c>
      <c r="E15" s="22">
        <v>2023.0</v>
      </c>
      <c r="F15" s="22">
        <v>2023.0</v>
      </c>
      <c r="G15" s="11">
        <v>2.0</v>
      </c>
      <c r="H15" s="139" t="s">
        <v>309</v>
      </c>
      <c r="I15" s="19">
        <v>7685.0</v>
      </c>
      <c r="J15" s="11" t="s">
        <v>159</v>
      </c>
      <c r="K15" s="9" t="s">
        <v>160</v>
      </c>
      <c r="L15" s="11" t="s">
        <v>161</v>
      </c>
      <c r="M15" s="9">
        <v>2023.0</v>
      </c>
      <c r="N15" s="11">
        <v>2.0</v>
      </c>
      <c r="O15" s="9" t="s">
        <v>162</v>
      </c>
      <c r="P15" s="22" t="s">
        <v>163</v>
      </c>
      <c r="Q15" s="140" t="s">
        <v>320</v>
      </c>
      <c r="R15" s="140" t="s">
        <v>321</v>
      </c>
      <c r="S15" s="325">
        <v>46913.0</v>
      </c>
      <c r="T15" s="54" t="s">
        <v>668</v>
      </c>
      <c r="U15" s="324">
        <v>46182.0</v>
      </c>
      <c r="V15" s="54" t="s">
        <v>668</v>
      </c>
      <c r="W15" s="323">
        <v>46076.0</v>
      </c>
      <c r="X15" s="54" t="s">
        <v>668</v>
      </c>
      <c r="Y15" s="53">
        <v>46076.0</v>
      </c>
      <c r="Z15" s="54" t="s">
        <v>668</v>
      </c>
      <c r="AA15" s="53">
        <v>46669.0</v>
      </c>
      <c r="AB15" s="54" t="s">
        <v>668</v>
      </c>
      <c r="AC15" s="315">
        <v>46077.0</v>
      </c>
      <c r="AD15" s="54" t="s">
        <v>668</v>
      </c>
      <c r="AE15" s="96" t="s">
        <v>322</v>
      </c>
      <c r="AF15" s="57" t="s">
        <v>167</v>
      </c>
      <c r="AG15" s="265"/>
      <c r="AH15" s="265"/>
    </row>
    <row r="16" hidden="1">
      <c r="A16" s="9">
        <v>14.0</v>
      </c>
      <c r="B16" s="52" t="s">
        <v>41</v>
      </c>
      <c r="C16" s="22" t="s">
        <v>324</v>
      </c>
      <c r="D16" s="29" t="s">
        <v>39</v>
      </c>
      <c r="E16" s="22">
        <v>2022.0</v>
      </c>
      <c r="F16" s="22">
        <v>2023.0</v>
      </c>
      <c r="G16" s="11">
        <v>3.0</v>
      </c>
      <c r="H16" s="139" t="s">
        <v>325</v>
      </c>
      <c r="I16" s="22">
        <v>7684.0</v>
      </c>
      <c r="J16" s="11" t="s">
        <v>243</v>
      </c>
      <c r="K16" s="9" t="s">
        <v>160</v>
      </c>
      <c r="L16" s="11" t="s">
        <v>161</v>
      </c>
      <c r="M16" s="9">
        <v>2023.0</v>
      </c>
      <c r="N16" s="11">
        <v>2.0</v>
      </c>
      <c r="O16" s="22" t="s">
        <v>245</v>
      </c>
      <c r="P16" s="22" t="s">
        <v>163</v>
      </c>
      <c r="Q16" s="140" t="s">
        <v>326</v>
      </c>
      <c r="R16" s="140" t="s">
        <v>327</v>
      </c>
      <c r="S16" s="326">
        <v>46981.0</v>
      </c>
      <c r="T16" s="54" t="s">
        <v>668</v>
      </c>
      <c r="U16" s="323">
        <v>46250.0</v>
      </c>
      <c r="V16" s="54" t="s">
        <v>668</v>
      </c>
      <c r="W16" s="323">
        <v>46076.0</v>
      </c>
      <c r="X16" s="54" t="s">
        <v>668</v>
      </c>
      <c r="Y16" s="53">
        <v>46076.0</v>
      </c>
      <c r="Z16" s="54" t="s">
        <v>668</v>
      </c>
      <c r="AA16" s="53">
        <v>46684.0</v>
      </c>
      <c r="AB16" s="54" t="s">
        <v>668</v>
      </c>
      <c r="AC16" s="315">
        <v>46155.0</v>
      </c>
      <c r="AD16" s="54" t="s">
        <v>668</v>
      </c>
      <c r="AE16" s="96" t="s">
        <v>322</v>
      </c>
      <c r="AF16" s="57" t="s">
        <v>167</v>
      </c>
      <c r="AG16" s="265"/>
      <c r="AH16" s="265"/>
    </row>
    <row r="17" hidden="1">
      <c r="A17" s="9">
        <v>15.0</v>
      </c>
      <c r="B17" s="52" t="s">
        <v>44</v>
      </c>
      <c r="C17" s="22" t="s">
        <v>240</v>
      </c>
      <c r="D17" s="29" t="s">
        <v>39</v>
      </c>
      <c r="E17" s="22">
        <v>2018.0</v>
      </c>
      <c r="F17" s="22">
        <v>2018.0</v>
      </c>
      <c r="G17" s="11">
        <v>7.0</v>
      </c>
      <c r="H17" s="139" t="s">
        <v>329</v>
      </c>
      <c r="I17" s="22">
        <v>7698.0</v>
      </c>
      <c r="J17" s="11" t="s">
        <v>159</v>
      </c>
      <c r="K17" s="9" t="s">
        <v>316</v>
      </c>
      <c r="L17" s="11" t="s">
        <v>161</v>
      </c>
      <c r="M17" s="9">
        <v>2018.0</v>
      </c>
      <c r="N17" s="11">
        <v>7.0</v>
      </c>
      <c r="O17" s="22" t="s">
        <v>245</v>
      </c>
      <c r="P17" s="22" t="s">
        <v>199</v>
      </c>
      <c r="Q17" s="140" t="s">
        <v>330</v>
      </c>
      <c r="R17" s="140" t="s">
        <v>331</v>
      </c>
      <c r="S17" s="325">
        <v>46877.0</v>
      </c>
      <c r="T17" s="54" t="s">
        <v>668</v>
      </c>
      <c r="U17" s="324">
        <v>46146.0</v>
      </c>
      <c r="V17" s="54" t="s">
        <v>668</v>
      </c>
      <c r="W17" s="324">
        <v>46083.0</v>
      </c>
      <c r="X17" s="54" t="s">
        <v>668</v>
      </c>
      <c r="Y17" s="53">
        <v>46083.0</v>
      </c>
      <c r="Z17" s="54" t="s">
        <v>668</v>
      </c>
      <c r="AA17" s="53">
        <v>46234.0</v>
      </c>
      <c r="AB17" s="54" t="s">
        <v>668</v>
      </c>
      <c r="AC17" s="315">
        <v>46155.0</v>
      </c>
      <c r="AD17" s="54" t="s">
        <v>668</v>
      </c>
      <c r="AE17" s="96" t="s">
        <v>322</v>
      </c>
      <c r="AF17" s="57" t="s">
        <v>167</v>
      </c>
      <c r="AG17" s="265"/>
      <c r="AH17" s="265"/>
    </row>
    <row r="18" hidden="1">
      <c r="A18" s="9">
        <v>16.0</v>
      </c>
      <c r="B18" s="118" t="s">
        <v>46</v>
      </c>
      <c r="C18" s="11" t="s">
        <v>153</v>
      </c>
      <c r="D18" s="14" t="s">
        <v>47</v>
      </c>
      <c r="E18" s="11">
        <v>2022.0</v>
      </c>
      <c r="F18" s="11">
        <v>2022.0</v>
      </c>
      <c r="G18" s="11">
        <v>3.0</v>
      </c>
      <c r="H18" s="51" t="s">
        <v>309</v>
      </c>
      <c r="I18" s="11">
        <v>7684.0</v>
      </c>
      <c r="J18" s="11" t="s">
        <v>243</v>
      </c>
      <c r="K18" s="11" t="s">
        <v>160</v>
      </c>
      <c r="L18" s="11" t="s">
        <v>332</v>
      </c>
      <c r="M18" s="11">
        <v>2012.0</v>
      </c>
      <c r="N18" s="11">
        <v>13.0</v>
      </c>
      <c r="O18" s="11" t="s">
        <v>162</v>
      </c>
      <c r="P18" s="11" t="s">
        <v>163</v>
      </c>
      <c r="Q18" s="52" t="s">
        <v>333</v>
      </c>
      <c r="R18" s="52" t="s">
        <v>334</v>
      </c>
      <c r="S18" s="321">
        <v>46672.0</v>
      </c>
      <c r="T18" s="54" t="s">
        <v>668</v>
      </c>
      <c r="U18" s="317">
        <v>46307.0</v>
      </c>
      <c r="V18" s="54" t="s">
        <v>668</v>
      </c>
      <c r="W18" s="320">
        <v>46085.0</v>
      </c>
      <c r="X18" s="54" t="s">
        <v>668</v>
      </c>
      <c r="Y18" s="53">
        <v>46085.0</v>
      </c>
      <c r="Z18" s="54" t="s">
        <v>668</v>
      </c>
      <c r="AA18" s="53">
        <v>46437.0</v>
      </c>
      <c r="AB18" s="54" t="s">
        <v>668</v>
      </c>
      <c r="AC18" s="315">
        <v>46155.0</v>
      </c>
      <c r="AD18" s="54" t="s">
        <v>668</v>
      </c>
      <c r="AE18" s="57" t="s">
        <v>166</v>
      </c>
      <c r="AF18" s="57" t="s">
        <v>167</v>
      </c>
      <c r="AG18" s="265"/>
      <c r="AH18" s="265"/>
    </row>
    <row r="19" hidden="1">
      <c r="A19" s="9">
        <v>17.0</v>
      </c>
      <c r="B19" s="118" t="s">
        <v>51</v>
      </c>
      <c r="C19" s="11" t="s">
        <v>153</v>
      </c>
      <c r="D19" s="14" t="s">
        <v>47</v>
      </c>
      <c r="E19" s="11">
        <v>2023.0</v>
      </c>
      <c r="F19" s="11">
        <v>2023.0</v>
      </c>
      <c r="G19" s="11">
        <v>2.0</v>
      </c>
      <c r="H19" s="117" t="s">
        <v>336</v>
      </c>
      <c r="I19" s="11">
        <v>6374.0</v>
      </c>
      <c r="J19" s="11" t="s">
        <v>266</v>
      </c>
      <c r="K19" s="11" t="s">
        <v>160</v>
      </c>
      <c r="L19" s="11" t="s">
        <v>332</v>
      </c>
      <c r="M19" s="11">
        <v>2012.0</v>
      </c>
      <c r="N19" s="11">
        <v>13.0</v>
      </c>
      <c r="O19" s="11" t="s">
        <v>162</v>
      </c>
      <c r="P19" s="11" t="s">
        <v>270</v>
      </c>
      <c r="Q19" s="52" t="s">
        <v>337</v>
      </c>
      <c r="R19" s="52" t="s">
        <v>338</v>
      </c>
      <c r="S19" s="318">
        <v>46875.0</v>
      </c>
      <c r="T19" s="54" t="s">
        <v>668</v>
      </c>
      <c r="U19" s="320">
        <v>46144.0</v>
      </c>
      <c r="V19" s="54" t="s">
        <v>668</v>
      </c>
      <c r="W19" s="323">
        <v>46185.0</v>
      </c>
      <c r="X19" s="54" t="s">
        <v>668</v>
      </c>
      <c r="Y19" s="53">
        <v>46183.0</v>
      </c>
      <c r="Z19" s="54" t="s">
        <v>668</v>
      </c>
      <c r="AA19" s="53">
        <v>46586.0</v>
      </c>
      <c r="AB19" s="54" t="s">
        <v>668</v>
      </c>
      <c r="AC19" s="315">
        <v>46155.0</v>
      </c>
      <c r="AD19" s="54" t="s">
        <v>668</v>
      </c>
      <c r="AE19" s="57" t="s">
        <v>166</v>
      </c>
      <c r="AF19" s="57" t="s">
        <v>167</v>
      </c>
      <c r="AG19" s="265"/>
      <c r="AH19" s="265"/>
    </row>
    <row r="20" hidden="1">
      <c r="A20" s="9">
        <v>18.0</v>
      </c>
      <c r="B20" s="118" t="s">
        <v>53</v>
      </c>
      <c r="C20" s="11" t="s">
        <v>153</v>
      </c>
      <c r="D20" s="14" t="s">
        <v>47</v>
      </c>
      <c r="E20" s="11">
        <v>2023.0</v>
      </c>
      <c r="F20" s="11">
        <v>2023.0</v>
      </c>
      <c r="G20" s="11">
        <v>2.0</v>
      </c>
      <c r="H20" s="117" t="s">
        <v>336</v>
      </c>
      <c r="I20" s="11">
        <v>6374.0</v>
      </c>
      <c r="J20" s="11" t="s">
        <v>266</v>
      </c>
      <c r="K20" s="11" t="s">
        <v>160</v>
      </c>
      <c r="L20" s="11" t="s">
        <v>161</v>
      </c>
      <c r="M20" s="11">
        <v>2013.0</v>
      </c>
      <c r="N20" s="11">
        <v>12.0</v>
      </c>
      <c r="O20" s="11" t="s">
        <v>162</v>
      </c>
      <c r="P20" s="11" t="s">
        <v>270</v>
      </c>
      <c r="Q20" s="52" t="s">
        <v>340</v>
      </c>
      <c r="R20" s="52" t="s">
        <v>341</v>
      </c>
      <c r="S20" s="321">
        <v>47114.0</v>
      </c>
      <c r="T20" s="54" t="s">
        <v>668</v>
      </c>
      <c r="U20" s="317">
        <v>46383.0</v>
      </c>
      <c r="V20" s="54" t="s">
        <v>668</v>
      </c>
      <c r="W20" s="324">
        <v>46146.0</v>
      </c>
      <c r="X20" s="54" t="s">
        <v>668</v>
      </c>
      <c r="Y20" s="53">
        <v>46146.0</v>
      </c>
      <c r="Z20" s="54" t="s">
        <v>668</v>
      </c>
      <c r="AA20" s="53">
        <v>46178.0</v>
      </c>
      <c r="AB20" s="54" t="s">
        <v>668</v>
      </c>
      <c r="AC20" s="315">
        <v>46178.0</v>
      </c>
      <c r="AD20" s="54" t="s">
        <v>668</v>
      </c>
      <c r="AE20" s="57" t="s">
        <v>166</v>
      </c>
      <c r="AF20" s="57" t="s">
        <v>167</v>
      </c>
      <c r="AG20" s="265"/>
      <c r="AH20" s="265"/>
    </row>
    <row r="21" hidden="1">
      <c r="A21" s="9">
        <v>19.0</v>
      </c>
      <c r="B21" s="118" t="s">
        <v>54</v>
      </c>
      <c r="C21" s="11" t="s">
        <v>153</v>
      </c>
      <c r="D21" s="14" t="s">
        <v>47</v>
      </c>
      <c r="E21" s="11">
        <v>2023.0</v>
      </c>
      <c r="F21" s="11">
        <v>2023.0</v>
      </c>
      <c r="G21" s="11">
        <v>2.0</v>
      </c>
      <c r="H21" s="117" t="s">
        <v>336</v>
      </c>
      <c r="I21" s="11">
        <v>6374.0</v>
      </c>
      <c r="J21" s="11" t="s">
        <v>266</v>
      </c>
      <c r="K21" s="11" t="s">
        <v>160</v>
      </c>
      <c r="L21" s="11" t="s">
        <v>161</v>
      </c>
      <c r="M21" s="11">
        <v>2013.0</v>
      </c>
      <c r="N21" s="11">
        <v>12.0</v>
      </c>
      <c r="O21" s="11" t="s">
        <v>162</v>
      </c>
      <c r="P21" s="11" t="s">
        <v>270</v>
      </c>
      <c r="Q21" s="52" t="s">
        <v>343</v>
      </c>
      <c r="R21" s="52" t="s">
        <v>344</v>
      </c>
      <c r="S21" s="321">
        <v>47114.0</v>
      </c>
      <c r="T21" s="54" t="s">
        <v>668</v>
      </c>
      <c r="U21" s="317">
        <v>46383.0</v>
      </c>
      <c r="V21" s="54" t="s">
        <v>668</v>
      </c>
      <c r="W21" s="324">
        <v>46146.0</v>
      </c>
      <c r="X21" s="54" t="s">
        <v>668</v>
      </c>
      <c r="Y21" s="53">
        <v>46146.0</v>
      </c>
      <c r="Z21" s="54" t="s">
        <v>668</v>
      </c>
      <c r="AA21" s="53">
        <v>46180.0</v>
      </c>
      <c r="AB21" s="54" t="s">
        <v>668</v>
      </c>
      <c r="AC21" s="315">
        <v>46180.0</v>
      </c>
      <c r="AD21" s="54" t="s">
        <v>668</v>
      </c>
      <c r="AE21" s="57" t="s">
        <v>166</v>
      </c>
      <c r="AF21" s="57" t="s">
        <v>167</v>
      </c>
      <c r="AG21" s="265"/>
      <c r="AH21" s="265"/>
    </row>
    <row r="22" hidden="1">
      <c r="A22" s="9">
        <v>20.0</v>
      </c>
      <c r="B22" s="118" t="s">
        <v>55</v>
      </c>
      <c r="C22" s="9" t="s">
        <v>153</v>
      </c>
      <c r="D22" s="24" t="s">
        <v>47</v>
      </c>
      <c r="E22" s="9">
        <v>2024.0</v>
      </c>
      <c r="F22" s="9">
        <v>2024.0</v>
      </c>
      <c r="G22" s="11">
        <v>1.0</v>
      </c>
      <c r="H22" s="117" t="s">
        <v>336</v>
      </c>
      <c r="I22" s="9">
        <v>6374.0</v>
      </c>
      <c r="J22" s="11" t="s">
        <v>266</v>
      </c>
      <c r="K22" s="9" t="s">
        <v>160</v>
      </c>
      <c r="L22" s="11" t="s">
        <v>161</v>
      </c>
      <c r="M22" s="9">
        <v>2014.0</v>
      </c>
      <c r="N22" s="11">
        <v>11.0</v>
      </c>
      <c r="O22" s="9" t="s">
        <v>162</v>
      </c>
      <c r="P22" s="9" t="s">
        <v>270</v>
      </c>
      <c r="Q22" s="118" t="s">
        <v>346</v>
      </c>
      <c r="R22" s="118" t="s">
        <v>347</v>
      </c>
      <c r="S22" s="319">
        <v>47429.0</v>
      </c>
      <c r="T22" s="54" t="s">
        <v>668</v>
      </c>
      <c r="U22" s="320">
        <v>46333.0</v>
      </c>
      <c r="V22" s="54" t="s">
        <v>668</v>
      </c>
      <c r="W22" s="324">
        <v>46147.0</v>
      </c>
      <c r="X22" s="54" t="s">
        <v>668</v>
      </c>
      <c r="Y22" s="53">
        <v>46147.0</v>
      </c>
      <c r="Z22" s="54" t="s">
        <v>668</v>
      </c>
      <c r="AA22" s="53">
        <v>46351.0</v>
      </c>
      <c r="AB22" s="54" t="s">
        <v>668</v>
      </c>
      <c r="AC22" s="315">
        <v>46155.0</v>
      </c>
      <c r="AD22" s="54" t="s">
        <v>668</v>
      </c>
      <c r="AE22" s="57" t="s">
        <v>166</v>
      </c>
      <c r="AF22" s="57" t="s">
        <v>167</v>
      </c>
      <c r="AG22" s="265"/>
      <c r="AH22" s="265"/>
    </row>
    <row r="23" hidden="1">
      <c r="A23" s="9">
        <v>21.0</v>
      </c>
      <c r="B23" s="118" t="s">
        <v>56</v>
      </c>
      <c r="C23" s="9" t="s">
        <v>153</v>
      </c>
      <c r="D23" s="24" t="s">
        <v>47</v>
      </c>
      <c r="E23" s="9">
        <v>2024.0</v>
      </c>
      <c r="F23" s="9">
        <v>2024.0</v>
      </c>
      <c r="G23" s="11">
        <v>1.0</v>
      </c>
      <c r="H23" s="117" t="s">
        <v>336</v>
      </c>
      <c r="I23" s="9">
        <v>6374.0</v>
      </c>
      <c r="J23" s="11" t="s">
        <v>266</v>
      </c>
      <c r="K23" s="9" t="s">
        <v>160</v>
      </c>
      <c r="L23" s="11" t="s">
        <v>161</v>
      </c>
      <c r="M23" s="9">
        <v>2014.0</v>
      </c>
      <c r="N23" s="11">
        <v>11.0</v>
      </c>
      <c r="O23" s="9" t="s">
        <v>162</v>
      </c>
      <c r="P23" s="9" t="s">
        <v>270</v>
      </c>
      <c r="Q23" s="118" t="s">
        <v>349</v>
      </c>
      <c r="R23" s="118" t="s">
        <v>350</v>
      </c>
      <c r="S23" s="53">
        <v>47475.0</v>
      </c>
      <c r="T23" s="54" t="s">
        <v>668</v>
      </c>
      <c r="U23" s="317">
        <v>46379.0</v>
      </c>
      <c r="V23" s="54" t="s">
        <v>668</v>
      </c>
      <c r="W23" s="323">
        <v>46183.0</v>
      </c>
      <c r="X23" s="54" t="s">
        <v>668</v>
      </c>
      <c r="Y23" s="53">
        <v>46183.0</v>
      </c>
      <c r="Z23" s="54" t="s">
        <v>668</v>
      </c>
      <c r="AA23" s="53">
        <v>46429.0</v>
      </c>
      <c r="AB23" s="54" t="s">
        <v>668</v>
      </c>
      <c r="AC23" s="315">
        <v>46155.0</v>
      </c>
      <c r="AD23" s="54" t="s">
        <v>668</v>
      </c>
      <c r="AE23" s="57" t="s">
        <v>166</v>
      </c>
      <c r="AF23" s="57" t="s">
        <v>167</v>
      </c>
      <c r="AG23" s="265"/>
      <c r="AH23" s="265"/>
    </row>
    <row r="24" hidden="1">
      <c r="A24" s="9">
        <v>22.0</v>
      </c>
      <c r="B24" s="118" t="s">
        <v>57</v>
      </c>
      <c r="C24" s="9" t="s">
        <v>153</v>
      </c>
      <c r="D24" s="24" t="s">
        <v>47</v>
      </c>
      <c r="E24" s="9">
        <v>2024.0</v>
      </c>
      <c r="F24" s="9">
        <v>2024.0</v>
      </c>
      <c r="G24" s="11">
        <v>1.0</v>
      </c>
      <c r="H24" s="117" t="s">
        <v>336</v>
      </c>
      <c r="I24" s="9">
        <v>6374.0</v>
      </c>
      <c r="J24" s="11" t="s">
        <v>266</v>
      </c>
      <c r="K24" s="9" t="s">
        <v>160</v>
      </c>
      <c r="L24" s="11" t="s">
        <v>161</v>
      </c>
      <c r="M24" s="9">
        <v>2014.0</v>
      </c>
      <c r="N24" s="11">
        <v>11.0</v>
      </c>
      <c r="O24" s="9" t="s">
        <v>162</v>
      </c>
      <c r="P24" s="9" t="s">
        <v>270</v>
      </c>
      <c r="Q24" s="118" t="s">
        <v>356</v>
      </c>
      <c r="R24" s="39" t="s">
        <v>357</v>
      </c>
      <c r="S24" s="53">
        <v>47475.0</v>
      </c>
      <c r="T24" s="54" t="s">
        <v>668</v>
      </c>
      <c r="U24" s="317">
        <v>46379.0</v>
      </c>
      <c r="V24" s="54" t="s">
        <v>668</v>
      </c>
      <c r="W24" s="323">
        <v>46183.0</v>
      </c>
      <c r="X24" s="54" t="s">
        <v>668</v>
      </c>
      <c r="Y24" s="53">
        <v>46183.0</v>
      </c>
      <c r="Z24" s="54" t="s">
        <v>668</v>
      </c>
      <c r="AA24" s="53">
        <v>46430.0</v>
      </c>
      <c r="AB24" s="54" t="s">
        <v>668</v>
      </c>
      <c r="AC24" s="315">
        <v>46155.0</v>
      </c>
      <c r="AD24" s="54" t="s">
        <v>668</v>
      </c>
      <c r="AE24" s="57" t="s">
        <v>166</v>
      </c>
      <c r="AF24" s="57" t="s">
        <v>167</v>
      </c>
      <c r="AG24" s="265"/>
      <c r="AH24" s="265"/>
    </row>
    <row r="25" hidden="1">
      <c r="A25" s="9">
        <v>23.0</v>
      </c>
      <c r="B25" s="118" t="s">
        <v>58</v>
      </c>
      <c r="C25" s="9" t="s">
        <v>153</v>
      </c>
      <c r="D25" s="24" t="s">
        <v>47</v>
      </c>
      <c r="E25" s="9">
        <v>2024.0</v>
      </c>
      <c r="F25" s="9">
        <v>2024.0</v>
      </c>
      <c r="G25" s="11">
        <v>1.0</v>
      </c>
      <c r="H25" s="117" t="s">
        <v>336</v>
      </c>
      <c r="I25" s="9">
        <v>6374.0</v>
      </c>
      <c r="J25" s="11" t="s">
        <v>266</v>
      </c>
      <c r="K25" s="9" t="s">
        <v>160</v>
      </c>
      <c r="L25" s="11" t="s">
        <v>161</v>
      </c>
      <c r="M25" s="9">
        <v>2014.0</v>
      </c>
      <c r="N25" s="11">
        <v>11.0</v>
      </c>
      <c r="O25" s="9" t="s">
        <v>162</v>
      </c>
      <c r="P25" s="9" t="s">
        <v>270</v>
      </c>
      <c r="Q25" s="118" t="s">
        <v>361</v>
      </c>
      <c r="R25" s="118" t="s">
        <v>362</v>
      </c>
      <c r="S25" s="53">
        <v>47475.0</v>
      </c>
      <c r="T25" s="54" t="s">
        <v>668</v>
      </c>
      <c r="U25" s="317">
        <v>46379.0</v>
      </c>
      <c r="V25" s="54" t="s">
        <v>668</v>
      </c>
      <c r="W25" s="324">
        <v>46146.0</v>
      </c>
      <c r="X25" s="54" t="s">
        <v>668</v>
      </c>
      <c r="Y25" s="53">
        <v>46146.0</v>
      </c>
      <c r="Z25" s="54" t="s">
        <v>668</v>
      </c>
      <c r="AA25" s="53">
        <v>46452.0</v>
      </c>
      <c r="AB25" s="54" t="s">
        <v>668</v>
      </c>
      <c r="AC25" s="315">
        <v>46155.0</v>
      </c>
      <c r="AD25" s="54" t="s">
        <v>668</v>
      </c>
      <c r="AE25" s="57" t="s">
        <v>166</v>
      </c>
      <c r="AF25" s="57" t="s">
        <v>167</v>
      </c>
      <c r="AG25" s="265"/>
      <c r="AH25" s="265"/>
    </row>
    <row r="26">
      <c r="A26" s="9">
        <v>2.0</v>
      </c>
      <c r="B26" s="9" t="s">
        <v>358</v>
      </c>
      <c r="C26" s="22" t="s">
        <v>240</v>
      </c>
      <c r="D26" s="22" t="s">
        <v>142</v>
      </c>
      <c r="E26" s="22">
        <v>2016.0</v>
      </c>
      <c r="F26" s="22">
        <v>2017.0</v>
      </c>
      <c r="G26" s="9">
        <v>9.0</v>
      </c>
      <c r="H26" s="139" t="s">
        <v>678</v>
      </c>
      <c r="I26" s="22">
        <v>7790.0</v>
      </c>
      <c r="J26" s="9" t="s">
        <v>159</v>
      </c>
      <c r="K26" s="9" t="s">
        <v>160</v>
      </c>
      <c r="L26" s="22" t="s">
        <v>332</v>
      </c>
      <c r="M26" s="22">
        <v>2016.0</v>
      </c>
      <c r="N26" s="9">
        <v>9.0</v>
      </c>
      <c r="O26" s="22" t="s">
        <v>245</v>
      </c>
      <c r="P26" s="22" t="s">
        <v>467</v>
      </c>
      <c r="Q26" s="22" t="s">
        <v>680</v>
      </c>
      <c r="R26" s="22" t="s">
        <v>681</v>
      </c>
      <c r="S26" s="326">
        <v>46417.0</v>
      </c>
      <c r="T26" s="314" t="s">
        <v>668</v>
      </c>
      <c r="U26" s="326">
        <v>46052.0</v>
      </c>
      <c r="V26" s="314" t="s">
        <v>669</v>
      </c>
      <c r="W26" s="325">
        <v>46062.0</v>
      </c>
      <c r="X26" s="314" t="s">
        <v>668</v>
      </c>
      <c r="Y26" s="53">
        <v>46062.0</v>
      </c>
      <c r="Z26" s="314" t="s">
        <v>668</v>
      </c>
      <c r="AA26" s="53">
        <v>46065.0</v>
      </c>
      <c r="AB26" s="314" t="s">
        <v>668</v>
      </c>
      <c r="AC26" s="315">
        <v>46077.0</v>
      </c>
      <c r="AD26" s="314" t="s">
        <v>668</v>
      </c>
      <c r="AE26" s="155" t="s">
        <v>166</v>
      </c>
      <c r="AF26" s="155" t="s">
        <v>167</v>
      </c>
      <c r="AG26" s="316"/>
      <c r="AH26" s="316"/>
    </row>
    <row r="27">
      <c r="A27" s="9">
        <v>3.0</v>
      </c>
      <c r="B27" s="9" t="s">
        <v>359</v>
      </c>
      <c r="C27" s="22" t="s">
        <v>240</v>
      </c>
      <c r="D27" s="22" t="s">
        <v>142</v>
      </c>
      <c r="E27" s="22">
        <v>2016.0</v>
      </c>
      <c r="F27" s="22">
        <v>2017.0</v>
      </c>
      <c r="G27" s="9">
        <v>9.0</v>
      </c>
      <c r="H27" s="139" t="s">
        <v>678</v>
      </c>
      <c r="I27" s="22">
        <v>7790.0</v>
      </c>
      <c r="J27" s="9" t="s">
        <v>159</v>
      </c>
      <c r="K27" s="9" t="s">
        <v>160</v>
      </c>
      <c r="L27" s="22" t="s">
        <v>332</v>
      </c>
      <c r="M27" s="22">
        <v>2016.0</v>
      </c>
      <c r="N27" s="9">
        <v>9.0</v>
      </c>
      <c r="O27" s="22" t="s">
        <v>245</v>
      </c>
      <c r="P27" s="22" t="s">
        <v>467</v>
      </c>
      <c r="Q27" s="22" t="s">
        <v>682</v>
      </c>
      <c r="R27" s="22" t="s">
        <v>681</v>
      </c>
      <c r="S27" s="326">
        <v>46417.0</v>
      </c>
      <c r="T27" s="314" t="s">
        <v>668</v>
      </c>
      <c r="U27" s="326">
        <v>46052.0</v>
      </c>
      <c r="V27" s="314" t="s">
        <v>669</v>
      </c>
      <c r="W27" s="325">
        <v>46062.0</v>
      </c>
      <c r="X27" s="314" t="s">
        <v>668</v>
      </c>
      <c r="Y27" s="53">
        <v>46062.0</v>
      </c>
      <c r="Z27" s="314" t="s">
        <v>668</v>
      </c>
      <c r="AA27" s="53">
        <v>46438.0</v>
      </c>
      <c r="AB27" s="314" t="s">
        <v>668</v>
      </c>
      <c r="AC27" s="315">
        <v>46155.0</v>
      </c>
      <c r="AD27" s="314" t="s">
        <v>668</v>
      </c>
      <c r="AE27" s="155" t="s">
        <v>166</v>
      </c>
      <c r="AF27" s="155" t="s">
        <v>167</v>
      </c>
      <c r="AG27" s="316"/>
      <c r="AH27" s="316"/>
    </row>
    <row r="28">
      <c r="A28" s="9">
        <v>4.0</v>
      </c>
      <c r="B28" s="9" t="s">
        <v>699</v>
      </c>
      <c r="C28" s="9" t="s">
        <v>153</v>
      </c>
      <c r="D28" s="9" t="s">
        <v>47</v>
      </c>
      <c r="E28" s="9">
        <v>2015.0</v>
      </c>
      <c r="F28" s="9">
        <v>2015.0</v>
      </c>
      <c r="G28" s="9">
        <v>10.0</v>
      </c>
      <c r="H28" s="117" t="s">
        <v>700</v>
      </c>
      <c r="I28" s="9">
        <v>7684.0</v>
      </c>
      <c r="J28" s="9" t="s">
        <v>159</v>
      </c>
      <c r="K28" s="9" t="s">
        <v>160</v>
      </c>
      <c r="L28" s="9" t="s">
        <v>161</v>
      </c>
      <c r="M28" s="9">
        <v>2015.0</v>
      </c>
      <c r="N28" s="9">
        <v>10.0</v>
      </c>
      <c r="O28" s="9" t="s">
        <v>162</v>
      </c>
      <c r="P28" s="9" t="s">
        <v>163</v>
      </c>
      <c r="Q28" s="9" t="s">
        <v>701</v>
      </c>
      <c r="R28" s="9" t="s">
        <v>702</v>
      </c>
      <c r="S28" s="53">
        <v>47846.0</v>
      </c>
      <c r="T28" s="314" t="s">
        <v>668</v>
      </c>
      <c r="U28" s="53">
        <v>46385.0</v>
      </c>
      <c r="V28" s="314" t="s">
        <v>668</v>
      </c>
      <c r="W28" s="325">
        <v>46145.0</v>
      </c>
      <c r="X28" s="314" t="s">
        <v>668</v>
      </c>
      <c r="Y28" s="53">
        <v>46145.0</v>
      </c>
      <c r="Z28" s="314" t="s">
        <v>668</v>
      </c>
      <c r="AA28" s="53">
        <v>46319.0</v>
      </c>
      <c r="AB28" s="314" t="s">
        <v>668</v>
      </c>
      <c r="AC28" s="315">
        <v>46124.0</v>
      </c>
      <c r="AD28" s="314" t="s">
        <v>668</v>
      </c>
      <c r="AE28" s="155" t="s">
        <v>166</v>
      </c>
      <c r="AF28" s="155" t="s">
        <v>167</v>
      </c>
      <c r="AG28" s="316"/>
      <c r="AH28" s="316"/>
    </row>
    <row r="29" hidden="1">
      <c r="A29" s="9">
        <v>27.0</v>
      </c>
      <c r="B29" s="52" t="s">
        <v>66</v>
      </c>
      <c r="C29" s="11" t="s">
        <v>153</v>
      </c>
      <c r="D29" s="14" t="s">
        <v>47</v>
      </c>
      <c r="E29" s="11">
        <v>2025.0</v>
      </c>
      <c r="F29" s="11">
        <v>2025.0</v>
      </c>
      <c r="G29" s="11">
        <v>0.0</v>
      </c>
      <c r="H29" s="51" t="s">
        <v>373</v>
      </c>
      <c r="I29" s="11">
        <v>6374.0</v>
      </c>
      <c r="J29" s="11" t="s">
        <v>266</v>
      </c>
      <c r="K29" s="11" t="s">
        <v>160</v>
      </c>
      <c r="L29" s="11" t="s">
        <v>161</v>
      </c>
      <c r="M29" s="11">
        <v>2015.0</v>
      </c>
      <c r="N29" s="11">
        <v>10.0</v>
      </c>
      <c r="O29" s="11" t="s">
        <v>162</v>
      </c>
      <c r="P29" s="11" t="s">
        <v>270</v>
      </c>
      <c r="Q29" s="52" t="s">
        <v>374</v>
      </c>
      <c r="R29" s="52" t="s">
        <v>375</v>
      </c>
      <c r="S29" s="321">
        <v>47625.0</v>
      </c>
      <c r="T29" s="54" t="s">
        <v>668</v>
      </c>
      <c r="U29" s="317">
        <v>46164.0</v>
      </c>
      <c r="V29" s="54" t="s">
        <v>668</v>
      </c>
      <c r="W29" s="324">
        <v>46147.0</v>
      </c>
      <c r="X29" s="54" t="s">
        <v>668</v>
      </c>
      <c r="Y29" s="317">
        <v>46154.0</v>
      </c>
      <c r="Z29" s="54" t="s">
        <v>668</v>
      </c>
      <c r="AA29" s="53">
        <v>46571.0</v>
      </c>
      <c r="AB29" s="54" t="s">
        <v>668</v>
      </c>
      <c r="AC29" s="315">
        <v>46155.0</v>
      </c>
      <c r="AD29" s="54" t="s">
        <v>668</v>
      </c>
      <c r="AE29" s="57" t="s">
        <v>166</v>
      </c>
      <c r="AF29" s="57" t="s">
        <v>167</v>
      </c>
      <c r="AG29" s="265"/>
      <c r="AH29" s="265"/>
    </row>
    <row r="30" hidden="1">
      <c r="A30" s="9">
        <v>28.0</v>
      </c>
      <c r="B30" s="52" t="s">
        <v>68</v>
      </c>
      <c r="C30" s="11" t="s">
        <v>153</v>
      </c>
      <c r="D30" s="14" t="s">
        <v>47</v>
      </c>
      <c r="E30" s="11">
        <v>2025.0</v>
      </c>
      <c r="F30" s="11">
        <v>2025.0</v>
      </c>
      <c r="G30" s="11">
        <v>0.0</v>
      </c>
      <c r="H30" s="51" t="s">
        <v>373</v>
      </c>
      <c r="I30" s="11">
        <v>6374.0</v>
      </c>
      <c r="J30" s="11" t="s">
        <v>266</v>
      </c>
      <c r="K30" s="11" t="s">
        <v>160</v>
      </c>
      <c r="L30" s="11" t="s">
        <v>161</v>
      </c>
      <c r="M30" s="11">
        <v>2015.0</v>
      </c>
      <c r="N30" s="11">
        <v>10.0</v>
      </c>
      <c r="O30" s="11" t="s">
        <v>162</v>
      </c>
      <c r="P30" s="11" t="s">
        <v>270</v>
      </c>
      <c r="Q30" s="52" t="s">
        <v>377</v>
      </c>
      <c r="R30" s="52" t="s">
        <v>378</v>
      </c>
      <c r="S30" s="321">
        <v>47625.0</v>
      </c>
      <c r="T30" s="54" t="s">
        <v>668</v>
      </c>
      <c r="U30" s="317">
        <v>46164.0</v>
      </c>
      <c r="V30" s="54" t="s">
        <v>668</v>
      </c>
      <c r="W30" s="324">
        <v>46147.0</v>
      </c>
      <c r="X30" s="54" t="s">
        <v>668</v>
      </c>
      <c r="Y30" s="317">
        <v>46154.0</v>
      </c>
      <c r="Z30" s="54" t="s">
        <v>668</v>
      </c>
      <c r="AA30" s="53">
        <v>46575.0</v>
      </c>
      <c r="AB30" s="54" t="s">
        <v>668</v>
      </c>
      <c r="AC30" s="315">
        <v>46155.0</v>
      </c>
      <c r="AD30" s="54" t="s">
        <v>668</v>
      </c>
      <c r="AE30" s="57" t="s">
        <v>166</v>
      </c>
      <c r="AF30" s="57" t="s">
        <v>167</v>
      </c>
      <c r="AG30" s="265"/>
      <c r="AH30" s="265"/>
    </row>
    <row r="31" hidden="1">
      <c r="A31" s="9">
        <v>29.0</v>
      </c>
      <c r="B31" s="52" t="s">
        <v>69</v>
      </c>
      <c r="C31" s="11" t="s">
        <v>153</v>
      </c>
      <c r="D31" s="14" t="s">
        <v>47</v>
      </c>
      <c r="E31" s="11">
        <v>2025.0</v>
      </c>
      <c r="F31" s="11">
        <v>2025.0</v>
      </c>
      <c r="G31" s="11">
        <v>0.0</v>
      </c>
      <c r="H31" s="51" t="s">
        <v>373</v>
      </c>
      <c r="I31" s="11">
        <v>6374.0</v>
      </c>
      <c r="J31" s="11" t="s">
        <v>266</v>
      </c>
      <c r="K31" s="11" t="s">
        <v>160</v>
      </c>
      <c r="L31" s="11" t="s">
        <v>161</v>
      </c>
      <c r="M31" s="11">
        <v>2015.0</v>
      </c>
      <c r="N31" s="11">
        <v>10.0</v>
      </c>
      <c r="O31" s="11" t="s">
        <v>162</v>
      </c>
      <c r="P31" s="11" t="s">
        <v>270</v>
      </c>
      <c r="Q31" s="52" t="s">
        <v>380</v>
      </c>
      <c r="R31" s="52" t="s">
        <v>381</v>
      </c>
      <c r="S31" s="321">
        <v>47625.0</v>
      </c>
      <c r="T31" s="54" t="s">
        <v>668</v>
      </c>
      <c r="U31" s="317">
        <v>46164.0</v>
      </c>
      <c r="V31" s="54" t="s">
        <v>668</v>
      </c>
      <c r="W31" s="324">
        <v>46147.0</v>
      </c>
      <c r="X31" s="54" t="s">
        <v>668</v>
      </c>
      <c r="Y31" s="317">
        <v>46154.0</v>
      </c>
      <c r="Z31" s="54" t="s">
        <v>668</v>
      </c>
      <c r="AA31" s="53">
        <v>46570.0</v>
      </c>
      <c r="AB31" s="54" t="s">
        <v>668</v>
      </c>
      <c r="AC31" s="315">
        <v>46155.0</v>
      </c>
      <c r="AD31" s="54" t="s">
        <v>668</v>
      </c>
      <c r="AE31" s="57" t="s">
        <v>166</v>
      </c>
      <c r="AF31" s="57" t="s">
        <v>167</v>
      </c>
      <c r="AG31" s="265"/>
      <c r="AH31" s="265"/>
    </row>
    <row r="32" hidden="1">
      <c r="A32" s="9">
        <v>30.0</v>
      </c>
      <c r="B32" s="52" t="s">
        <v>70</v>
      </c>
      <c r="C32" s="11" t="s">
        <v>153</v>
      </c>
      <c r="D32" s="14" t="s">
        <v>47</v>
      </c>
      <c r="E32" s="11">
        <v>2025.0</v>
      </c>
      <c r="F32" s="11">
        <v>2025.0</v>
      </c>
      <c r="G32" s="11">
        <v>0.0</v>
      </c>
      <c r="H32" s="51" t="s">
        <v>373</v>
      </c>
      <c r="I32" s="11">
        <v>6374.0</v>
      </c>
      <c r="J32" s="11" t="s">
        <v>266</v>
      </c>
      <c r="K32" s="11" t="s">
        <v>160</v>
      </c>
      <c r="L32" s="11" t="s">
        <v>161</v>
      </c>
      <c r="M32" s="11">
        <v>2015.0</v>
      </c>
      <c r="N32" s="11">
        <v>10.0</v>
      </c>
      <c r="O32" s="11" t="s">
        <v>162</v>
      </c>
      <c r="P32" s="11" t="s">
        <v>270</v>
      </c>
      <c r="Q32" s="52">
        <v>4.00963001792246E14</v>
      </c>
      <c r="R32" s="52" t="s">
        <v>383</v>
      </c>
      <c r="S32" s="321">
        <v>47716.0</v>
      </c>
      <c r="T32" s="54" t="s">
        <v>668</v>
      </c>
      <c r="U32" s="317">
        <v>46255.0</v>
      </c>
      <c r="V32" s="54" t="s">
        <v>668</v>
      </c>
      <c r="W32" s="324">
        <v>46085.0</v>
      </c>
      <c r="X32" s="54" t="s">
        <v>668</v>
      </c>
      <c r="Y32" s="317">
        <v>46092.0</v>
      </c>
      <c r="Z32" s="54" t="s">
        <v>668</v>
      </c>
      <c r="AA32" s="53">
        <v>46688.0</v>
      </c>
      <c r="AB32" s="54" t="s">
        <v>668</v>
      </c>
      <c r="AC32" s="315">
        <v>46145.0</v>
      </c>
      <c r="AD32" s="54" t="s">
        <v>668</v>
      </c>
      <c r="AE32" s="57" t="s">
        <v>166</v>
      </c>
      <c r="AF32" s="57" t="s">
        <v>167</v>
      </c>
      <c r="AG32" s="265"/>
      <c r="AH32" s="265"/>
    </row>
    <row r="33" hidden="1">
      <c r="A33" s="9">
        <v>31.0</v>
      </c>
      <c r="B33" s="52" t="s">
        <v>71</v>
      </c>
      <c r="C33" s="11" t="s">
        <v>153</v>
      </c>
      <c r="D33" s="14" t="s">
        <v>47</v>
      </c>
      <c r="E33" s="11">
        <v>2025.0</v>
      </c>
      <c r="F33" s="11">
        <v>2025.0</v>
      </c>
      <c r="G33" s="11">
        <v>0.0</v>
      </c>
      <c r="H33" s="51" t="s">
        <v>373</v>
      </c>
      <c r="I33" s="11">
        <v>6374.0</v>
      </c>
      <c r="J33" s="11" t="s">
        <v>266</v>
      </c>
      <c r="K33" s="11" t="s">
        <v>160</v>
      </c>
      <c r="L33" s="11" t="s">
        <v>161</v>
      </c>
      <c r="M33" s="11">
        <v>2014.0</v>
      </c>
      <c r="N33" s="11">
        <v>11.0</v>
      </c>
      <c r="O33" s="46" t="s">
        <v>162</v>
      </c>
      <c r="P33" s="11" t="s">
        <v>270</v>
      </c>
      <c r="Q33" s="52" t="s">
        <v>385</v>
      </c>
      <c r="R33" s="52" t="s">
        <v>386</v>
      </c>
      <c r="S33" s="321">
        <v>47779.0</v>
      </c>
      <c r="T33" s="54" t="s">
        <v>668</v>
      </c>
      <c r="U33" s="321">
        <v>46318.0</v>
      </c>
      <c r="V33" s="54" t="s">
        <v>668</v>
      </c>
      <c r="W33" s="324">
        <v>46162.0</v>
      </c>
      <c r="X33" s="54" t="s">
        <v>668</v>
      </c>
      <c r="Y33" s="324">
        <v>46169.0</v>
      </c>
      <c r="Z33" s="54" t="s">
        <v>668</v>
      </c>
      <c r="AA33" s="53">
        <v>46719.0</v>
      </c>
      <c r="AB33" s="54" t="s">
        <v>668</v>
      </c>
      <c r="AC33" s="315">
        <v>46190.0</v>
      </c>
      <c r="AD33" s="54" t="s">
        <v>668</v>
      </c>
      <c r="AE33" s="57" t="s">
        <v>166</v>
      </c>
      <c r="AF33" s="57" t="s">
        <v>167</v>
      </c>
      <c r="AG33" s="265"/>
      <c r="AH33" s="265"/>
    </row>
    <row r="34" hidden="1">
      <c r="A34" s="9">
        <v>32.0</v>
      </c>
      <c r="B34" s="52" t="s">
        <v>72</v>
      </c>
      <c r="C34" s="11" t="s">
        <v>153</v>
      </c>
      <c r="D34" s="14" t="s">
        <v>47</v>
      </c>
      <c r="E34" s="11">
        <v>2025.0</v>
      </c>
      <c r="F34" s="11">
        <v>2025.0</v>
      </c>
      <c r="G34" s="11">
        <v>0.0</v>
      </c>
      <c r="H34" s="51" t="s">
        <v>373</v>
      </c>
      <c r="I34" s="11">
        <v>6374.0</v>
      </c>
      <c r="J34" s="11" t="s">
        <v>266</v>
      </c>
      <c r="K34" s="11" t="s">
        <v>160</v>
      </c>
      <c r="L34" s="11" t="s">
        <v>161</v>
      </c>
      <c r="M34" s="11">
        <v>2015.0</v>
      </c>
      <c r="N34" s="11">
        <v>10.0</v>
      </c>
      <c r="O34" s="46" t="s">
        <v>162</v>
      </c>
      <c r="P34" s="11" t="s">
        <v>270</v>
      </c>
      <c r="Q34" s="52" t="s">
        <v>390</v>
      </c>
      <c r="R34" s="52" t="s">
        <v>391</v>
      </c>
      <c r="S34" s="321">
        <v>47779.0</v>
      </c>
      <c r="T34" s="54" t="s">
        <v>668</v>
      </c>
      <c r="U34" s="321">
        <v>46318.0</v>
      </c>
      <c r="V34" s="54" t="s">
        <v>668</v>
      </c>
      <c r="W34" s="324">
        <v>46162.0</v>
      </c>
      <c r="X34" s="54" t="s">
        <v>668</v>
      </c>
      <c r="Y34" s="324">
        <v>46169.0</v>
      </c>
      <c r="Z34" s="54" t="s">
        <v>668</v>
      </c>
      <c r="AA34" s="53">
        <v>46717.0</v>
      </c>
      <c r="AB34" s="54" t="s">
        <v>668</v>
      </c>
      <c r="AC34" s="315">
        <v>46190.0</v>
      </c>
      <c r="AD34" s="54" t="s">
        <v>668</v>
      </c>
      <c r="AE34" s="57" t="s">
        <v>166</v>
      </c>
      <c r="AF34" s="57" t="s">
        <v>167</v>
      </c>
      <c r="AG34" s="265"/>
      <c r="AH34" s="265"/>
    </row>
    <row r="35" hidden="1">
      <c r="A35" s="9">
        <v>33.0</v>
      </c>
      <c r="B35" s="52" t="s">
        <v>73</v>
      </c>
      <c r="C35" s="11" t="s">
        <v>153</v>
      </c>
      <c r="D35" s="14" t="s">
        <v>47</v>
      </c>
      <c r="E35" s="11">
        <v>2025.0</v>
      </c>
      <c r="F35" s="11">
        <v>2025.0</v>
      </c>
      <c r="G35" s="11">
        <v>0.0</v>
      </c>
      <c r="H35" s="51" t="s">
        <v>373</v>
      </c>
      <c r="I35" s="11">
        <v>6374.0</v>
      </c>
      <c r="J35" s="11" t="s">
        <v>266</v>
      </c>
      <c r="K35" s="11" t="s">
        <v>160</v>
      </c>
      <c r="L35" s="11" t="s">
        <v>161</v>
      </c>
      <c r="M35" s="11">
        <v>2015.0</v>
      </c>
      <c r="N35" s="11">
        <v>10.0</v>
      </c>
      <c r="O35" s="46" t="s">
        <v>162</v>
      </c>
      <c r="P35" s="11" t="s">
        <v>270</v>
      </c>
      <c r="Q35" s="52" t="s">
        <v>393</v>
      </c>
      <c r="R35" s="52" t="s">
        <v>394</v>
      </c>
      <c r="S35" s="321">
        <v>47779.0</v>
      </c>
      <c r="T35" s="54" t="s">
        <v>668</v>
      </c>
      <c r="U35" s="321">
        <v>46318.0</v>
      </c>
      <c r="V35" s="54" t="s">
        <v>668</v>
      </c>
      <c r="W35" s="324">
        <v>46162.0</v>
      </c>
      <c r="X35" s="54" t="s">
        <v>668</v>
      </c>
      <c r="Y35" s="324">
        <v>46169.0</v>
      </c>
      <c r="Z35" s="54" t="s">
        <v>668</v>
      </c>
      <c r="AA35" s="53">
        <v>46718.0</v>
      </c>
      <c r="AB35" s="54" t="s">
        <v>668</v>
      </c>
      <c r="AC35" s="315">
        <v>46190.0</v>
      </c>
      <c r="AD35" s="54" t="s">
        <v>668</v>
      </c>
      <c r="AE35" s="57" t="s">
        <v>166</v>
      </c>
      <c r="AF35" s="57" t="s">
        <v>167</v>
      </c>
      <c r="AG35" s="265"/>
      <c r="AH35" s="265"/>
    </row>
    <row r="36" hidden="1">
      <c r="A36" s="9">
        <v>34.0</v>
      </c>
      <c r="B36" s="52" t="s">
        <v>74</v>
      </c>
      <c r="C36" s="11" t="s">
        <v>153</v>
      </c>
      <c r="D36" s="14" t="s">
        <v>47</v>
      </c>
      <c r="E36" s="11">
        <v>2025.0</v>
      </c>
      <c r="F36" s="11">
        <v>2025.0</v>
      </c>
      <c r="G36" s="11">
        <v>0.0</v>
      </c>
      <c r="H36" s="51" t="s">
        <v>373</v>
      </c>
      <c r="I36" s="11">
        <v>6374.0</v>
      </c>
      <c r="J36" s="11" t="s">
        <v>266</v>
      </c>
      <c r="K36" s="11" t="s">
        <v>160</v>
      </c>
      <c r="L36" s="11" t="s">
        <v>161</v>
      </c>
      <c r="M36" s="11">
        <v>2015.0</v>
      </c>
      <c r="N36" s="11">
        <v>10.0</v>
      </c>
      <c r="O36" s="46" t="s">
        <v>162</v>
      </c>
      <c r="P36" s="11" t="s">
        <v>270</v>
      </c>
      <c r="Q36" s="52">
        <v>4.009530019504E13</v>
      </c>
      <c r="R36" s="52" t="s">
        <v>397</v>
      </c>
      <c r="S36" s="321">
        <v>47801.0</v>
      </c>
      <c r="T36" s="54" t="s">
        <v>668</v>
      </c>
      <c r="U36" s="321">
        <v>46340.0</v>
      </c>
      <c r="V36" s="54" t="s">
        <v>668</v>
      </c>
      <c r="W36" s="324">
        <v>46170.0</v>
      </c>
      <c r="X36" s="54" t="s">
        <v>668</v>
      </c>
      <c r="Y36" s="324">
        <v>46177.0</v>
      </c>
      <c r="Z36" s="54" t="s">
        <v>668</v>
      </c>
      <c r="AA36" s="53">
        <v>46723.0</v>
      </c>
      <c r="AB36" s="54" t="s">
        <v>668</v>
      </c>
      <c r="AC36" s="315">
        <v>46190.0</v>
      </c>
      <c r="AD36" s="54" t="s">
        <v>668</v>
      </c>
      <c r="AE36" s="57" t="s">
        <v>166</v>
      </c>
      <c r="AF36" s="57" t="s">
        <v>167</v>
      </c>
      <c r="AG36" s="265"/>
      <c r="AH36" s="265"/>
    </row>
    <row r="37" hidden="1">
      <c r="A37" s="9">
        <v>35.0</v>
      </c>
      <c r="B37" s="52" t="s">
        <v>75</v>
      </c>
      <c r="C37" s="11" t="s">
        <v>153</v>
      </c>
      <c r="D37" s="14" t="s">
        <v>47</v>
      </c>
      <c r="E37" s="11">
        <v>2025.0</v>
      </c>
      <c r="F37" s="11">
        <v>2025.0</v>
      </c>
      <c r="G37" s="11">
        <v>0.0</v>
      </c>
      <c r="H37" s="51" t="s">
        <v>373</v>
      </c>
      <c r="I37" s="11">
        <v>6374.0</v>
      </c>
      <c r="J37" s="11" t="s">
        <v>266</v>
      </c>
      <c r="K37" s="11" t="s">
        <v>160</v>
      </c>
      <c r="L37" s="11" t="s">
        <v>161</v>
      </c>
      <c r="M37" s="11">
        <v>2015.0</v>
      </c>
      <c r="N37" s="11">
        <v>10.0</v>
      </c>
      <c r="O37" s="46" t="s">
        <v>162</v>
      </c>
      <c r="P37" s="11" t="s">
        <v>270</v>
      </c>
      <c r="Q37" s="52" t="s">
        <v>399</v>
      </c>
      <c r="R37" s="52" t="s">
        <v>400</v>
      </c>
      <c r="S37" s="321">
        <v>47801.0</v>
      </c>
      <c r="T37" s="54" t="s">
        <v>668</v>
      </c>
      <c r="U37" s="321">
        <v>46340.0</v>
      </c>
      <c r="V37" s="54" t="s">
        <v>668</v>
      </c>
      <c r="W37" s="324">
        <v>46170.0</v>
      </c>
      <c r="X37" s="54" t="s">
        <v>668</v>
      </c>
      <c r="Y37" s="324">
        <v>46177.0</v>
      </c>
      <c r="Z37" s="54" t="s">
        <v>668</v>
      </c>
      <c r="AA37" s="53">
        <v>46724.0</v>
      </c>
      <c r="AB37" s="54" t="s">
        <v>668</v>
      </c>
      <c r="AC37" s="315">
        <v>46190.0</v>
      </c>
      <c r="AD37" s="54" t="s">
        <v>668</v>
      </c>
      <c r="AE37" s="57" t="s">
        <v>166</v>
      </c>
      <c r="AF37" s="57" t="s">
        <v>167</v>
      </c>
      <c r="AG37" s="265"/>
      <c r="AH37" s="265"/>
    </row>
    <row r="38" hidden="1">
      <c r="A38" s="9">
        <v>36.0</v>
      </c>
      <c r="B38" s="52" t="s">
        <v>77</v>
      </c>
      <c r="C38" s="19" t="s">
        <v>240</v>
      </c>
      <c r="D38" s="14" t="s">
        <v>78</v>
      </c>
      <c r="E38" s="11">
        <v>2022.0</v>
      </c>
      <c r="F38" s="11">
        <v>2023.0</v>
      </c>
      <c r="G38" s="11">
        <v>3.0</v>
      </c>
      <c r="H38" s="51" t="s">
        <v>405</v>
      </c>
      <c r="I38" s="11">
        <v>7698.0</v>
      </c>
      <c r="J38" s="11" t="s">
        <v>266</v>
      </c>
      <c r="K38" s="11" t="s">
        <v>160</v>
      </c>
      <c r="L38" s="11" t="s">
        <v>332</v>
      </c>
      <c r="M38" s="11">
        <v>2023.0</v>
      </c>
      <c r="N38" s="11">
        <v>2.0</v>
      </c>
      <c r="O38" s="11" t="s">
        <v>245</v>
      </c>
      <c r="P38" s="11" t="s">
        <v>199</v>
      </c>
      <c r="Q38" s="52" t="s">
        <v>406</v>
      </c>
      <c r="R38" s="52" t="s">
        <v>407</v>
      </c>
      <c r="S38" s="53">
        <v>47102.0</v>
      </c>
      <c r="T38" s="54" t="s">
        <v>668</v>
      </c>
      <c r="U38" s="317">
        <v>46371.0</v>
      </c>
      <c r="V38" s="54" t="s">
        <v>668</v>
      </c>
      <c r="W38" s="317">
        <v>46183.0</v>
      </c>
      <c r="X38" s="54" t="s">
        <v>668</v>
      </c>
      <c r="Y38" s="317">
        <v>46190.0</v>
      </c>
      <c r="Z38" s="54" t="s">
        <v>668</v>
      </c>
      <c r="AA38" s="53">
        <v>46032.0</v>
      </c>
      <c r="AB38" s="54" t="s">
        <v>669</v>
      </c>
      <c r="AC38" s="315">
        <v>46184.0</v>
      </c>
      <c r="AD38" s="54" t="s">
        <v>668</v>
      </c>
      <c r="AE38" s="96" t="s">
        <v>203</v>
      </c>
      <c r="AF38" s="57" t="s">
        <v>167</v>
      </c>
      <c r="AG38" s="265"/>
      <c r="AH38" s="265"/>
    </row>
    <row r="39" hidden="1">
      <c r="A39" s="9">
        <v>37.0</v>
      </c>
      <c r="B39" s="52" t="s">
        <v>79</v>
      </c>
      <c r="C39" s="19" t="s">
        <v>240</v>
      </c>
      <c r="D39" s="14" t="s">
        <v>78</v>
      </c>
      <c r="E39" s="11">
        <v>2022.0</v>
      </c>
      <c r="F39" s="11">
        <v>2023.0</v>
      </c>
      <c r="G39" s="11">
        <v>3.0</v>
      </c>
      <c r="H39" s="51" t="s">
        <v>405</v>
      </c>
      <c r="I39" s="11">
        <v>7698.0</v>
      </c>
      <c r="J39" s="11" t="s">
        <v>266</v>
      </c>
      <c r="K39" s="11" t="s">
        <v>160</v>
      </c>
      <c r="L39" s="11" t="s">
        <v>332</v>
      </c>
      <c r="M39" s="11">
        <v>2023.0</v>
      </c>
      <c r="N39" s="11">
        <v>2.0</v>
      </c>
      <c r="O39" s="11" t="s">
        <v>245</v>
      </c>
      <c r="P39" s="11" t="s">
        <v>199</v>
      </c>
      <c r="Q39" s="52" t="s">
        <v>409</v>
      </c>
      <c r="R39" s="52" t="s">
        <v>410</v>
      </c>
      <c r="S39" s="53">
        <v>47102.0</v>
      </c>
      <c r="T39" s="54" t="s">
        <v>668</v>
      </c>
      <c r="U39" s="317">
        <v>46371.0</v>
      </c>
      <c r="V39" s="54" t="s">
        <v>668</v>
      </c>
      <c r="W39" s="317">
        <v>46183.0</v>
      </c>
      <c r="X39" s="54" t="s">
        <v>668</v>
      </c>
      <c r="Y39" s="317">
        <v>46190.0</v>
      </c>
      <c r="Z39" s="54" t="s">
        <v>668</v>
      </c>
      <c r="AA39" s="53">
        <v>46032.0</v>
      </c>
      <c r="AB39" s="54" t="s">
        <v>669</v>
      </c>
      <c r="AC39" s="315">
        <v>46184.0</v>
      </c>
      <c r="AD39" s="54" t="s">
        <v>668</v>
      </c>
      <c r="AE39" s="96" t="s">
        <v>203</v>
      </c>
      <c r="AF39" s="57" t="s">
        <v>167</v>
      </c>
      <c r="AG39" s="265"/>
      <c r="AH39" s="265"/>
    </row>
    <row r="40" hidden="1">
      <c r="A40" s="9">
        <v>38.0</v>
      </c>
      <c r="B40" s="52" t="s">
        <v>80</v>
      </c>
      <c r="C40" s="19" t="s">
        <v>240</v>
      </c>
      <c r="D40" s="14" t="s">
        <v>78</v>
      </c>
      <c r="E40" s="11">
        <v>2022.0</v>
      </c>
      <c r="F40" s="11">
        <v>2024.0</v>
      </c>
      <c r="G40" s="11">
        <v>3.0</v>
      </c>
      <c r="H40" s="51" t="s">
        <v>412</v>
      </c>
      <c r="I40" s="11">
        <v>7698.0</v>
      </c>
      <c r="J40" s="11" t="s">
        <v>266</v>
      </c>
      <c r="K40" s="11" t="s">
        <v>160</v>
      </c>
      <c r="L40" s="11" t="s">
        <v>332</v>
      </c>
      <c r="M40" s="11">
        <v>2024.0</v>
      </c>
      <c r="N40" s="11">
        <v>1.0</v>
      </c>
      <c r="O40" s="11" t="s">
        <v>245</v>
      </c>
      <c r="P40" s="11" t="s">
        <v>199</v>
      </c>
      <c r="Q40" s="52" t="s">
        <v>413</v>
      </c>
      <c r="R40" s="52" t="s">
        <v>414</v>
      </c>
      <c r="S40" s="318">
        <v>47213.0</v>
      </c>
      <c r="T40" s="54" t="s">
        <v>668</v>
      </c>
      <c r="U40" s="320">
        <v>46117.0</v>
      </c>
      <c r="V40" s="54" t="s">
        <v>668</v>
      </c>
      <c r="W40" s="321">
        <v>46127.0</v>
      </c>
      <c r="X40" s="54" t="s">
        <v>668</v>
      </c>
      <c r="Y40" s="317">
        <v>46127.0</v>
      </c>
      <c r="Z40" s="54" t="s">
        <v>668</v>
      </c>
      <c r="AA40" s="53">
        <v>46520.0</v>
      </c>
      <c r="AB40" s="54" t="s">
        <v>668</v>
      </c>
      <c r="AC40" s="315">
        <v>46124.0</v>
      </c>
      <c r="AD40" s="54" t="s">
        <v>668</v>
      </c>
      <c r="AE40" s="96" t="s">
        <v>203</v>
      </c>
      <c r="AF40" s="57" t="s">
        <v>167</v>
      </c>
      <c r="AG40" s="265"/>
      <c r="AH40" s="265"/>
    </row>
    <row r="41" hidden="1">
      <c r="A41" s="9">
        <v>39.0</v>
      </c>
      <c r="B41" s="52" t="s">
        <v>81</v>
      </c>
      <c r="C41" s="11" t="s">
        <v>153</v>
      </c>
      <c r="D41" s="14" t="s">
        <v>78</v>
      </c>
      <c r="E41" s="11">
        <v>2023.0</v>
      </c>
      <c r="F41" s="11">
        <v>2024.0</v>
      </c>
      <c r="G41" s="11">
        <v>2.0</v>
      </c>
      <c r="H41" s="51" t="s">
        <v>416</v>
      </c>
      <c r="I41" s="11">
        <v>7698.0</v>
      </c>
      <c r="J41" s="11" t="s">
        <v>266</v>
      </c>
      <c r="K41" s="11" t="s">
        <v>160</v>
      </c>
      <c r="L41" s="11" t="s">
        <v>332</v>
      </c>
      <c r="M41" s="11">
        <v>2024.0</v>
      </c>
      <c r="N41" s="11">
        <v>1.0</v>
      </c>
      <c r="O41" s="11" t="s">
        <v>162</v>
      </c>
      <c r="P41" s="11" t="s">
        <v>199</v>
      </c>
      <c r="Q41" s="52" t="s">
        <v>417</v>
      </c>
      <c r="R41" s="52" t="s">
        <v>418</v>
      </c>
      <c r="S41" s="318">
        <v>47213.0</v>
      </c>
      <c r="T41" s="54" t="s">
        <v>668</v>
      </c>
      <c r="U41" s="320">
        <v>46117.0</v>
      </c>
      <c r="V41" s="54" t="s">
        <v>668</v>
      </c>
      <c r="W41" s="321">
        <v>46127.0</v>
      </c>
      <c r="X41" s="54" t="s">
        <v>668</v>
      </c>
      <c r="Y41" s="317">
        <v>46127.0</v>
      </c>
      <c r="Z41" s="54" t="s">
        <v>668</v>
      </c>
      <c r="AA41" s="53">
        <v>46158.0</v>
      </c>
      <c r="AB41" s="54" t="s">
        <v>668</v>
      </c>
      <c r="AC41" s="315">
        <v>46119.0</v>
      </c>
      <c r="AD41" s="54" t="s">
        <v>668</v>
      </c>
      <c r="AE41" s="96" t="s">
        <v>203</v>
      </c>
      <c r="AF41" s="57" t="s">
        <v>167</v>
      </c>
      <c r="AG41" s="265"/>
      <c r="AH41" s="265"/>
    </row>
    <row r="42" hidden="1">
      <c r="A42" s="9">
        <v>40.0</v>
      </c>
      <c r="B42" s="52" t="s">
        <v>83</v>
      </c>
      <c r="C42" s="11" t="s">
        <v>153</v>
      </c>
      <c r="D42" s="14" t="s">
        <v>78</v>
      </c>
      <c r="E42" s="11">
        <v>2023.0</v>
      </c>
      <c r="F42" s="11">
        <v>2024.0</v>
      </c>
      <c r="G42" s="11">
        <v>2.0</v>
      </c>
      <c r="H42" s="51" t="s">
        <v>416</v>
      </c>
      <c r="I42" s="11">
        <v>7698.0</v>
      </c>
      <c r="J42" s="11" t="s">
        <v>266</v>
      </c>
      <c r="K42" s="11" t="s">
        <v>160</v>
      </c>
      <c r="L42" s="11" t="s">
        <v>332</v>
      </c>
      <c r="M42" s="11">
        <v>2024.0</v>
      </c>
      <c r="N42" s="11">
        <v>1.0</v>
      </c>
      <c r="O42" s="11" t="s">
        <v>162</v>
      </c>
      <c r="P42" s="11" t="s">
        <v>199</v>
      </c>
      <c r="Q42" s="52" t="s">
        <v>420</v>
      </c>
      <c r="R42" s="52" t="s">
        <v>421</v>
      </c>
      <c r="S42" s="321">
        <v>47225.0</v>
      </c>
      <c r="T42" s="54" t="s">
        <v>668</v>
      </c>
      <c r="U42" s="320">
        <v>46117.0</v>
      </c>
      <c r="V42" s="54" t="s">
        <v>668</v>
      </c>
      <c r="W42" s="321">
        <v>46127.0</v>
      </c>
      <c r="X42" s="54" t="s">
        <v>668</v>
      </c>
      <c r="Y42" s="317">
        <v>46127.0</v>
      </c>
      <c r="Z42" s="54" t="s">
        <v>668</v>
      </c>
      <c r="AA42" s="53">
        <v>46218.0</v>
      </c>
      <c r="AB42" s="54" t="s">
        <v>668</v>
      </c>
      <c r="AC42" s="315">
        <v>46155.0</v>
      </c>
      <c r="AD42" s="54" t="s">
        <v>668</v>
      </c>
      <c r="AE42" s="96" t="s">
        <v>203</v>
      </c>
      <c r="AF42" s="57" t="s">
        <v>167</v>
      </c>
      <c r="AG42" s="265"/>
      <c r="AH42" s="265"/>
    </row>
    <row r="43" hidden="1">
      <c r="A43" s="9">
        <v>41.0</v>
      </c>
      <c r="B43" s="52" t="s">
        <v>84</v>
      </c>
      <c r="C43" s="19" t="s">
        <v>240</v>
      </c>
      <c r="D43" s="14" t="s">
        <v>85</v>
      </c>
      <c r="E43" s="11">
        <v>2022.0</v>
      </c>
      <c r="F43" s="11">
        <v>2023.0</v>
      </c>
      <c r="G43" s="11">
        <v>3.0</v>
      </c>
      <c r="H43" s="51" t="s">
        <v>405</v>
      </c>
      <c r="I43" s="11">
        <v>7698.0</v>
      </c>
      <c r="J43" s="11" t="s">
        <v>266</v>
      </c>
      <c r="K43" s="11" t="s">
        <v>160</v>
      </c>
      <c r="L43" s="11" t="s">
        <v>332</v>
      </c>
      <c r="M43" s="11">
        <v>2023.0</v>
      </c>
      <c r="N43" s="11">
        <v>2.0</v>
      </c>
      <c r="O43" s="11" t="s">
        <v>245</v>
      </c>
      <c r="P43" s="11" t="s">
        <v>199</v>
      </c>
      <c r="Q43" s="52" t="s">
        <v>423</v>
      </c>
      <c r="R43" s="52" t="s">
        <v>424</v>
      </c>
      <c r="S43" s="53">
        <v>47102.0</v>
      </c>
      <c r="T43" s="54" t="s">
        <v>668</v>
      </c>
      <c r="U43" s="317">
        <v>46371.0</v>
      </c>
      <c r="V43" s="54" t="s">
        <v>668</v>
      </c>
      <c r="W43" s="317">
        <v>46183.0</v>
      </c>
      <c r="X43" s="54" t="s">
        <v>668</v>
      </c>
      <c r="Y43" s="317">
        <v>46190.0</v>
      </c>
      <c r="Z43" s="54" t="s">
        <v>668</v>
      </c>
      <c r="AA43" s="53">
        <v>46042.0</v>
      </c>
      <c r="AB43" s="54" t="s">
        <v>669</v>
      </c>
      <c r="AC43" s="315">
        <v>46177.0</v>
      </c>
      <c r="AD43" s="54" t="s">
        <v>668</v>
      </c>
      <c r="AE43" s="96" t="s">
        <v>203</v>
      </c>
      <c r="AF43" s="57" t="s">
        <v>167</v>
      </c>
      <c r="AG43" s="265"/>
      <c r="AH43" s="265"/>
    </row>
    <row r="44" hidden="1">
      <c r="A44" s="9">
        <v>42.0</v>
      </c>
      <c r="B44" s="52" t="s">
        <v>86</v>
      </c>
      <c r="C44" s="19" t="s">
        <v>240</v>
      </c>
      <c r="D44" s="14" t="s">
        <v>85</v>
      </c>
      <c r="E44" s="11">
        <v>2022.0</v>
      </c>
      <c r="F44" s="11">
        <v>2024.0</v>
      </c>
      <c r="G44" s="11">
        <v>3.0</v>
      </c>
      <c r="H44" s="51" t="s">
        <v>412</v>
      </c>
      <c r="I44" s="11">
        <v>7698.0</v>
      </c>
      <c r="J44" s="11" t="s">
        <v>266</v>
      </c>
      <c r="K44" s="11" t="s">
        <v>160</v>
      </c>
      <c r="L44" s="11" t="s">
        <v>332</v>
      </c>
      <c r="M44" s="11">
        <v>2024.0</v>
      </c>
      <c r="N44" s="11">
        <v>1.0</v>
      </c>
      <c r="O44" s="11" t="s">
        <v>245</v>
      </c>
      <c r="P44" s="11" t="s">
        <v>199</v>
      </c>
      <c r="Q44" s="52" t="s">
        <v>426</v>
      </c>
      <c r="R44" s="52" t="s">
        <v>427</v>
      </c>
      <c r="S44" s="318">
        <v>47213.0</v>
      </c>
      <c r="T44" s="54" t="s">
        <v>668</v>
      </c>
      <c r="U44" s="320">
        <v>46117.0</v>
      </c>
      <c r="V44" s="54" t="s">
        <v>668</v>
      </c>
      <c r="W44" s="321">
        <v>46127.0</v>
      </c>
      <c r="X44" s="54" t="s">
        <v>668</v>
      </c>
      <c r="Y44" s="317">
        <v>46127.0</v>
      </c>
      <c r="Z44" s="54" t="s">
        <v>668</v>
      </c>
      <c r="AA44" s="53">
        <v>46157.0</v>
      </c>
      <c r="AB44" s="54" t="s">
        <v>668</v>
      </c>
      <c r="AC44" s="315">
        <v>46119.0</v>
      </c>
      <c r="AD44" s="54" t="s">
        <v>668</v>
      </c>
      <c r="AE44" s="96" t="s">
        <v>203</v>
      </c>
      <c r="AF44" s="57" t="s">
        <v>167</v>
      </c>
      <c r="AG44" s="265"/>
      <c r="AH44" s="265"/>
    </row>
    <row r="45" hidden="1">
      <c r="A45" s="9">
        <v>43.0</v>
      </c>
      <c r="B45" s="52" t="s">
        <v>87</v>
      </c>
      <c r="C45" s="11" t="s">
        <v>153</v>
      </c>
      <c r="D45" s="14" t="s">
        <v>85</v>
      </c>
      <c r="E45" s="11">
        <v>2023.0</v>
      </c>
      <c r="F45" s="11">
        <v>2024.0</v>
      </c>
      <c r="G45" s="11">
        <v>2.0</v>
      </c>
      <c r="H45" s="51" t="s">
        <v>429</v>
      </c>
      <c r="I45" s="11">
        <v>7698.0</v>
      </c>
      <c r="J45" s="11" t="s">
        <v>266</v>
      </c>
      <c r="K45" s="11" t="s">
        <v>160</v>
      </c>
      <c r="L45" s="11" t="s">
        <v>332</v>
      </c>
      <c r="M45" s="11">
        <v>2023.0</v>
      </c>
      <c r="N45" s="11">
        <v>2.0</v>
      </c>
      <c r="O45" s="11" t="s">
        <v>162</v>
      </c>
      <c r="P45" s="11" t="s">
        <v>199</v>
      </c>
      <c r="Q45" s="52" t="s">
        <v>430</v>
      </c>
      <c r="R45" s="52" t="s">
        <v>431</v>
      </c>
      <c r="S45" s="318">
        <v>47184.0</v>
      </c>
      <c r="T45" s="54" t="s">
        <v>668</v>
      </c>
      <c r="U45" s="320">
        <v>46088.0</v>
      </c>
      <c r="V45" s="54" t="s">
        <v>668</v>
      </c>
      <c r="W45" s="317">
        <v>46091.0</v>
      </c>
      <c r="X45" s="54" t="s">
        <v>668</v>
      </c>
      <c r="Y45" s="317">
        <v>46091.0</v>
      </c>
      <c r="Z45" s="54" t="s">
        <v>668</v>
      </c>
      <c r="AA45" s="53">
        <v>46109.0</v>
      </c>
      <c r="AB45" s="54" t="s">
        <v>668</v>
      </c>
      <c r="AC45" s="315">
        <v>46082.0</v>
      </c>
      <c r="AD45" s="54" t="s">
        <v>668</v>
      </c>
      <c r="AE45" s="96" t="s">
        <v>203</v>
      </c>
      <c r="AF45" s="57" t="s">
        <v>167</v>
      </c>
      <c r="AG45" s="265"/>
      <c r="AH45" s="265"/>
    </row>
    <row r="46" hidden="1">
      <c r="A46" s="9">
        <v>44.0</v>
      </c>
      <c r="B46" s="52" t="s">
        <v>88</v>
      </c>
      <c r="C46" s="22" t="s">
        <v>324</v>
      </c>
      <c r="D46" s="24" t="s">
        <v>85</v>
      </c>
      <c r="E46" s="9">
        <v>2022.0</v>
      </c>
      <c r="F46" s="9">
        <v>2024.0</v>
      </c>
      <c r="G46" s="11">
        <v>3.0</v>
      </c>
      <c r="H46" s="117" t="s">
        <v>433</v>
      </c>
      <c r="I46" s="9">
        <v>7698.0</v>
      </c>
      <c r="J46" s="11" t="s">
        <v>266</v>
      </c>
      <c r="K46" s="9" t="s">
        <v>160</v>
      </c>
      <c r="L46" s="9" t="s">
        <v>332</v>
      </c>
      <c r="M46" s="9">
        <v>2024.0</v>
      </c>
      <c r="N46" s="11">
        <v>1.0</v>
      </c>
      <c r="O46" s="9" t="s">
        <v>245</v>
      </c>
      <c r="P46" s="9" t="s">
        <v>199</v>
      </c>
      <c r="Q46" s="118" t="s">
        <v>434</v>
      </c>
      <c r="R46" s="118" t="s">
        <v>435</v>
      </c>
      <c r="S46" s="53">
        <v>47253.0</v>
      </c>
      <c r="T46" s="54" t="s">
        <v>668</v>
      </c>
      <c r="U46" s="317">
        <v>46157.0</v>
      </c>
      <c r="V46" s="54" t="s">
        <v>668</v>
      </c>
      <c r="W46" s="317">
        <v>46183.0</v>
      </c>
      <c r="X46" s="54" t="s">
        <v>668</v>
      </c>
      <c r="Y46" s="317">
        <v>46190.0</v>
      </c>
      <c r="Z46" s="54" t="s">
        <v>668</v>
      </c>
      <c r="AA46" s="53">
        <v>46233.0</v>
      </c>
      <c r="AB46" s="54" t="s">
        <v>668</v>
      </c>
      <c r="AC46" s="315">
        <v>46155.0</v>
      </c>
      <c r="AD46" s="54" t="s">
        <v>668</v>
      </c>
      <c r="AE46" s="96" t="s">
        <v>203</v>
      </c>
      <c r="AF46" s="57" t="s">
        <v>167</v>
      </c>
      <c r="AG46" s="265"/>
      <c r="AH46" s="265"/>
    </row>
    <row r="47" hidden="1">
      <c r="A47" s="9">
        <v>45.0</v>
      </c>
      <c r="B47" s="52" t="s">
        <v>89</v>
      </c>
      <c r="C47" s="11" t="s">
        <v>153</v>
      </c>
      <c r="D47" s="14" t="s">
        <v>85</v>
      </c>
      <c r="E47" s="11">
        <v>2023.0</v>
      </c>
      <c r="F47" s="11">
        <v>2024.0</v>
      </c>
      <c r="G47" s="11">
        <v>2.0</v>
      </c>
      <c r="H47" s="51" t="s">
        <v>416</v>
      </c>
      <c r="I47" s="11">
        <v>7698.0</v>
      </c>
      <c r="J47" s="11" t="s">
        <v>266</v>
      </c>
      <c r="K47" s="11" t="s">
        <v>160</v>
      </c>
      <c r="L47" s="11" t="s">
        <v>332</v>
      </c>
      <c r="M47" s="11">
        <v>2023.0</v>
      </c>
      <c r="N47" s="11">
        <v>2.0</v>
      </c>
      <c r="O47" s="11" t="s">
        <v>162</v>
      </c>
      <c r="P47" s="11" t="s">
        <v>199</v>
      </c>
      <c r="Q47" s="52" t="s">
        <v>437</v>
      </c>
      <c r="R47" s="52" t="s">
        <v>438</v>
      </c>
      <c r="S47" s="318">
        <v>47184.0</v>
      </c>
      <c r="T47" s="54" t="s">
        <v>668</v>
      </c>
      <c r="U47" s="320">
        <v>46088.0</v>
      </c>
      <c r="V47" s="54" t="s">
        <v>668</v>
      </c>
      <c r="W47" s="317">
        <v>46091.0</v>
      </c>
      <c r="X47" s="54" t="s">
        <v>668</v>
      </c>
      <c r="Y47" s="317">
        <v>46091.0</v>
      </c>
      <c r="Z47" s="54" t="s">
        <v>668</v>
      </c>
      <c r="AA47" s="53">
        <v>46451.0</v>
      </c>
      <c r="AB47" s="54" t="s">
        <v>668</v>
      </c>
      <c r="AC47" s="315">
        <v>46155.0</v>
      </c>
      <c r="AD47" s="54" t="s">
        <v>668</v>
      </c>
      <c r="AE47" s="96" t="s">
        <v>203</v>
      </c>
      <c r="AF47" s="57" t="s">
        <v>167</v>
      </c>
      <c r="AG47" s="265"/>
      <c r="AH47" s="265"/>
    </row>
    <row r="48" hidden="1">
      <c r="A48" s="9">
        <v>46.0</v>
      </c>
      <c r="B48" s="52" t="s">
        <v>91</v>
      </c>
      <c r="C48" s="19" t="s">
        <v>240</v>
      </c>
      <c r="D48" s="14" t="s">
        <v>85</v>
      </c>
      <c r="E48" s="11">
        <v>2023.0</v>
      </c>
      <c r="F48" s="11">
        <v>2025.0</v>
      </c>
      <c r="G48" s="11">
        <v>2.0</v>
      </c>
      <c r="H48" s="51" t="s">
        <v>440</v>
      </c>
      <c r="I48" s="11">
        <v>7700.0</v>
      </c>
      <c r="J48" s="11" t="s">
        <v>266</v>
      </c>
      <c r="K48" s="11" t="s">
        <v>160</v>
      </c>
      <c r="L48" s="11" t="s">
        <v>332</v>
      </c>
      <c r="M48" s="11">
        <v>2025.0</v>
      </c>
      <c r="N48" s="11">
        <v>0.0</v>
      </c>
      <c r="O48" s="11" t="s">
        <v>245</v>
      </c>
      <c r="P48" s="11" t="s">
        <v>441</v>
      </c>
      <c r="Q48" s="52" t="s">
        <v>442</v>
      </c>
      <c r="R48" s="52" t="s">
        <v>443</v>
      </c>
      <c r="S48" s="321">
        <v>47596.0</v>
      </c>
      <c r="T48" s="54" t="s">
        <v>668</v>
      </c>
      <c r="U48" s="317">
        <v>46135.0</v>
      </c>
      <c r="V48" s="54" t="s">
        <v>668</v>
      </c>
      <c r="W48" s="317">
        <v>46162.0</v>
      </c>
      <c r="X48" s="54" t="s">
        <v>668</v>
      </c>
      <c r="Y48" s="317">
        <v>46169.0</v>
      </c>
      <c r="Z48" s="54" t="s">
        <v>668</v>
      </c>
      <c r="AA48" s="53">
        <v>46542.0</v>
      </c>
      <c r="AB48" s="54" t="s">
        <v>668</v>
      </c>
      <c r="AC48" s="315">
        <v>46162.0</v>
      </c>
      <c r="AD48" s="54" t="s">
        <v>668</v>
      </c>
      <c r="AE48" s="96" t="s">
        <v>444</v>
      </c>
      <c r="AF48" s="57" t="s">
        <v>167</v>
      </c>
      <c r="AG48" s="265"/>
      <c r="AH48" s="265"/>
    </row>
    <row r="49" hidden="1">
      <c r="A49" s="9">
        <v>47.0</v>
      </c>
      <c r="B49" s="52" t="s">
        <v>92</v>
      </c>
      <c r="C49" s="11" t="s">
        <v>240</v>
      </c>
      <c r="D49" s="24" t="s">
        <v>85</v>
      </c>
      <c r="E49" s="19">
        <v>2024.0</v>
      </c>
      <c r="F49" s="19">
        <v>2025.0</v>
      </c>
      <c r="G49" s="11">
        <v>1.0</v>
      </c>
      <c r="H49" s="137" t="s">
        <v>440</v>
      </c>
      <c r="I49" s="19">
        <v>6600.0</v>
      </c>
      <c r="J49" s="11" t="s">
        <v>266</v>
      </c>
      <c r="K49" s="11" t="s">
        <v>160</v>
      </c>
      <c r="L49" s="11" t="s">
        <v>161</v>
      </c>
      <c r="M49" s="11">
        <v>2025.0</v>
      </c>
      <c r="N49" s="11">
        <v>0.0</v>
      </c>
      <c r="O49" s="11" t="s">
        <v>245</v>
      </c>
      <c r="P49" s="11" t="s">
        <v>441</v>
      </c>
      <c r="Q49" s="115" t="s">
        <v>446</v>
      </c>
      <c r="R49" s="115" t="s">
        <v>447</v>
      </c>
      <c r="S49" s="322">
        <v>47720.0</v>
      </c>
      <c r="T49" s="54" t="s">
        <v>668</v>
      </c>
      <c r="U49" s="323">
        <v>46259.0</v>
      </c>
      <c r="V49" s="54" t="s">
        <v>668</v>
      </c>
      <c r="W49" s="323">
        <v>46097.0</v>
      </c>
      <c r="X49" s="54" t="s">
        <v>668</v>
      </c>
      <c r="Y49" s="317">
        <v>46097.0</v>
      </c>
      <c r="Z49" s="54" t="s">
        <v>668</v>
      </c>
      <c r="AA49" s="53">
        <v>46668.0</v>
      </c>
      <c r="AB49" s="54" t="s">
        <v>668</v>
      </c>
      <c r="AC49" s="315">
        <v>46110.0</v>
      </c>
      <c r="AD49" s="54" t="s">
        <v>668</v>
      </c>
      <c r="AE49" s="96" t="s">
        <v>444</v>
      </c>
      <c r="AF49" s="57" t="s">
        <v>167</v>
      </c>
      <c r="AG49" s="265"/>
      <c r="AH49" s="265"/>
    </row>
    <row r="50" hidden="1">
      <c r="A50" s="9">
        <v>48.0</v>
      </c>
      <c r="B50" s="52" t="s">
        <v>93</v>
      </c>
      <c r="C50" s="19" t="s">
        <v>240</v>
      </c>
      <c r="D50" s="26" t="s">
        <v>94</v>
      </c>
      <c r="E50" s="19">
        <v>2022.0</v>
      </c>
      <c r="F50" s="19">
        <v>2022.0</v>
      </c>
      <c r="G50" s="11">
        <v>3.0</v>
      </c>
      <c r="H50" s="137" t="s">
        <v>449</v>
      </c>
      <c r="I50" s="19">
        <v>7684.0</v>
      </c>
      <c r="J50" s="11" t="s">
        <v>243</v>
      </c>
      <c r="K50" s="11" t="s">
        <v>160</v>
      </c>
      <c r="L50" s="11" t="s">
        <v>332</v>
      </c>
      <c r="M50" s="11">
        <v>2022.0</v>
      </c>
      <c r="N50" s="11">
        <v>3.0</v>
      </c>
      <c r="O50" s="19" t="s">
        <v>245</v>
      </c>
      <c r="P50" s="19" t="s">
        <v>163</v>
      </c>
      <c r="Q50" s="115" t="s">
        <v>450</v>
      </c>
      <c r="R50" s="115" t="s">
        <v>451</v>
      </c>
      <c r="S50" s="327">
        <v>46693.0</v>
      </c>
      <c r="T50" s="54" t="s">
        <v>668</v>
      </c>
      <c r="U50" s="324">
        <v>46693.0</v>
      </c>
      <c r="V50" s="54" t="s">
        <v>668</v>
      </c>
      <c r="W50" s="320">
        <v>46090.0</v>
      </c>
      <c r="X50" s="54" t="s">
        <v>668</v>
      </c>
      <c r="Y50" s="317">
        <v>46090.0</v>
      </c>
      <c r="Z50" s="54" t="s">
        <v>668</v>
      </c>
      <c r="AA50" s="53">
        <v>46234.0</v>
      </c>
      <c r="AB50" s="54" t="s">
        <v>668</v>
      </c>
      <c r="AC50" s="315">
        <v>46077.0</v>
      </c>
      <c r="AD50" s="54" t="s">
        <v>668</v>
      </c>
      <c r="AE50" s="57" t="s">
        <v>166</v>
      </c>
      <c r="AF50" s="57" t="s">
        <v>167</v>
      </c>
      <c r="AG50" s="265"/>
      <c r="AH50" s="265"/>
    </row>
    <row r="51" hidden="1">
      <c r="A51" s="9">
        <v>49.0</v>
      </c>
      <c r="B51" s="52" t="s">
        <v>95</v>
      </c>
      <c r="C51" s="11" t="s">
        <v>153</v>
      </c>
      <c r="D51" s="26" t="s">
        <v>94</v>
      </c>
      <c r="E51" s="19">
        <v>2020.0</v>
      </c>
      <c r="F51" s="19">
        <v>2020.0</v>
      </c>
      <c r="G51" s="11">
        <v>5.0</v>
      </c>
      <c r="H51" s="137" t="s">
        <v>453</v>
      </c>
      <c r="I51" s="19">
        <v>7684.0</v>
      </c>
      <c r="J51" s="11" t="s">
        <v>159</v>
      </c>
      <c r="K51" s="11" t="s">
        <v>160</v>
      </c>
      <c r="L51" s="11" t="s">
        <v>161</v>
      </c>
      <c r="M51" s="11">
        <v>2020.0</v>
      </c>
      <c r="N51" s="11">
        <v>5.0</v>
      </c>
      <c r="O51" s="11" t="s">
        <v>162</v>
      </c>
      <c r="P51" s="19" t="s">
        <v>163</v>
      </c>
      <c r="Q51" s="115" t="s">
        <v>454</v>
      </c>
      <c r="R51" s="115" t="s">
        <v>455</v>
      </c>
      <c r="S51" s="322">
        <v>47720.0</v>
      </c>
      <c r="T51" s="54" t="s">
        <v>668</v>
      </c>
      <c r="U51" s="323">
        <v>46259.0</v>
      </c>
      <c r="V51" s="54" t="s">
        <v>668</v>
      </c>
      <c r="W51" s="324">
        <v>46058.0</v>
      </c>
      <c r="X51" s="54" t="s">
        <v>669</v>
      </c>
      <c r="Y51" s="317">
        <v>46058.0</v>
      </c>
      <c r="Z51" s="54" t="s">
        <v>668</v>
      </c>
      <c r="AA51" s="53">
        <v>46211.0</v>
      </c>
      <c r="AB51" s="54" t="s">
        <v>668</v>
      </c>
      <c r="AC51" s="315">
        <v>46155.0</v>
      </c>
      <c r="AD51" s="54" t="s">
        <v>668</v>
      </c>
      <c r="AE51" s="57" t="s">
        <v>166</v>
      </c>
      <c r="AF51" s="57" t="s">
        <v>167</v>
      </c>
      <c r="AG51" s="265"/>
      <c r="AH51" s="265"/>
    </row>
    <row r="52" hidden="1">
      <c r="A52" s="9">
        <v>50.0</v>
      </c>
      <c r="B52" s="52" t="s">
        <v>97</v>
      </c>
      <c r="C52" s="11" t="s">
        <v>153</v>
      </c>
      <c r="D52" s="26" t="s">
        <v>94</v>
      </c>
      <c r="E52" s="19">
        <v>2020.0</v>
      </c>
      <c r="F52" s="19">
        <v>2020.0</v>
      </c>
      <c r="G52" s="11">
        <v>5.0</v>
      </c>
      <c r="H52" s="137" t="s">
        <v>456</v>
      </c>
      <c r="I52" s="19">
        <v>7684.0</v>
      </c>
      <c r="J52" s="11" t="s">
        <v>159</v>
      </c>
      <c r="K52" s="11" t="s">
        <v>160</v>
      </c>
      <c r="L52" s="11" t="s">
        <v>161</v>
      </c>
      <c r="M52" s="11">
        <v>2020.0</v>
      </c>
      <c r="N52" s="11">
        <v>5.0</v>
      </c>
      <c r="O52" s="11" t="s">
        <v>162</v>
      </c>
      <c r="P52" s="19" t="s">
        <v>163</v>
      </c>
      <c r="Q52" s="115" t="s">
        <v>457</v>
      </c>
      <c r="R52" s="115" t="s">
        <v>458</v>
      </c>
      <c r="S52" s="322">
        <v>47720.0</v>
      </c>
      <c r="T52" s="54" t="s">
        <v>668</v>
      </c>
      <c r="U52" s="323">
        <v>46259.0</v>
      </c>
      <c r="V52" s="54" t="s">
        <v>668</v>
      </c>
      <c r="W52" s="324">
        <v>46058.0</v>
      </c>
      <c r="X52" s="54" t="s">
        <v>669</v>
      </c>
      <c r="Y52" s="317">
        <v>46058.0</v>
      </c>
      <c r="Z52" s="54" t="s">
        <v>668</v>
      </c>
      <c r="AA52" s="53">
        <v>46241.0</v>
      </c>
      <c r="AB52" s="54" t="s">
        <v>668</v>
      </c>
      <c r="AC52" s="315">
        <v>46155.0</v>
      </c>
      <c r="AD52" s="54" t="s">
        <v>668</v>
      </c>
      <c r="AE52" s="57" t="s">
        <v>166</v>
      </c>
      <c r="AF52" s="57" t="s">
        <v>167</v>
      </c>
      <c r="AG52" s="265"/>
      <c r="AH52" s="265"/>
    </row>
    <row r="53" hidden="1">
      <c r="A53" s="9">
        <v>51.0</v>
      </c>
      <c r="B53" s="115" t="s">
        <v>98</v>
      </c>
      <c r="C53" s="22" t="s">
        <v>240</v>
      </c>
      <c r="D53" s="29" t="s">
        <v>100</v>
      </c>
      <c r="E53" s="22">
        <v>2022.0</v>
      </c>
      <c r="F53" s="22">
        <v>2022.0</v>
      </c>
      <c r="G53" s="11">
        <v>3.0</v>
      </c>
      <c r="H53" s="139" t="s">
        <v>459</v>
      </c>
      <c r="I53" s="22">
        <v>7698.0</v>
      </c>
      <c r="J53" s="11" t="s">
        <v>266</v>
      </c>
      <c r="K53" s="22" t="s">
        <v>160</v>
      </c>
      <c r="L53" s="11" t="s">
        <v>161</v>
      </c>
      <c r="M53" s="22">
        <v>2022.0</v>
      </c>
      <c r="N53" s="11">
        <v>3.0</v>
      </c>
      <c r="O53" s="22" t="s">
        <v>245</v>
      </c>
      <c r="P53" s="9" t="s">
        <v>199</v>
      </c>
      <c r="Q53" s="140" t="s">
        <v>460</v>
      </c>
      <c r="R53" s="140" t="s">
        <v>461</v>
      </c>
      <c r="S53" s="326">
        <v>46705.0</v>
      </c>
      <c r="T53" s="54" t="s">
        <v>668</v>
      </c>
      <c r="U53" s="323">
        <v>46340.0</v>
      </c>
      <c r="V53" s="54" t="s">
        <v>668</v>
      </c>
      <c r="W53" s="324">
        <v>46148.0</v>
      </c>
      <c r="X53" s="54" t="s">
        <v>668</v>
      </c>
      <c r="Y53" s="324">
        <v>46148.0</v>
      </c>
      <c r="Z53" s="54" t="s">
        <v>668</v>
      </c>
      <c r="AA53" s="53">
        <v>46648.0</v>
      </c>
      <c r="AB53" s="54" t="s">
        <v>668</v>
      </c>
      <c r="AC53" s="315">
        <v>46155.0</v>
      </c>
      <c r="AD53" s="54" t="s">
        <v>668</v>
      </c>
      <c r="AE53" s="57" t="s">
        <v>166</v>
      </c>
      <c r="AF53" s="57" t="s">
        <v>167</v>
      </c>
      <c r="AG53" s="265"/>
      <c r="AH53" s="265"/>
    </row>
    <row r="54" hidden="1">
      <c r="A54" s="9">
        <v>52.0</v>
      </c>
      <c r="B54" s="115" t="s">
        <v>101</v>
      </c>
      <c r="C54" s="19" t="s">
        <v>240</v>
      </c>
      <c r="D54" s="26" t="s">
        <v>100</v>
      </c>
      <c r="E54" s="19">
        <v>2022.0</v>
      </c>
      <c r="F54" s="19">
        <v>2022.0</v>
      </c>
      <c r="G54" s="11">
        <v>3.0</v>
      </c>
      <c r="H54" s="139" t="s">
        <v>459</v>
      </c>
      <c r="I54" s="22">
        <v>7698.0</v>
      </c>
      <c r="J54" s="11" t="s">
        <v>266</v>
      </c>
      <c r="K54" s="19" t="s">
        <v>160</v>
      </c>
      <c r="L54" s="11" t="s">
        <v>161</v>
      </c>
      <c r="M54" s="19">
        <v>2022.0</v>
      </c>
      <c r="N54" s="11">
        <v>3.0</v>
      </c>
      <c r="O54" s="19" t="s">
        <v>245</v>
      </c>
      <c r="P54" s="11" t="s">
        <v>199</v>
      </c>
      <c r="Q54" s="140" t="s">
        <v>463</v>
      </c>
      <c r="R54" s="140" t="s">
        <v>464</v>
      </c>
      <c r="S54" s="322">
        <v>46706.0</v>
      </c>
      <c r="T54" s="54" t="s">
        <v>668</v>
      </c>
      <c r="U54" s="323">
        <v>46341.0</v>
      </c>
      <c r="V54" s="54" t="s">
        <v>668</v>
      </c>
      <c r="W54" s="324">
        <v>46148.0</v>
      </c>
      <c r="X54" s="54" t="s">
        <v>668</v>
      </c>
      <c r="Y54" s="317">
        <v>46148.0</v>
      </c>
      <c r="Z54" s="54" t="s">
        <v>668</v>
      </c>
      <c r="AA54" s="53">
        <v>46339.0</v>
      </c>
      <c r="AB54" s="54" t="s">
        <v>668</v>
      </c>
      <c r="AC54" s="315">
        <v>46155.0</v>
      </c>
      <c r="AD54" s="54" t="s">
        <v>668</v>
      </c>
      <c r="AE54" s="57" t="s">
        <v>166</v>
      </c>
      <c r="AF54" s="57" t="s">
        <v>167</v>
      </c>
      <c r="AG54" s="265"/>
      <c r="AH54" s="265"/>
    </row>
    <row r="55" hidden="1">
      <c r="A55" s="9">
        <v>53.0</v>
      </c>
      <c r="B55" s="328" t="s">
        <v>703</v>
      </c>
      <c r="C55" s="329" t="s">
        <v>240</v>
      </c>
      <c r="D55" s="330" t="s">
        <v>100</v>
      </c>
      <c r="E55" s="329">
        <v>2022.0</v>
      </c>
      <c r="F55" s="329">
        <v>2022.0</v>
      </c>
      <c r="G55" s="331">
        <v>3.0</v>
      </c>
      <c r="H55" s="332" t="s">
        <v>405</v>
      </c>
      <c r="I55" s="329">
        <v>7698.0</v>
      </c>
      <c r="J55" s="331" t="s">
        <v>266</v>
      </c>
      <c r="K55" s="329" t="s">
        <v>160</v>
      </c>
      <c r="L55" s="331" t="s">
        <v>161</v>
      </c>
      <c r="M55" s="329">
        <v>2022.0</v>
      </c>
      <c r="N55" s="331">
        <v>3.0</v>
      </c>
      <c r="O55" s="329" t="s">
        <v>245</v>
      </c>
      <c r="P55" s="331" t="s">
        <v>199</v>
      </c>
      <c r="Q55" s="328" t="s">
        <v>704</v>
      </c>
      <c r="R55" s="328" t="s">
        <v>705</v>
      </c>
      <c r="S55" s="333">
        <v>46727.0</v>
      </c>
      <c r="T55" s="54" t="s">
        <v>668</v>
      </c>
      <c r="U55" s="333">
        <v>46362.0</v>
      </c>
      <c r="V55" s="54" t="s">
        <v>668</v>
      </c>
      <c r="W55" s="334">
        <v>46033.0</v>
      </c>
      <c r="X55" s="54" t="s">
        <v>669</v>
      </c>
      <c r="Y55" s="335">
        <v>46033.0</v>
      </c>
      <c r="Z55" s="54" t="s">
        <v>669</v>
      </c>
      <c r="AA55" s="335">
        <v>46592.0</v>
      </c>
      <c r="AB55" s="54" t="s">
        <v>668</v>
      </c>
      <c r="AC55" s="336">
        <v>46155.0</v>
      </c>
      <c r="AD55" s="54" t="s">
        <v>668</v>
      </c>
      <c r="AE55" s="337" t="s">
        <v>166</v>
      </c>
      <c r="AF55" s="337" t="s">
        <v>167</v>
      </c>
      <c r="AG55" s="338"/>
      <c r="AH55" s="338"/>
    </row>
    <row r="56" hidden="1">
      <c r="A56" s="9">
        <v>54.0</v>
      </c>
      <c r="B56" s="328" t="s">
        <v>706</v>
      </c>
      <c r="C56" s="329" t="s">
        <v>240</v>
      </c>
      <c r="D56" s="330" t="s">
        <v>100</v>
      </c>
      <c r="E56" s="329">
        <v>2024.0</v>
      </c>
      <c r="F56" s="329">
        <v>2024.0</v>
      </c>
      <c r="G56" s="331">
        <v>1.0</v>
      </c>
      <c r="H56" s="332" t="s">
        <v>405</v>
      </c>
      <c r="I56" s="329">
        <v>7698.0</v>
      </c>
      <c r="J56" s="331" t="s">
        <v>266</v>
      </c>
      <c r="K56" s="329" t="s">
        <v>160</v>
      </c>
      <c r="L56" s="331" t="s">
        <v>161</v>
      </c>
      <c r="M56" s="329">
        <v>2024.0</v>
      </c>
      <c r="N56" s="331">
        <v>1.0</v>
      </c>
      <c r="O56" s="329" t="s">
        <v>245</v>
      </c>
      <c r="P56" s="331" t="s">
        <v>199</v>
      </c>
      <c r="Q56" s="328" t="s">
        <v>707</v>
      </c>
      <c r="R56" s="328" t="s">
        <v>708</v>
      </c>
      <c r="S56" s="333">
        <v>47336.0</v>
      </c>
      <c r="T56" s="54" t="s">
        <v>668</v>
      </c>
      <c r="U56" s="333">
        <v>46240.0</v>
      </c>
      <c r="V56" s="54" t="s">
        <v>668</v>
      </c>
      <c r="W56" s="333">
        <v>46118.0</v>
      </c>
      <c r="X56" s="54" t="s">
        <v>668</v>
      </c>
      <c r="Y56" s="335">
        <v>46118.0</v>
      </c>
      <c r="Z56" s="54" t="s">
        <v>668</v>
      </c>
      <c r="AA56" s="335">
        <v>46318.0</v>
      </c>
      <c r="AB56" s="54" t="s">
        <v>668</v>
      </c>
      <c r="AC56" s="336">
        <v>46111.0</v>
      </c>
      <c r="AD56" s="54" t="s">
        <v>668</v>
      </c>
      <c r="AE56" s="337" t="s">
        <v>166</v>
      </c>
      <c r="AF56" s="337" t="s">
        <v>167</v>
      </c>
      <c r="AG56" s="338"/>
      <c r="AH56" s="338"/>
    </row>
    <row r="57" hidden="1">
      <c r="A57" s="9">
        <v>55.0</v>
      </c>
      <c r="B57" s="115" t="s">
        <v>102</v>
      </c>
      <c r="C57" s="22" t="s">
        <v>240</v>
      </c>
      <c r="D57" s="29" t="s">
        <v>100</v>
      </c>
      <c r="E57" s="22">
        <v>2023.0</v>
      </c>
      <c r="F57" s="22">
        <v>2024.0</v>
      </c>
      <c r="G57" s="11">
        <v>2.0</v>
      </c>
      <c r="H57" s="139" t="s">
        <v>466</v>
      </c>
      <c r="I57" s="22">
        <v>7790.0</v>
      </c>
      <c r="J57" s="11" t="s">
        <v>243</v>
      </c>
      <c r="K57" s="22" t="s">
        <v>160</v>
      </c>
      <c r="L57" s="11" t="s">
        <v>161</v>
      </c>
      <c r="M57" s="22">
        <v>2024.0</v>
      </c>
      <c r="N57" s="11">
        <v>1.0</v>
      </c>
      <c r="O57" s="22" t="s">
        <v>245</v>
      </c>
      <c r="P57" s="9" t="s">
        <v>467</v>
      </c>
      <c r="Q57" s="140" t="s">
        <v>468</v>
      </c>
      <c r="R57" s="140" t="s">
        <v>469</v>
      </c>
      <c r="S57" s="326">
        <v>47358.0</v>
      </c>
      <c r="T57" s="54" t="s">
        <v>668</v>
      </c>
      <c r="U57" s="323">
        <v>46262.0</v>
      </c>
      <c r="V57" s="54" t="s">
        <v>668</v>
      </c>
      <c r="W57" s="324">
        <v>46118.0</v>
      </c>
      <c r="X57" s="54" t="s">
        <v>668</v>
      </c>
      <c r="Y57" s="317">
        <v>46118.0</v>
      </c>
      <c r="Z57" s="54" t="s">
        <v>668</v>
      </c>
      <c r="AA57" s="53">
        <v>46318.0</v>
      </c>
      <c r="AB57" s="54" t="s">
        <v>668</v>
      </c>
      <c r="AC57" s="315">
        <v>46111.0</v>
      </c>
      <c r="AD57" s="54" t="s">
        <v>668</v>
      </c>
      <c r="AE57" s="57" t="s">
        <v>166</v>
      </c>
      <c r="AF57" s="57" t="s">
        <v>167</v>
      </c>
      <c r="AG57" s="265"/>
      <c r="AH57" s="265"/>
    </row>
    <row r="58" hidden="1">
      <c r="A58" s="9">
        <v>56.0</v>
      </c>
      <c r="B58" s="52" t="s">
        <v>103</v>
      </c>
      <c r="C58" s="11" t="s">
        <v>153</v>
      </c>
      <c r="D58" s="14" t="s">
        <v>100</v>
      </c>
      <c r="E58" s="11">
        <v>2022.0</v>
      </c>
      <c r="F58" s="11">
        <v>2022.0</v>
      </c>
      <c r="G58" s="11">
        <v>3.0</v>
      </c>
      <c r="H58" s="51" t="s">
        <v>471</v>
      </c>
      <c r="I58" s="11">
        <v>7698.0</v>
      </c>
      <c r="J58" s="11" t="s">
        <v>266</v>
      </c>
      <c r="K58" s="11" t="s">
        <v>160</v>
      </c>
      <c r="L58" s="11" t="s">
        <v>332</v>
      </c>
      <c r="M58" s="11">
        <v>2012.0</v>
      </c>
      <c r="N58" s="11">
        <v>13.0</v>
      </c>
      <c r="O58" s="11" t="s">
        <v>162</v>
      </c>
      <c r="P58" s="11" t="s">
        <v>199</v>
      </c>
      <c r="Q58" s="52" t="s">
        <v>472</v>
      </c>
      <c r="R58" s="52" t="s">
        <v>473</v>
      </c>
      <c r="S58" s="53">
        <v>46659.0</v>
      </c>
      <c r="T58" s="54" t="s">
        <v>668</v>
      </c>
      <c r="U58" s="317">
        <v>46294.0</v>
      </c>
      <c r="V58" s="54" t="s">
        <v>668</v>
      </c>
      <c r="W58" s="324">
        <v>46148.0</v>
      </c>
      <c r="X58" s="54" t="s">
        <v>668</v>
      </c>
      <c r="Y58" s="317">
        <v>46148.0</v>
      </c>
      <c r="Z58" s="54" t="s">
        <v>668</v>
      </c>
      <c r="AA58" s="53">
        <v>46694.0</v>
      </c>
      <c r="AB58" s="54" t="s">
        <v>668</v>
      </c>
      <c r="AC58" s="315">
        <v>46145.0</v>
      </c>
      <c r="AD58" s="54" t="s">
        <v>668</v>
      </c>
      <c r="AE58" s="57" t="s">
        <v>166</v>
      </c>
      <c r="AF58" s="57" t="s">
        <v>167</v>
      </c>
      <c r="AG58" s="265"/>
      <c r="AH58" s="265"/>
    </row>
    <row r="59" hidden="1">
      <c r="A59" s="9">
        <v>57.0</v>
      </c>
      <c r="B59" s="52" t="s">
        <v>104</v>
      </c>
      <c r="C59" s="19" t="s">
        <v>240</v>
      </c>
      <c r="D59" s="26" t="s">
        <v>105</v>
      </c>
      <c r="E59" s="11">
        <v>2023.0</v>
      </c>
      <c r="F59" s="11">
        <v>2023.0</v>
      </c>
      <c r="G59" s="11">
        <v>2.0</v>
      </c>
      <c r="H59" s="51" t="s">
        <v>466</v>
      </c>
      <c r="I59" s="11">
        <v>7790.0</v>
      </c>
      <c r="J59" s="11" t="s">
        <v>243</v>
      </c>
      <c r="K59" s="11" t="s">
        <v>160</v>
      </c>
      <c r="L59" s="11" t="s">
        <v>332</v>
      </c>
      <c r="M59" s="11">
        <v>2023.0</v>
      </c>
      <c r="N59" s="11">
        <v>2.0</v>
      </c>
      <c r="O59" s="19" t="s">
        <v>245</v>
      </c>
      <c r="P59" s="11" t="s">
        <v>467</v>
      </c>
      <c r="Q59" s="52" t="s">
        <v>475</v>
      </c>
      <c r="R59" s="52" t="s">
        <v>476</v>
      </c>
      <c r="S59" s="53">
        <v>46924.0</v>
      </c>
      <c r="T59" s="54" t="s">
        <v>668</v>
      </c>
      <c r="U59" s="317">
        <v>46193.0</v>
      </c>
      <c r="V59" s="54" t="s">
        <v>668</v>
      </c>
      <c r="W59" s="320">
        <v>46176.0</v>
      </c>
      <c r="X59" s="54" t="s">
        <v>668</v>
      </c>
      <c r="Y59" s="317">
        <v>46176.0</v>
      </c>
      <c r="Z59" s="54" t="s">
        <v>668</v>
      </c>
      <c r="AA59" s="53">
        <v>46199.0</v>
      </c>
      <c r="AB59" s="54" t="s">
        <v>668</v>
      </c>
      <c r="AC59" s="315">
        <v>46155.0</v>
      </c>
      <c r="AD59" s="54" t="s">
        <v>668</v>
      </c>
      <c r="AE59" s="57" t="s">
        <v>166</v>
      </c>
      <c r="AF59" s="57" t="s">
        <v>167</v>
      </c>
      <c r="AG59" s="265"/>
      <c r="AH59" s="265"/>
    </row>
    <row r="60" hidden="1">
      <c r="A60" s="9">
        <v>58.0</v>
      </c>
      <c r="B60" s="52" t="s">
        <v>106</v>
      </c>
      <c r="C60" s="11" t="s">
        <v>153</v>
      </c>
      <c r="D60" s="26" t="s">
        <v>105</v>
      </c>
      <c r="E60" s="22">
        <v>2022.0</v>
      </c>
      <c r="F60" s="22">
        <v>2023.0</v>
      </c>
      <c r="G60" s="11">
        <v>3.0</v>
      </c>
      <c r="H60" s="139" t="s">
        <v>479</v>
      </c>
      <c r="I60" s="22">
        <v>7790.0</v>
      </c>
      <c r="J60" s="11" t="s">
        <v>243</v>
      </c>
      <c r="K60" s="11" t="s">
        <v>160</v>
      </c>
      <c r="L60" s="11" t="s">
        <v>267</v>
      </c>
      <c r="M60" s="11">
        <v>2012.0</v>
      </c>
      <c r="N60" s="11">
        <v>13.0</v>
      </c>
      <c r="O60" s="11" t="s">
        <v>162</v>
      </c>
      <c r="P60" s="19" t="s">
        <v>467</v>
      </c>
      <c r="Q60" s="115" t="s">
        <v>481</v>
      </c>
      <c r="R60" s="115" t="s">
        <v>482</v>
      </c>
      <c r="S60" s="322">
        <v>46782.0</v>
      </c>
      <c r="T60" s="54" t="s">
        <v>668</v>
      </c>
      <c r="U60" s="323">
        <v>46052.0</v>
      </c>
      <c r="V60" s="54" t="s">
        <v>669</v>
      </c>
      <c r="W60" s="323">
        <v>46072.0</v>
      </c>
      <c r="X60" s="54" t="s">
        <v>668</v>
      </c>
      <c r="Y60" s="317">
        <v>46072.0</v>
      </c>
      <c r="Z60" s="54" t="s">
        <v>668</v>
      </c>
      <c r="AA60" s="53">
        <v>46438.0</v>
      </c>
      <c r="AB60" s="54" t="s">
        <v>668</v>
      </c>
      <c r="AC60" s="315">
        <v>46155.0</v>
      </c>
      <c r="AD60" s="54" t="s">
        <v>668</v>
      </c>
      <c r="AE60" s="57" t="s">
        <v>166</v>
      </c>
      <c r="AF60" s="57" t="s">
        <v>167</v>
      </c>
      <c r="AG60" s="265"/>
      <c r="AH60" s="265"/>
    </row>
    <row r="61" hidden="1">
      <c r="A61" s="9">
        <v>59.0</v>
      </c>
      <c r="B61" s="52" t="s">
        <v>108</v>
      </c>
      <c r="C61" s="11" t="s">
        <v>240</v>
      </c>
      <c r="D61" s="14" t="s">
        <v>109</v>
      </c>
      <c r="E61" s="11">
        <v>2023.0</v>
      </c>
      <c r="F61" s="11">
        <v>2023.0</v>
      </c>
      <c r="G61" s="11">
        <v>2.0</v>
      </c>
      <c r="H61" s="51" t="s">
        <v>486</v>
      </c>
      <c r="I61" s="11">
        <v>7684.0</v>
      </c>
      <c r="J61" s="11" t="s">
        <v>243</v>
      </c>
      <c r="K61" s="11" t="s">
        <v>160</v>
      </c>
      <c r="L61" s="11" t="s">
        <v>332</v>
      </c>
      <c r="M61" s="11">
        <v>2023.0</v>
      </c>
      <c r="N61" s="11">
        <v>2.0</v>
      </c>
      <c r="O61" s="11" t="s">
        <v>245</v>
      </c>
      <c r="P61" s="11" t="s">
        <v>163</v>
      </c>
      <c r="Q61" s="52" t="s">
        <v>487</v>
      </c>
      <c r="R61" s="52" t="s">
        <v>488</v>
      </c>
      <c r="S61" s="53">
        <v>47071.0</v>
      </c>
      <c r="T61" s="54" t="s">
        <v>668</v>
      </c>
      <c r="U61" s="317">
        <v>46340.0</v>
      </c>
      <c r="V61" s="54" t="s">
        <v>668</v>
      </c>
      <c r="W61" s="320">
        <v>46148.0</v>
      </c>
      <c r="X61" s="54" t="s">
        <v>668</v>
      </c>
      <c r="Y61" s="317">
        <v>46148.0</v>
      </c>
      <c r="Z61" s="54" t="s">
        <v>668</v>
      </c>
      <c r="AA61" s="53">
        <v>46711.0</v>
      </c>
      <c r="AB61" s="54" t="s">
        <v>668</v>
      </c>
      <c r="AC61" s="315">
        <v>46155.0</v>
      </c>
      <c r="AD61" s="54" t="s">
        <v>668</v>
      </c>
      <c r="AE61" s="57" t="s">
        <v>166</v>
      </c>
      <c r="AF61" s="57" t="s">
        <v>167</v>
      </c>
      <c r="AG61" s="265"/>
      <c r="AH61" s="265"/>
    </row>
    <row r="62" hidden="1">
      <c r="A62" s="9">
        <v>60.0</v>
      </c>
      <c r="B62" s="52" t="s">
        <v>110</v>
      </c>
      <c r="C62" s="11" t="s">
        <v>240</v>
      </c>
      <c r="D62" s="14" t="s">
        <v>109</v>
      </c>
      <c r="E62" s="11">
        <v>2023.0</v>
      </c>
      <c r="F62" s="11">
        <v>2023.0</v>
      </c>
      <c r="G62" s="11">
        <v>2.0</v>
      </c>
      <c r="H62" s="51" t="s">
        <v>486</v>
      </c>
      <c r="I62" s="11">
        <v>7684.0</v>
      </c>
      <c r="J62" s="11" t="s">
        <v>243</v>
      </c>
      <c r="K62" s="11" t="s">
        <v>160</v>
      </c>
      <c r="L62" s="11" t="s">
        <v>332</v>
      </c>
      <c r="M62" s="11">
        <v>2023.0</v>
      </c>
      <c r="N62" s="11">
        <v>2.0</v>
      </c>
      <c r="O62" s="11" t="s">
        <v>245</v>
      </c>
      <c r="P62" s="11" t="s">
        <v>163</v>
      </c>
      <c r="Q62" s="52" t="s">
        <v>494</v>
      </c>
      <c r="R62" s="52" t="s">
        <v>495</v>
      </c>
      <c r="S62" s="53">
        <v>47071.0</v>
      </c>
      <c r="T62" s="54" t="s">
        <v>668</v>
      </c>
      <c r="U62" s="317">
        <v>46340.0</v>
      </c>
      <c r="V62" s="54" t="s">
        <v>668</v>
      </c>
      <c r="W62" s="324">
        <v>46148.0</v>
      </c>
      <c r="X62" s="54" t="s">
        <v>668</v>
      </c>
      <c r="Y62" s="317">
        <v>46148.0</v>
      </c>
      <c r="Z62" s="54" t="s">
        <v>668</v>
      </c>
      <c r="AA62" s="53">
        <v>46526.0</v>
      </c>
      <c r="AB62" s="54" t="s">
        <v>668</v>
      </c>
      <c r="AC62" s="315">
        <v>46155.0</v>
      </c>
      <c r="AD62" s="54" t="s">
        <v>668</v>
      </c>
      <c r="AE62" s="57" t="s">
        <v>166</v>
      </c>
      <c r="AF62" s="57" t="s">
        <v>167</v>
      </c>
      <c r="AG62" s="265"/>
      <c r="AH62" s="265"/>
    </row>
    <row r="63" hidden="1">
      <c r="A63" s="9">
        <v>61.0</v>
      </c>
      <c r="B63" s="52" t="s">
        <v>111</v>
      </c>
      <c r="C63" s="11" t="s">
        <v>240</v>
      </c>
      <c r="D63" s="14" t="s">
        <v>109</v>
      </c>
      <c r="E63" s="11">
        <v>2023.0</v>
      </c>
      <c r="F63" s="11">
        <v>2023.0</v>
      </c>
      <c r="G63" s="11">
        <v>2.0</v>
      </c>
      <c r="H63" s="51" t="s">
        <v>486</v>
      </c>
      <c r="I63" s="11">
        <v>7684.0</v>
      </c>
      <c r="J63" s="11" t="s">
        <v>243</v>
      </c>
      <c r="K63" s="11" t="s">
        <v>160</v>
      </c>
      <c r="L63" s="11" t="s">
        <v>332</v>
      </c>
      <c r="M63" s="11">
        <v>2023.0</v>
      </c>
      <c r="N63" s="11">
        <v>2.0</v>
      </c>
      <c r="O63" s="11" t="s">
        <v>245</v>
      </c>
      <c r="P63" s="11" t="s">
        <v>163</v>
      </c>
      <c r="Q63" s="52" t="s">
        <v>506</v>
      </c>
      <c r="R63" s="52" t="s">
        <v>507</v>
      </c>
      <c r="S63" s="53">
        <v>47071.0</v>
      </c>
      <c r="T63" s="54" t="s">
        <v>668</v>
      </c>
      <c r="U63" s="317">
        <v>46340.0</v>
      </c>
      <c r="V63" s="54" t="s">
        <v>668</v>
      </c>
      <c r="W63" s="320">
        <v>46148.0</v>
      </c>
      <c r="X63" s="54" t="s">
        <v>668</v>
      </c>
      <c r="Y63" s="317">
        <v>46148.0</v>
      </c>
      <c r="Z63" s="54" t="s">
        <v>668</v>
      </c>
      <c r="AA63" s="53">
        <v>46711.0</v>
      </c>
      <c r="AB63" s="54" t="s">
        <v>668</v>
      </c>
      <c r="AC63" s="315">
        <v>46155.0</v>
      </c>
      <c r="AD63" s="54" t="s">
        <v>668</v>
      </c>
      <c r="AE63" s="57" t="s">
        <v>166</v>
      </c>
      <c r="AF63" s="57" t="s">
        <v>167</v>
      </c>
      <c r="AG63" s="265"/>
      <c r="AH63" s="265"/>
    </row>
    <row r="64" hidden="1">
      <c r="A64" s="9">
        <v>62.0</v>
      </c>
      <c r="B64" s="52" t="s">
        <v>113</v>
      </c>
      <c r="C64" s="9" t="s">
        <v>153</v>
      </c>
      <c r="D64" s="24" t="s">
        <v>109</v>
      </c>
      <c r="E64" s="9">
        <v>2023.0</v>
      </c>
      <c r="F64" s="9">
        <v>2023.0</v>
      </c>
      <c r="G64" s="11">
        <v>2.0</v>
      </c>
      <c r="H64" s="117" t="s">
        <v>513</v>
      </c>
      <c r="I64" s="9">
        <v>7684.0</v>
      </c>
      <c r="J64" s="11" t="s">
        <v>243</v>
      </c>
      <c r="K64" s="9" t="s">
        <v>160</v>
      </c>
      <c r="L64" s="9" t="s">
        <v>332</v>
      </c>
      <c r="M64" s="9">
        <v>2023.0</v>
      </c>
      <c r="N64" s="11">
        <v>2.0</v>
      </c>
      <c r="O64" s="9" t="s">
        <v>162</v>
      </c>
      <c r="P64" s="9" t="s">
        <v>163</v>
      </c>
      <c r="Q64" s="118" t="s">
        <v>514</v>
      </c>
      <c r="R64" s="118" t="s">
        <v>515</v>
      </c>
      <c r="S64" s="53">
        <v>47115.0</v>
      </c>
      <c r="T64" s="54" t="s">
        <v>668</v>
      </c>
      <c r="U64" s="317">
        <v>46384.0</v>
      </c>
      <c r="V64" s="54" t="s">
        <v>668</v>
      </c>
      <c r="W64" s="317">
        <v>46032.0</v>
      </c>
      <c r="X64" s="54" t="s">
        <v>669</v>
      </c>
      <c r="Y64" s="317">
        <v>46032.0</v>
      </c>
      <c r="Z64" s="54" t="s">
        <v>669</v>
      </c>
      <c r="AA64" s="53">
        <v>46047.0</v>
      </c>
      <c r="AB64" s="54" t="s">
        <v>668</v>
      </c>
      <c r="AC64" s="315">
        <v>46192.0</v>
      </c>
      <c r="AD64" s="54" t="s">
        <v>668</v>
      </c>
      <c r="AE64" s="57" t="s">
        <v>166</v>
      </c>
      <c r="AF64" s="57" t="s">
        <v>167</v>
      </c>
      <c r="AG64" s="265"/>
      <c r="AH64" s="265"/>
    </row>
    <row r="65" hidden="1">
      <c r="A65" s="9">
        <v>63.0</v>
      </c>
      <c r="B65" s="52" t="s">
        <v>114</v>
      </c>
      <c r="C65" s="9" t="s">
        <v>153</v>
      </c>
      <c r="D65" s="24" t="s">
        <v>109</v>
      </c>
      <c r="E65" s="9">
        <v>2023.0</v>
      </c>
      <c r="F65" s="9">
        <v>2024.0</v>
      </c>
      <c r="G65" s="11">
        <v>2.0</v>
      </c>
      <c r="H65" s="117" t="s">
        <v>521</v>
      </c>
      <c r="I65" s="9">
        <v>7684.0</v>
      </c>
      <c r="J65" s="11" t="s">
        <v>243</v>
      </c>
      <c r="K65" s="9" t="s">
        <v>160</v>
      </c>
      <c r="L65" s="9" t="s">
        <v>332</v>
      </c>
      <c r="M65" s="9">
        <v>2023.0</v>
      </c>
      <c r="N65" s="11">
        <v>2.0</v>
      </c>
      <c r="O65" s="9" t="s">
        <v>162</v>
      </c>
      <c r="P65" s="9" t="s">
        <v>163</v>
      </c>
      <c r="Q65" s="118" t="s">
        <v>523</v>
      </c>
      <c r="R65" s="118" t="s">
        <v>524</v>
      </c>
      <c r="S65" s="53">
        <v>47133.0</v>
      </c>
      <c r="T65" s="54" t="s">
        <v>668</v>
      </c>
      <c r="U65" s="317">
        <v>46037.0</v>
      </c>
      <c r="V65" s="54" t="s">
        <v>669</v>
      </c>
      <c r="W65" s="317">
        <v>46032.0</v>
      </c>
      <c r="X65" s="54" t="s">
        <v>669</v>
      </c>
      <c r="Y65" s="317">
        <v>46032.0</v>
      </c>
      <c r="Z65" s="54" t="s">
        <v>669</v>
      </c>
      <c r="AA65" s="53">
        <v>46047.0</v>
      </c>
      <c r="AB65" s="54" t="s">
        <v>668</v>
      </c>
      <c r="AC65" s="315">
        <v>46192.0</v>
      </c>
      <c r="AD65" s="54" t="s">
        <v>668</v>
      </c>
      <c r="AE65" s="57" t="s">
        <v>166</v>
      </c>
      <c r="AF65" s="57" t="s">
        <v>167</v>
      </c>
      <c r="AG65" s="265"/>
      <c r="AH65" s="265"/>
    </row>
    <row r="66" hidden="1">
      <c r="A66" s="9">
        <v>64.0</v>
      </c>
      <c r="B66" s="52" t="s">
        <v>115</v>
      </c>
      <c r="C66" s="22" t="s">
        <v>240</v>
      </c>
      <c r="D66" s="14" t="s">
        <v>116</v>
      </c>
      <c r="E66" s="11">
        <v>2018.0</v>
      </c>
      <c r="F66" s="11">
        <v>2018.0</v>
      </c>
      <c r="G66" s="11">
        <v>7.0</v>
      </c>
      <c r="H66" s="51" t="s">
        <v>534</v>
      </c>
      <c r="I66" s="11">
        <v>7790.0</v>
      </c>
      <c r="J66" s="11" t="s">
        <v>159</v>
      </c>
      <c r="K66" s="11" t="s">
        <v>316</v>
      </c>
      <c r="L66" s="11" t="s">
        <v>161</v>
      </c>
      <c r="M66" s="11">
        <v>2018.0</v>
      </c>
      <c r="N66" s="11">
        <v>7.0</v>
      </c>
      <c r="O66" s="11" t="s">
        <v>245</v>
      </c>
      <c r="P66" s="11" t="s">
        <v>467</v>
      </c>
      <c r="Q66" s="52" t="s">
        <v>535</v>
      </c>
      <c r="R66" s="52" t="s">
        <v>536</v>
      </c>
      <c r="S66" s="319">
        <v>46999.0</v>
      </c>
      <c r="T66" s="54" t="s">
        <v>668</v>
      </c>
      <c r="U66" s="320">
        <v>46268.0</v>
      </c>
      <c r="V66" s="54" t="s">
        <v>668</v>
      </c>
      <c r="W66" s="323">
        <v>46096.0</v>
      </c>
      <c r="X66" s="54" t="s">
        <v>668</v>
      </c>
      <c r="Y66" s="317">
        <v>46096.0</v>
      </c>
      <c r="Z66" s="54" t="s">
        <v>668</v>
      </c>
      <c r="AA66" s="53">
        <v>46648.0</v>
      </c>
      <c r="AB66" s="54" t="s">
        <v>668</v>
      </c>
      <c r="AC66" s="315">
        <v>46155.0</v>
      </c>
      <c r="AD66" s="54" t="s">
        <v>668</v>
      </c>
      <c r="AE66" s="57" t="s">
        <v>166</v>
      </c>
      <c r="AF66" s="57" t="s">
        <v>167</v>
      </c>
      <c r="AG66" s="265"/>
      <c r="AH66" s="265"/>
    </row>
    <row r="67" hidden="1">
      <c r="A67" s="9">
        <v>65.0</v>
      </c>
      <c r="B67" s="52" t="s">
        <v>117</v>
      </c>
      <c r="C67" s="9" t="s">
        <v>240</v>
      </c>
      <c r="D67" s="24" t="s">
        <v>118</v>
      </c>
      <c r="E67" s="9">
        <v>2023.0</v>
      </c>
      <c r="F67" s="9">
        <v>2024.0</v>
      </c>
      <c r="G67" s="11">
        <v>2.0</v>
      </c>
      <c r="H67" s="117" t="s">
        <v>486</v>
      </c>
      <c r="I67" s="9">
        <v>7684.0</v>
      </c>
      <c r="J67" s="11" t="s">
        <v>243</v>
      </c>
      <c r="K67" s="9" t="s">
        <v>160</v>
      </c>
      <c r="L67" s="9" t="s">
        <v>332</v>
      </c>
      <c r="M67" s="9">
        <v>2023.0</v>
      </c>
      <c r="N67" s="11">
        <v>2.0</v>
      </c>
      <c r="O67" s="9" t="s">
        <v>245</v>
      </c>
      <c r="P67" s="9" t="s">
        <v>163</v>
      </c>
      <c r="Q67" s="118" t="s">
        <v>548</v>
      </c>
      <c r="R67" s="118" t="s">
        <v>549</v>
      </c>
      <c r="S67" s="53">
        <v>47199.0</v>
      </c>
      <c r="T67" s="54" t="s">
        <v>668</v>
      </c>
      <c r="U67" s="317">
        <v>46103.0</v>
      </c>
      <c r="V67" s="54" t="s">
        <v>668</v>
      </c>
      <c r="W67" s="317">
        <v>46126.0</v>
      </c>
      <c r="X67" s="54" t="s">
        <v>668</v>
      </c>
      <c r="Y67" s="317">
        <v>46126.0</v>
      </c>
      <c r="Z67" s="54" t="s">
        <v>668</v>
      </c>
      <c r="AA67" s="53">
        <v>46493.0</v>
      </c>
      <c r="AB67" s="54" t="s">
        <v>668</v>
      </c>
      <c r="AC67" s="315">
        <v>46117.0</v>
      </c>
      <c r="AD67" s="54" t="s">
        <v>668</v>
      </c>
      <c r="AE67" s="96" t="s">
        <v>322</v>
      </c>
      <c r="AF67" s="57" t="s">
        <v>167</v>
      </c>
      <c r="AG67" s="265"/>
      <c r="AH67" s="265"/>
    </row>
    <row r="68" hidden="1">
      <c r="A68" s="9">
        <v>66.0</v>
      </c>
      <c r="B68" s="52" t="s">
        <v>119</v>
      </c>
      <c r="C68" s="9" t="s">
        <v>240</v>
      </c>
      <c r="D68" s="24" t="s">
        <v>118</v>
      </c>
      <c r="E68" s="9">
        <v>2024.0</v>
      </c>
      <c r="F68" s="9">
        <v>2024.0</v>
      </c>
      <c r="G68" s="11">
        <v>1.0</v>
      </c>
      <c r="H68" s="117" t="s">
        <v>486</v>
      </c>
      <c r="I68" s="9">
        <v>7684.0</v>
      </c>
      <c r="J68" s="11" t="s">
        <v>243</v>
      </c>
      <c r="K68" s="9" t="s">
        <v>160</v>
      </c>
      <c r="L68" s="9" t="s">
        <v>267</v>
      </c>
      <c r="M68" s="9">
        <v>2024.0</v>
      </c>
      <c r="N68" s="11">
        <v>1.0</v>
      </c>
      <c r="O68" s="9" t="s">
        <v>245</v>
      </c>
      <c r="P68" s="9" t="s">
        <v>163</v>
      </c>
      <c r="Q68" s="118" t="s">
        <v>557</v>
      </c>
      <c r="R68" s="118" t="s">
        <v>558</v>
      </c>
      <c r="S68" s="53">
        <v>47360.0</v>
      </c>
      <c r="T68" s="54" t="s">
        <v>668</v>
      </c>
      <c r="U68" s="317">
        <v>46264.0</v>
      </c>
      <c r="V68" s="54" t="s">
        <v>668</v>
      </c>
      <c r="W68" s="317">
        <v>46081.0</v>
      </c>
      <c r="X68" s="54" t="s">
        <v>668</v>
      </c>
      <c r="Y68" s="317">
        <v>46081.0</v>
      </c>
      <c r="Z68" s="54" t="s">
        <v>668</v>
      </c>
      <c r="AA68" s="53">
        <v>46277.0</v>
      </c>
      <c r="AB68" s="54" t="s">
        <v>668</v>
      </c>
      <c r="AC68" s="315">
        <v>46155.0</v>
      </c>
      <c r="AD68" s="54" t="s">
        <v>668</v>
      </c>
      <c r="AE68" s="96" t="s">
        <v>322</v>
      </c>
      <c r="AF68" s="57" t="s">
        <v>167</v>
      </c>
      <c r="AG68" s="265"/>
      <c r="AH68" s="265"/>
    </row>
    <row r="69" hidden="1">
      <c r="A69" s="9">
        <v>67.0</v>
      </c>
      <c r="B69" s="52" t="s">
        <v>120</v>
      </c>
      <c r="C69" s="22" t="s">
        <v>324</v>
      </c>
      <c r="D69" s="24" t="s">
        <v>118</v>
      </c>
      <c r="E69" s="9">
        <v>2024.0</v>
      </c>
      <c r="F69" s="9">
        <v>2024.0</v>
      </c>
      <c r="G69" s="11">
        <v>1.0</v>
      </c>
      <c r="H69" s="117" t="s">
        <v>568</v>
      </c>
      <c r="I69" s="9">
        <v>7545.0</v>
      </c>
      <c r="J69" s="11" t="s">
        <v>243</v>
      </c>
      <c r="K69" s="9" t="s">
        <v>160</v>
      </c>
      <c r="L69" s="9" t="s">
        <v>559</v>
      </c>
      <c r="M69" s="9">
        <v>2024.0</v>
      </c>
      <c r="N69" s="11">
        <v>1.0</v>
      </c>
      <c r="O69" s="9" t="s">
        <v>245</v>
      </c>
      <c r="P69" s="9" t="s">
        <v>569</v>
      </c>
      <c r="Q69" s="24" t="s">
        <v>570</v>
      </c>
      <c r="R69" s="118" t="s">
        <v>571</v>
      </c>
      <c r="S69" s="319">
        <v>47337.0</v>
      </c>
      <c r="T69" s="54" t="s">
        <v>668</v>
      </c>
      <c r="U69" s="320">
        <v>46241.0</v>
      </c>
      <c r="V69" s="54" t="s">
        <v>668</v>
      </c>
      <c r="W69" s="317">
        <v>46104.0</v>
      </c>
      <c r="X69" s="54" t="s">
        <v>668</v>
      </c>
      <c r="Y69" s="317">
        <v>46104.0</v>
      </c>
      <c r="Z69" s="54" t="s">
        <v>668</v>
      </c>
      <c r="AA69" s="53">
        <v>46325.0</v>
      </c>
      <c r="AB69" s="54" t="s">
        <v>668</v>
      </c>
      <c r="AC69" s="315">
        <v>46122.0</v>
      </c>
      <c r="AD69" s="54" t="s">
        <v>668</v>
      </c>
      <c r="AE69" s="96" t="s">
        <v>322</v>
      </c>
      <c r="AF69" s="57" t="s">
        <v>167</v>
      </c>
      <c r="AG69" s="265"/>
      <c r="AH69" s="265"/>
    </row>
    <row r="70" hidden="1">
      <c r="A70" s="9">
        <v>68.0</v>
      </c>
      <c r="B70" s="52" t="s">
        <v>121</v>
      </c>
      <c r="C70" s="22" t="s">
        <v>240</v>
      </c>
      <c r="D70" s="24" t="s">
        <v>118</v>
      </c>
      <c r="E70" s="9">
        <v>2024.0</v>
      </c>
      <c r="F70" s="9">
        <v>2024.0</v>
      </c>
      <c r="G70" s="11">
        <v>1.0</v>
      </c>
      <c r="H70" s="117" t="s">
        <v>579</v>
      </c>
      <c r="I70" s="9">
        <v>7684.0</v>
      </c>
      <c r="J70" s="11" t="s">
        <v>243</v>
      </c>
      <c r="K70" s="9" t="s">
        <v>316</v>
      </c>
      <c r="L70" s="9" t="s">
        <v>580</v>
      </c>
      <c r="M70" s="9">
        <v>2025.0</v>
      </c>
      <c r="N70" s="11">
        <v>0.0</v>
      </c>
      <c r="O70" s="9" t="s">
        <v>245</v>
      </c>
      <c r="P70" s="9" t="s">
        <v>163</v>
      </c>
      <c r="Q70" s="24" t="s">
        <v>582</v>
      </c>
      <c r="R70" s="118" t="s">
        <v>583</v>
      </c>
      <c r="S70" s="319">
        <v>47673.0</v>
      </c>
      <c r="T70" s="54" t="s">
        <v>668</v>
      </c>
      <c r="U70" s="320">
        <v>46212.0</v>
      </c>
      <c r="V70" s="54" t="s">
        <v>668</v>
      </c>
      <c r="W70" s="317">
        <v>46079.0</v>
      </c>
      <c r="X70" s="54" t="s">
        <v>668</v>
      </c>
      <c r="Y70" s="317">
        <v>46079.0</v>
      </c>
      <c r="Z70" s="54" t="s">
        <v>668</v>
      </c>
      <c r="AA70" s="53">
        <v>46634.0</v>
      </c>
      <c r="AB70" s="54" t="s">
        <v>668</v>
      </c>
      <c r="AC70" s="315">
        <v>46155.0</v>
      </c>
      <c r="AD70" s="54" t="s">
        <v>668</v>
      </c>
      <c r="AE70" s="96" t="s">
        <v>322</v>
      </c>
      <c r="AF70" s="57" t="s">
        <v>167</v>
      </c>
      <c r="AG70" s="265"/>
      <c r="AH70" s="265"/>
    </row>
    <row r="71" hidden="1">
      <c r="A71" s="9">
        <v>69.0</v>
      </c>
      <c r="B71" s="52" t="s">
        <v>122</v>
      </c>
      <c r="C71" s="11" t="s">
        <v>240</v>
      </c>
      <c r="D71" s="14" t="s">
        <v>118</v>
      </c>
      <c r="E71" s="11">
        <v>2024.0</v>
      </c>
      <c r="F71" s="11">
        <v>2025.0</v>
      </c>
      <c r="G71" s="11">
        <v>1.0</v>
      </c>
      <c r="H71" s="51" t="s">
        <v>593</v>
      </c>
      <c r="I71" s="11">
        <v>7684.0</v>
      </c>
      <c r="J71" s="11" t="s">
        <v>243</v>
      </c>
      <c r="K71" s="11" t="s">
        <v>160</v>
      </c>
      <c r="L71" s="11" t="s">
        <v>267</v>
      </c>
      <c r="M71" s="11">
        <v>2025.0</v>
      </c>
      <c r="N71" s="11">
        <v>0.0</v>
      </c>
      <c r="O71" s="11" t="s">
        <v>162</v>
      </c>
      <c r="P71" s="11" t="s">
        <v>163</v>
      </c>
      <c r="Q71" s="14" t="s">
        <v>596</v>
      </c>
      <c r="R71" s="52" t="s">
        <v>597</v>
      </c>
      <c r="S71" s="321">
        <v>47563.0</v>
      </c>
      <c r="T71" s="54" t="s">
        <v>668</v>
      </c>
      <c r="U71" s="317">
        <v>46102.0</v>
      </c>
      <c r="V71" s="54" t="s">
        <v>668</v>
      </c>
      <c r="W71" s="317">
        <v>46104.0</v>
      </c>
      <c r="X71" s="54" t="s">
        <v>668</v>
      </c>
      <c r="Y71" s="317">
        <v>46104.0</v>
      </c>
      <c r="Z71" s="54" t="s">
        <v>668</v>
      </c>
      <c r="AA71" s="53">
        <v>46492.0</v>
      </c>
      <c r="AB71" s="54" t="s">
        <v>668</v>
      </c>
      <c r="AC71" s="315">
        <v>46126.0</v>
      </c>
      <c r="AD71" s="54" t="s">
        <v>668</v>
      </c>
      <c r="AE71" s="96" t="s">
        <v>322</v>
      </c>
      <c r="AF71" s="57" t="s">
        <v>167</v>
      </c>
      <c r="AG71" s="265"/>
      <c r="AH71" s="265"/>
    </row>
    <row r="72">
      <c r="A72" s="9">
        <v>5.0</v>
      </c>
      <c r="B72" s="9" t="s">
        <v>709</v>
      </c>
      <c r="C72" s="9" t="s">
        <v>153</v>
      </c>
      <c r="D72" s="9" t="s">
        <v>47</v>
      </c>
      <c r="E72" s="9">
        <v>2015.0</v>
      </c>
      <c r="F72" s="9">
        <v>2015.0</v>
      </c>
      <c r="G72" s="9">
        <v>10.0</v>
      </c>
      <c r="H72" s="117" t="s">
        <v>700</v>
      </c>
      <c r="I72" s="9">
        <v>7684.0</v>
      </c>
      <c r="J72" s="9" t="s">
        <v>159</v>
      </c>
      <c r="K72" s="9" t="s">
        <v>160</v>
      </c>
      <c r="L72" s="9" t="s">
        <v>161</v>
      </c>
      <c r="M72" s="9">
        <v>2015.0</v>
      </c>
      <c r="N72" s="9">
        <v>10.0</v>
      </c>
      <c r="O72" s="9" t="s">
        <v>162</v>
      </c>
      <c r="P72" s="9" t="s">
        <v>163</v>
      </c>
      <c r="Q72" s="9" t="s">
        <v>710</v>
      </c>
      <c r="R72" s="9" t="s">
        <v>711</v>
      </c>
      <c r="S72" s="53">
        <v>47846.0</v>
      </c>
      <c r="T72" s="314" t="s">
        <v>668</v>
      </c>
      <c r="U72" s="53">
        <v>46385.0</v>
      </c>
      <c r="V72" s="314" t="s">
        <v>668</v>
      </c>
      <c r="W72" s="325">
        <v>46145.0</v>
      </c>
      <c r="X72" s="314" t="s">
        <v>668</v>
      </c>
      <c r="Y72" s="53">
        <v>46145.0</v>
      </c>
      <c r="Z72" s="314" t="s">
        <v>668</v>
      </c>
      <c r="AA72" s="53">
        <v>46540.0</v>
      </c>
      <c r="AB72" s="314" t="s">
        <v>668</v>
      </c>
      <c r="AC72" s="315">
        <v>46124.0</v>
      </c>
      <c r="AD72" s="314" t="s">
        <v>668</v>
      </c>
      <c r="AE72" s="155" t="s">
        <v>166</v>
      </c>
      <c r="AF72" s="155" t="s">
        <v>167</v>
      </c>
      <c r="AG72" s="316"/>
      <c r="AH72" s="316"/>
    </row>
    <row r="73">
      <c r="A73" s="9">
        <v>6.0</v>
      </c>
      <c r="B73" s="9" t="s">
        <v>712</v>
      </c>
      <c r="C73" s="9" t="s">
        <v>153</v>
      </c>
      <c r="D73" s="9" t="s">
        <v>47</v>
      </c>
      <c r="E73" s="9">
        <v>2015.0</v>
      </c>
      <c r="F73" s="9">
        <v>2015.0</v>
      </c>
      <c r="G73" s="9">
        <v>10.0</v>
      </c>
      <c r="H73" s="117" t="s">
        <v>713</v>
      </c>
      <c r="I73" s="9">
        <v>7684.0</v>
      </c>
      <c r="J73" s="9" t="s">
        <v>159</v>
      </c>
      <c r="K73" s="9" t="s">
        <v>160</v>
      </c>
      <c r="L73" s="9" t="s">
        <v>161</v>
      </c>
      <c r="M73" s="9">
        <v>2015.0</v>
      </c>
      <c r="N73" s="9">
        <v>10.0</v>
      </c>
      <c r="O73" s="9" t="s">
        <v>162</v>
      </c>
      <c r="P73" s="9" t="s">
        <v>163</v>
      </c>
      <c r="Q73" s="9" t="s">
        <v>714</v>
      </c>
      <c r="R73" s="9" t="s">
        <v>715</v>
      </c>
      <c r="S73" s="53">
        <v>47846.0</v>
      </c>
      <c r="T73" s="314" t="s">
        <v>668</v>
      </c>
      <c r="U73" s="53">
        <v>46385.0</v>
      </c>
      <c r="V73" s="314" t="s">
        <v>668</v>
      </c>
      <c r="W73" s="325">
        <v>46145.0</v>
      </c>
      <c r="X73" s="314" t="s">
        <v>668</v>
      </c>
      <c r="Y73" s="53">
        <v>46145.0</v>
      </c>
      <c r="Z73" s="314" t="s">
        <v>668</v>
      </c>
      <c r="AA73" s="53">
        <v>46442.0</v>
      </c>
      <c r="AB73" s="314" t="s">
        <v>668</v>
      </c>
      <c r="AC73" s="315">
        <v>46162.0</v>
      </c>
      <c r="AD73" s="314" t="s">
        <v>668</v>
      </c>
      <c r="AE73" s="155" t="s">
        <v>166</v>
      </c>
      <c r="AF73" s="155" t="s">
        <v>167</v>
      </c>
      <c r="AG73" s="316"/>
      <c r="AH73" s="316"/>
    </row>
    <row r="74" hidden="1">
      <c r="A74" s="9">
        <v>72.0</v>
      </c>
      <c r="B74" s="52" t="s">
        <v>127</v>
      </c>
      <c r="C74" s="11" t="s">
        <v>153</v>
      </c>
      <c r="D74" s="26" t="s">
        <v>124</v>
      </c>
      <c r="E74" s="19">
        <v>2022.0</v>
      </c>
      <c r="F74" s="19">
        <v>2022.0</v>
      </c>
      <c r="G74" s="11">
        <v>3.0</v>
      </c>
      <c r="H74" s="137" t="s">
        <v>317</v>
      </c>
      <c r="I74" s="19">
        <v>7684.0</v>
      </c>
      <c r="J74" s="11" t="s">
        <v>243</v>
      </c>
      <c r="K74" s="11" t="s">
        <v>160</v>
      </c>
      <c r="L74" s="11" t="s">
        <v>332</v>
      </c>
      <c r="M74" s="11">
        <v>2012.0</v>
      </c>
      <c r="N74" s="11">
        <v>13.0</v>
      </c>
      <c r="O74" s="11" t="s">
        <v>162</v>
      </c>
      <c r="P74" s="19" t="s">
        <v>610</v>
      </c>
      <c r="Q74" s="115" t="s">
        <v>621</v>
      </c>
      <c r="R74" s="115" t="s">
        <v>622</v>
      </c>
      <c r="S74" s="325">
        <v>46639.0</v>
      </c>
      <c r="T74" s="54" t="s">
        <v>668</v>
      </c>
      <c r="U74" s="324">
        <v>46274.0</v>
      </c>
      <c r="V74" s="54" t="s">
        <v>668</v>
      </c>
      <c r="W74" s="324">
        <v>46119.0</v>
      </c>
      <c r="X74" s="54" t="s">
        <v>668</v>
      </c>
      <c r="Y74" s="317">
        <v>46119.0</v>
      </c>
      <c r="Z74" s="54" t="s">
        <v>668</v>
      </c>
      <c r="AA74" s="53">
        <v>46312.0</v>
      </c>
      <c r="AB74" s="54" t="s">
        <v>668</v>
      </c>
      <c r="AC74" s="315">
        <v>46117.0</v>
      </c>
      <c r="AD74" s="54" t="s">
        <v>668</v>
      </c>
      <c r="AE74" s="96" t="s">
        <v>203</v>
      </c>
      <c r="AF74" s="57" t="s">
        <v>167</v>
      </c>
      <c r="AG74" s="265"/>
      <c r="AH74" s="265"/>
    </row>
    <row r="75" hidden="1">
      <c r="A75" s="9">
        <v>73.0</v>
      </c>
      <c r="B75" s="14" t="s">
        <v>129</v>
      </c>
      <c r="C75" s="9" t="s">
        <v>153</v>
      </c>
      <c r="D75" s="29" t="s">
        <v>133</v>
      </c>
      <c r="E75" s="22">
        <v>2024.0</v>
      </c>
      <c r="F75" s="22">
        <v>2025.0</v>
      </c>
      <c r="G75" s="11">
        <v>1.0</v>
      </c>
      <c r="H75" s="139" t="s">
        <v>623</v>
      </c>
      <c r="I75" s="22">
        <v>7790.0</v>
      </c>
      <c r="J75" s="11" t="s">
        <v>243</v>
      </c>
      <c r="K75" s="9" t="s">
        <v>160</v>
      </c>
      <c r="L75" s="9" t="s">
        <v>559</v>
      </c>
      <c r="M75" s="9">
        <v>2025.0</v>
      </c>
      <c r="N75" s="11">
        <v>0.0</v>
      </c>
      <c r="O75" s="9" t="s">
        <v>162</v>
      </c>
      <c r="P75" s="22" t="s">
        <v>467</v>
      </c>
      <c r="Q75" s="29" t="s">
        <v>624</v>
      </c>
      <c r="R75" s="29" t="s">
        <v>625</v>
      </c>
      <c r="S75" s="326">
        <v>47645.0</v>
      </c>
      <c r="T75" s="54" t="s">
        <v>668</v>
      </c>
      <c r="U75" s="323">
        <v>46184.0</v>
      </c>
      <c r="V75" s="54" t="s">
        <v>668</v>
      </c>
      <c r="W75" s="323">
        <v>46181.0</v>
      </c>
      <c r="X75" s="54" t="s">
        <v>668</v>
      </c>
      <c r="Y75" s="317">
        <v>46188.0</v>
      </c>
      <c r="Z75" s="54" t="s">
        <v>668</v>
      </c>
      <c r="AA75" s="53">
        <v>46578.0</v>
      </c>
      <c r="AB75" s="54" t="s">
        <v>668</v>
      </c>
      <c r="AC75" s="315">
        <v>46141.0</v>
      </c>
      <c r="AD75" s="54" t="s">
        <v>668</v>
      </c>
      <c r="AE75" s="96" t="s">
        <v>626</v>
      </c>
      <c r="AF75" s="57" t="s">
        <v>167</v>
      </c>
      <c r="AG75" s="265"/>
      <c r="AH75" s="265"/>
    </row>
    <row r="76" hidden="1">
      <c r="A76" s="9">
        <v>74.0</v>
      </c>
      <c r="B76" s="52" t="s">
        <v>134</v>
      </c>
      <c r="C76" s="11" t="s">
        <v>153</v>
      </c>
      <c r="D76" s="26" t="s">
        <v>133</v>
      </c>
      <c r="E76" s="19">
        <v>2024.0</v>
      </c>
      <c r="F76" s="19">
        <v>2025.0</v>
      </c>
      <c r="G76" s="11">
        <v>1.0</v>
      </c>
      <c r="H76" s="137" t="s">
        <v>623</v>
      </c>
      <c r="I76" s="19">
        <v>7790.0</v>
      </c>
      <c r="J76" s="11" t="s">
        <v>243</v>
      </c>
      <c r="K76" s="11" t="s">
        <v>160</v>
      </c>
      <c r="L76" s="11" t="s">
        <v>559</v>
      </c>
      <c r="M76" s="11">
        <v>2025.0</v>
      </c>
      <c r="N76" s="11">
        <v>0.0</v>
      </c>
      <c r="O76" s="11" t="s">
        <v>162</v>
      </c>
      <c r="P76" s="19" t="s">
        <v>467</v>
      </c>
      <c r="Q76" s="115" t="s">
        <v>627</v>
      </c>
      <c r="R76" s="115" t="s">
        <v>628</v>
      </c>
      <c r="S76" s="327">
        <v>47668.0</v>
      </c>
      <c r="T76" s="54" t="s">
        <v>668</v>
      </c>
      <c r="U76" s="324">
        <v>46207.0</v>
      </c>
      <c r="V76" s="54" t="s">
        <v>668</v>
      </c>
      <c r="W76" s="323">
        <v>46036.0</v>
      </c>
      <c r="X76" s="54" t="s">
        <v>669</v>
      </c>
      <c r="Y76" s="317">
        <v>46036.0</v>
      </c>
      <c r="Z76" s="54" t="s">
        <v>669</v>
      </c>
      <c r="AA76" s="53">
        <v>46591.0</v>
      </c>
      <c r="AB76" s="54" t="s">
        <v>668</v>
      </c>
      <c r="AC76" s="315">
        <v>46040.0</v>
      </c>
      <c r="AD76" s="54" t="s">
        <v>669</v>
      </c>
      <c r="AE76" s="96" t="s">
        <v>626</v>
      </c>
      <c r="AF76" s="57" t="s">
        <v>167</v>
      </c>
      <c r="AG76" s="265"/>
      <c r="AH76" s="265"/>
    </row>
    <row r="77" hidden="1">
      <c r="A77" s="9">
        <v>77.0</v>
      </c>
      <c r="B77" s="11" t="s">
        <v>135</v>
      </c>
      <c r="C77" s="19" t="s">
        <v>240</v>
      </c>
      <c r="D77" s="26" t="s">
        <v>142</v>
      </c>
      <c r="E77" s="19">
        <v>2017.0</v>
      </c>
      <c r="F77" s="19">
        <v>2018.0</v>
      </c>
      <c r="G77" s="11">
        <v>8.0</v>
      </c>
      <c r="H77" s="137" t="s">
        <v>629</v>
      </c>
      <c r="I77" s="19">
        <v>7684.0</v>
      </c>
      <c r="J77" s="11" t="s">
        <v>159</v>
      </c>
      <c r="K77" s="11" t="s">
        <v>316</v>
      </c>
      <c r="L77" s="11" t="s">
        <v>161</v>
      </c>
      <c r="M77" s="11">
        <v>2017.0</v>
      </c>
      <c r="N77" s="11">
        <v>8.0</v>
      </c>
      <c r="O77" s="11" t="s">
        <v>245</v>
      </c>
      <c r="P77" s="19" t="s">
        <v>163</v>
      </c>
      <c r="Q77" s="19" t="s">
        <v>630</v>
      </c>
      <c r="R77" s="115" t="s">
        <v>631</v>
      </c>
      <c r="S77" s="326">
        <v>46831.0</v>
      </c>
      <c r="T77" s="54" t="s">
        <v>668</v>
      </c>
      <c r="U77" s="323">
        <v>46100.0</v>
      </c>
      <c r="V77" s="54" t="s">
        <v>668</v>
      </c>
      <c r="W77" s="324">
        <v>46167.0</v>
      </c>
      <c r="X77" s="54" t="s">
        <v>668</v>
      </c>
      <c r="Y77" s="53">
        <v>46174.0</v>
      </c>
      <c r="Z77" s="54" t="s">
        <v>668</v>
      </c>
      <c r="AA77" s="53">
        <v>46054.0</v>
      </c>
      <c r="AB77" s="54" t="s">
        <v>668</v>
      </c>
      <c r="AC77" s="315">
        <v>46176.0</v>
      </c>
      <c r="AD77" s="54" t="s">
        <v>668</v>
      </c>
      <c r="AE77" s="57" t="s">
        <v>166</v>
      </c>
      <c r="AF77" s="57" t="s">
        <v>167</v>
      </c>
      <c r="AG77" s="265"/>
      <c r="AH77" s="265"/>
    </row>
    <row r="78" hidden="1">
      <c r="A78" s="9">
        <v>78.0</v>
      </c>
      <c r="B78" s="11" t="s">
        <v>145</v>
      </c>
      <c r="C78" s="11" t="s">
        <v>153</v>
      </c>
      <c r="D78" s="26" t="s">
        <v>142</v>
      </c>
      <c r="E78" s="19">
        <v>2019.0</v>
      </c>
      <c r="F78" s="19">
        <v>2019.0</v>
      </c>
      <c r="G78" s="11">
        <v>6.0</v>
      </c>
      <c r="H78" s="137" t="s">
        <v>632</v>
      </c>
      <c r="I78" s="19">
        <v>6374.0</v>
      </c>
      <c r="J78" s="11" t="s">
        <v>159</v>
      </c>
      <c r="K78" s="11" t="s">
        <v>160</v>
      </c>
      <c r="L78" s="11" t="s">
        <v>161</v>
      </c>
      <c r="M78" s="11">
        <v>2019.0</v>
      </c>
      <c r="N78" s="11">
        <v>6.0</v>
      </c>
      <c r="O78" s="11" t="s">
        <v>162</v>
      </c>
      <c r="P78" s="19" t="s">
        <v>270</v>
      </c>
      <c r="Q78" s="19" t="s">
        <v>633</v>
      </c>
      <c r="R78" s="115" t="s">
        <v>634</v>
      </c>
      <c r="S78" s="322">
        <v>47402.0</v>
      </c>
      <c r="T78" s="54" t="s">
        <v>668</v>
      </c>
      <c r="U78" s="323">
        <v>46306.0</v>
      </c>
      <c r="V78" s="54" t="s">
        <v>668</v>
      </c>
      <c r="W78" s="323">
        <v>46107.0</v>
      </c>
      <c r="X78" s="54" t="s">
        <v>668</v>
      </c>
      <c r="Y78" s="53">
        <v>46107.0</v>
      </c>
      <c r="Z78" s="54" t="s">
        <v>668</v>
      </c>
      <c r="AA78" s="53">
        <v>46039.0</v>
      </c>
      <c r="AB78" s="54" t="s">
        <v>669</v>
      </c>
      <c r="AC78" s="315">
        <v>46127.0</v>
      </c>
      <c r="AD78" s="54" t="s">
        <v>668</v>
      </c>
      <c r="AE78" s="57" t="s">
        <v>166</v>
      </c>
      <c r="AF78" s="57" t="s">
        <v>167</v>
      </c>
      <c r="AG78" s="265"/>
      <c r="AH78" s="265"/>
    </row>
    <row r="79" hidden="1">
      <c r="A79" s="9">
        <v>80.0</v>
      </c>
      <c r="B79" s="11" t="s">
        <v>149</v>
      </c>
      <c r="C79" s="11" t="s">
        <v>153</v>
      </c>
      <c r="D79" s="26" t="s">
        <v>142</v>
      </c>
      <c r="E79" s="19">
        <v>2019.0</v>
      </c>
      <c r="F79" s="19">
        <v>2019.0</v>
      </c>
      <c r="G79" s="11">
        <v>6.0</v>
      </c>
      <c r="H79" s="137" t="s">
        <v>373</v>
      </c>
      <c r="I79" s="19">
        <v>6374.0</v>
      </c>
      <c r="J79" s="11" t="s">
        <v>159</v>
      </c>
      <c r="K79" s="11" t="s">
        <v>160</v>
      </c>
      <c r="L79" s="11" t="s">
        <v>508</v>
      </c>
      <c r="M79" s="11">
        <v>2019.0</v>
      </c>
      <c r="N79" s="11">
        <v>6.0</v>
      </c>
      <c r="O79" s="11" t="s">
        <v>162</v>
      </c>
      <c r="P79" s="19" t="s">
        <v>270</v>
      </c>
      <c r="Q79" s="19" t="s">
        <v>640</v>
      </c>
      <c r="R79" s="115" t="s">
        <v>641</v>
      </c>
      <c r="S79" s="322">
        <v>47405.0</v>
      </c>
      <c r="T79" s="54" t="s">
        <v>668</v>
      </c>
      <c r="U79" s="323">
        <v>46309.0</v>
      </c>
      <c r="V79" s="54" t="s">
        <v>668</v>
      </c>
      <c r="W79" s="324">
        <v>46062.0</v>
      </c>
      <c r="X79" s="54" t="s">
        <v>668</v>
      </c>
      <c r="Y79" s="317">
        <v>46062.0</v>
      </c>
      <c r="Z79" s="54" t="s">
        <v>668</v>
      </c>
      <c r="AA79" s="53">
        <v>46599.0</v>
      </c>
      <c r="AB79" s="54" t="s">
        <v>668</v>
      </c>
      <c r="AC79" s="315">
        <v>46129.0</v>
      </c>
      <c r="AD79" s="54" t="s">
        <v>668</v>
      </c>
      <c r="AE79" s="57" t="s">
        <v>166</v>
      </c>
      <c r="AF79" s="57" t="s">
        <v>167</v>
      </c>
      <c r="AG79" s="265"/>
      <c r="AH79" s="265"/>
    </row>
    <row r="80">
      <c r="A80" s="342">
        <v>7.0</v>
      </c>
      <c r="B80" s="311" t="s">
        <v>6</v>
      </c>
      <c r="C80" s="11" t="s">
        <v>153</v>
      </c>
      <c r="D80" s="14" t="s">
        <v>8</v>
      </c>
      <c r="E80" s="11">
        <v>2016.0</v>
      </c>
      <c r="F80" s="11">
        <v>2016.0</v>
      </c>
      <c r="G80" s="11">
        <v>9.0</v>
      </c>
      <c r="H80" s="51" t="s">
        <v>158</v>
      </c>
      <c r="I80" s="11">
        <v>7684.0</v>
      </c>
      <c r="J80" s="11" t="s">
        <v>159</v>
      </c>
      <c r="K80" s="11" t="s">
        <v>160</v>
      </c>
      <c r="L80" s="11" t="s">
        <v>161</v>
      </c>
      <c r="M80" s="11">
        <v>2016.0</v>
      </c>
      <c r="N80" s="11">
        <v>9.0</v>
      </c>
      <c r="O80" s="11" t="s">
        <v>162</v>
      </c>
      <c r="P80" s="11" t="s">
        <v>163</v>
      </c>
      <c r="Q80" s="52" t="s">
        <v>164</v>
      </c>
      <c r="R80" s="52" t="s">
        <v>165</v>
      </c>
      <c r="S80" s="53">
        <v>46383.0</v>
      </c>
      <c r="T80" s="54" t="s">
        <v>668</v>
      </c>
      <c r="U80" s="53">
        <v>46383.0</v>
      </c>
      <c r="V80" s="54" t="s">
        <v>668</v>
      </c>
      <c r="W80" s="53">
        <v>46096.0</v>
      </c>
      <c r="X80" s="54" t="s">
        <v>669</v>
      </c>
      <c r="Y80" s="53">
        <v>46096.0</v>
      </c>
      <c r="Z80" s="54" t="s">
        <v>669</v>
      </c>
      <c r="AA80" s="53">
        <v>46225.0</v>
      </c>
      <c r="AB80" s="54" t="s">
        <v>668</v>
      </c>
      <c r="AC80" s="315">
        <v>46155.0</v>
      </c>
      <c r="AD80" s="56" t="s">
        <v>668</v>
      </c>
      <c r="AE80" s="57" t="s">
        <v>166</v>
      </c>
      <c r="AF80" s="57" t="s">
        <v>167</v>
      </c>
      <c r="AG80" s="54"/>
      <c r="AH80" s="58"/>
    </row>
    <row r="81">
      <c r="A81" s="345">
        <v>8.0</v>
      </c>
      <c r="B81" s="311" t="s">
        <v>12</v>
      </c>
      <c r="C81" s="11" t="s">
        <v>153</v>
      </c>
      <c r="D81" s="14" t="s">
        <v>8</v>
      </c>
      <c r="E81" s="11">
        <v>2016.0</v>
      </c>
      <c r="F81" s="11">
        <v>2016.0</v>
      </c>
      <c r="G81" s="11">
        <v>9.0</v>
      </c>
      <c r="H81" s="51" t="s">
        <v>158</v>
      </c>
      <c r="I81" s="11">
        <v>7684.0</v>
      </c>
      <c r="J81" s="11" t="s">
        <v>159</v>
      </c>
      <c r="K81" s="11" t="s">
        <v>160</v>
      </c>
      <c r="L81" s="11" t="s">
        <v>161</v>
      </c>
      <c r="M81" s="11">
        <v>2016.0</v>
      </c>
      <c r="N81" s="11">
        <v>9.0</v>
      </c>
      <c r="O81" s="11" t="s">
        <v>162</v>
      </c>
      <c r="P81" s="11" t="s">
        <v>163</v>
      </c>
      <c r="Q81" s="52" t="s">
        <v>174</v>
      </c>
      <c r="R81" s="52" t="s">
        <v>175</v>
      </c>
      <c r="S81" s="53">
        <v>46383.0</v>
      </c>
      <c r="T81" s="54" t="s">
        <v>668</v>
      </c>
      <c r="U81" s="317">
        <v>46383.0</v>
      </c>
      <c r="V81" s="54" t="s">
        <v>668</v>
      </c>
      <c r="W81" s="53">
        <v>46096.0</v>
      </c>
      <c r="X81" s="54" t="s">
        <v>669</v>
      </c>
      <c r="Y81" s="53">
        <v>46096.0</v>
      </c>
      <c r="Z81" s="54" t="s">
        <v>669</v>
      </c>
      <c r="AA81" s="53">
        <v>46240.0</v>
      </c>
      <c r="AB81" s="54" t="s">
        <v>668</v>
      </c>
      <c r="AC81" s="315">
        <v>46155.0</v>
      </c>
      <c r="AD81" s="56" t="s">
        <v>668</v>
      </c>
      <c r="AE81" s="57" t="s">
        <v>166</v>
      </c>
      <c r="AF81" s="57" t="s">
        <v>167</v>
      </c>
      <c r="AG81" s="54"/>
      <c r="AH81" s="58"/>
    </row>
    <row r="82">
      <c r="A82" s="152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</row>
    <row r="83">
      <c r="A83" s="152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</row>
    <row r="84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</row>
    <row r="85">
      <c r="A85" s="152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</row>
    <row r="86">
      <c r="A86" s="152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</row>
    <row r="87">
      <c r="A87" s="152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</row>
    <row r="89">
      <c r="A89" s="152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</row>
    <row r="90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</row>
    <row r="91">
      <c r="A91" s="152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</row>
    <row r="92">
      <c r="A92" s="152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</row>
    <row r="93">
      <c r="A93" s="152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</row>
    <row r="94">
      <c r="A94" s="152"/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</row>
    <row r="95">
      <c r="A95" s="152"/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</row>
    <row r="96">
      <c r="A96" s="152"/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</row>
    <row r="97">
      <c r="A97" s="152"/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</row>
    <row r="98">
      <c r="A98" s="152"/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</row>
    <row r="99">
      <c r="A99" s="152"/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</row>
    <row r="100">
      <c r="A100" s="152"/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</row>
    <row r="101">
      <c r="A101" s="152"/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</row>
    <row r="102">
      <c r="A102" s="152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</row>
    <row r="103">
      <c r="A103" s="152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</row>
    <row r="104">
      <c r="A104" s="152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</row>
    <row r="105">
      <c r="A105" s="152"/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</row>
    <row r="106">
      <c r="A106" s="152"/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</row>
    <row r="107">
      <c r="A107" s="152"/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</row>
    <row r="108">
      <c r="A108" s="152"/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</row>
    <row r="109">
      <c r="A109" s="152"/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</row>
    <row r="111">
      <c r="A111" s="152"/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</row>
    <row r="112">
      <c r="A112" s="152"/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</row>
    <row r="113">
      <c r="A113" s="152"/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</row>
    <row r="114">
      <c r="A114" s="152"/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</row>
    <row r="115">
      <c r="A115" s="15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</row>
    <row r="116">
      <c r="A116" s="152"/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</row>
    <row r="117">
      <c r="A117" s="152"/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</row>
    <row r="118">
      <c r="A118" s="152"/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</row>
    <row r="119">
      <c r="A119" s="152"/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</row>
    <row r="120">
      <c r="A120" s="152"/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</row>
    <row r="121">
      <c r="A121" s="152"/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</row>
    <row r="122">
      <c r="A122" s="152"/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</row>
    <row r="123">
      <c r="A123" s="152"/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</row>
    <row r="124">
      <c r="A124" s="152"/>
      <c r="B124" s="152"/>
      <c r="C124" s="152"/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</row>
    <row r="125">
      <c r="A125" s="152"/>
      <c r="B125" s="152"/>
      <c r="C125" s="152"/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</row>
    <row r="126">
      <c r="A126" s="152"/>
      <c r="B126" s="152"/>
      <c r="C126" s="152"/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</row>
    <row r="127">
      <c r="A127" s="152"/>
      <c r="B127" s="152"/>
      <c r="C127" s="152"/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</row>
    <row r="128">
      <c r="A128" s="152"/>
      <c r="B128" s="152"/>
      <c r="C128" s="152"/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</row>
    <row r="129">
      <c r="A129" s="152"/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</row>
    <row r="130">
      <c r="A130" s="152"/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</row>
    <row r="131">
      <c r="A131" s="152"/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</row>
    <row r="132">
      <c r="A132" s="152"/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</row>
    <row r="133">
      <c r="A133" s="152"/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</row>
    <row r="134">
      <c r="A134" s="152"/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</row>
    <row r="135">
      <c r="A135" s="152"/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</row>
    <row r="136">
      <c r="A136" s="152"/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</row>
    <row r="137">
      <c r="A137" s="152"/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</row>
    <row r="138">
      <c r="A138" s="152"/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</row>
    <row r="139">
      <c r="A139" s="152"/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</row>
    <row r="140">
      <c r="A140" s="152"/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</row>
    <row r="141">
      <c r="A141" s="152"/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</row>
    <row r="142">
      <c r="A142" s="152"/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</row>
    <row r="143">
      <c r="A143" s="152"/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</row>
    <row r="144">
      <c r="A144" s="152"/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</row>
    <row r="145">
      <c r="A145" s="152"/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</row>
    <row r="146">
      <c r="A146" s="152"/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</row>
    <row r="147">
      <c r="A147" s="152"/>
      <c r="B147" s="152"/>
      <c r="C147" s="152"/>
      <c r="D147" s="152"/>
      <c r="E147" s="152"/>
      <c r="F147" s="152"/>
      <c r="G147" s="152"/>
      <c r="H147" s="152"/>
      <c r="I147" s="152"/>
      <c r="J147" s="152"/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</row>
    <row r="148">
      <c r="A148" s="152"/>
      <c r="B148" s="152"/>
      <c r="C148" s="152"/>
      <c r="D148" s="152"/>
      <c r="E148" s="152"/>
      <c r="F148" s="152"/>
      <c r="G148" s="152"/>
      <c r="H148" s="152"/>
      <c r="I148" s="152"/>
      <c r="J148" s="152"/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</row>
    <row r="149">
      <c r="A149" s="152"/>
      <c r="B149" s="152"/>
      <c r="C149" s="152"/>
      <c r="D149" s="152"/>
      <c r="E149" s="152"/>
      <c r="F149" s="152"/>
      <c r="G149" s="152"/>
      <c r="H149" s="152"/>
      <c r="I149" s="152"/>
      <c r="J149" s="152"/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</row>
    <row r="150">
      <c r="A150" s="152"/>
      <c r="B150" s="152"/>
      <c r="C150" s="152"/>
      <c r="D150" s="152"/>
      <c r="E150" s="152"/>
      <c r="F150" s="152"/>
      <c r="G150" s="152"/>
      <c r="H150" s="152"/>
      <c r="I150" s="152"/>
      <c r="J150" s="152"/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</row>
    <row r="151">
      <c r="A151" s="152"/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</row>
    <row r="152">
      <c r="A152" s="152"/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</row>
    <row r="153">
      <c r="A153" s="152"/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</row>
    <row r="154">
      <c r="A154" s="152"/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</row>
    <row r="155">
      <c r="A155" s="152"/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</row>
    <row r="156">
      <c r="A156" s="152"/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</row>
    <row r="157">
      <c r="A157" s="152"/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</row>
    <row r="158">
      <c r="A158" s="152"/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</row>
    <row r="159">
      <c r="A159" s="152"/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</row>
    <row r="160">
      <c r="A160" s="152"/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</row>
    <row r="161">
      <c r="A161" s="152"/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</row>
    <row r="162">
      <c r="A162" s="152"/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</row>
    <row r="163">
      <c r="A163" s="152"/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</row>
    <row r="164">
      <c r="A164" s="152"/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</row>
    <row r="165">
      <c r="A165" s="152"/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</row>
    <row r="166">
      <c r="A166" s="152"/>
      <c r="B166" s="152"/>
      <c r="C166" s="152"/>
      <c r="D166" s="152"/>
      <c r="E166" s="152"/>
      <c r="F166" s="152"/>
      <c r="G166" s="152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</row>
    <row r="167">
      <c r="A167" s="152"/>
      <c r="B167" s="152"/>
      <c r="C167" s="152"/>
      <c r="D167" s="152"/>
      <c r="E167" s="152"/>
      <c r="F167" s="152"/>
      <c r="G167" s="152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</row>
    <row r="168">
      <c r="A168" s="152"/>
      <c r="B168" s="152"/>
      <c r="C168" s="152"/>
      <c r="D168" s="152"/>
      <c r="E168" s="152"/>
      <c r="F168" s="152"/>
      <c r="G168" s="152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</row>
    <row r="169">
      <c r="A169" s="152"/>
      <c r="B169" s="152"/>
      <c r="C169" s="152"/>
      <c r="D169" s="152"/>
      <c r="E169" s="152"/>
      <c r="F169" s="152"/>
      <c r="G169" s="152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</row>
    <row r="170">
      <c r="A170" s="152"/>
      <c r="B170" s="152"/>
      <c r="C170" s="152"/>
      <c r="D170" s="152"/>
      <c r="E170" s="152"/>
      <c r="F170" s="152"/>
      <c r="G170" s="152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</row>
    <row r="171">
      <c r="A171" s="152"/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</row>
    <row r="172">
      <c r="A172" s="152"/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</row>
    <row r="173">
      <c r="A173" s="152"/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</row>
    <row r="174">
      <c r="A174" s="152"/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</row>
    <row r="175">
      <c r="A175" s="152"/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</row>
    <row r="176">
      <c r="A176" s="152"/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</row>
    <row r="177">
      <c r="A177" s="152"/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</row>
    <row r="178">
      <c r="A178" s="152"/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</row>
    <row r="179">
      <c r="A179" s="152"/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</row>
    <row r="180">
      <c r="A180" s="152"/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</row>
    <row r="181">
      <c r="A181" s="152"/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</row>
    <row r="182">
      <c r="A182" s="152"/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</row>
    <row r="183">
      <c r="A183" s="152"/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</row>
    <row r="184">
      <c r="A184" s="152"/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</row>
    <row r="185">
      <c r="A185" s="152"/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</row>
    <row r="186">
      <c r="A186" s="152"/>
      <c r="B186" s="152"/>
      <c r="C186" s="152"/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</row>
    <row r="187">
      <c r="A187" s="152"/>
      <c r="B187" s="152"/>
      <c r="C187" s="152"/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</row>
    <row r="188">
      <c r="A188" s="152"/>
      <c r="B188" s="152"/>
      <c r="C188" s="152"/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</row>
    <row r="189">
      <c r="A189" s="152"/>
      <c r="B189" s="152"/>
      <c r="C189" s="152"/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</row>
    <row r="190">
      <c r="A190" s="152"/>
      <c r="B190" s="152"/>
      <c r="C190" s="152"/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</row>
    <row r="191">
      <c r="A191" s="152"/>
      <c r="B191" s="152"/>
      <c r="C191" s="152"/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</row>
    <row r="192">
      <c r="A192" s="152"/>
      <c r="B192" s="152"/>
      <c r="C192" s="152"/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</row>
    <row r="193">
      <c r="A193" s="152"/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</row>
    <row r="194">
      <c r="A194" s="152"/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</row>
    <row r="195">
      <c r="A195" s="152"/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</row>
    <row r="196">
      <c r="A196" s="152"/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</row>
    <row r="197">
      <c r="A197" s="152"/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</row>
    <row r="198">
      <c r="A198" s="152"/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</row>
    <row r="199">
      <c r="A199" s="152"/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</row>
    <row r="200">
      <c r="A200" s="152"/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</row>
    <row r="201">
      <c r="A201" s="152"/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</row>
    <row r="202">
      <c r="A202" s="152"/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</row>
    <row r="203">
      <c r="A203" s="152"/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</row>
    <row r="204">
      <c r="A204" s="152"/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</row>
    <row r="205">
      <c r="A205" s="152"/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</row>
    <row r="206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</row>
    <row r="207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</row>
    <row r="208">
      <c r="A208" s="152"/>
      <c r="B208" s="152"/>
      <c r="C208" s="152"/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</row>
    <row r="209">
      <c r="A209" s="152"/>
      <c r="B209" s="152"/>
      <c r="C209" s="152"/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</row>
    <row r="210">
      <c r="A210" s="152"/>
      <c r="B210" s="152"/>
      <c r="C210" s="152"/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</row>
    <row r="211">
      <c r="A211" s="152"/>
      <c r="B211" s="152"/>
      <c r="C211" s="152"/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</row>
    <row r="212">
      <c r="A212" s="152"/>
      <c r="B212" s="152"/>
      <c r="C212" s="152"/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</row>
    <row r="213">
      <c r="A213" s="152"/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</row>
    <row r="214">
      <c r="A214" s="152"/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</row>
    <row r="215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</row>
    <row r="216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</row>
    <row r="217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</row>
    <row r="218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</row>
    <row r="219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</row>
    <row r="220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</row>
    <row r="221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</row>
    <row r="22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</row>
    <row r="223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</row>
    <row r="224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</row>
    <row r="225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</row>
    <row r="226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</row>
    <row r="227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</row>
    <row r="228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</row>
    <row r="229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</row>
    <row r="230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</row>
    <row r="231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</row>
    <row r="23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</row>
    <row r="233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</row>
    <row r="234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</row>
    <row r="235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</row>
    <row r="236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</row>
    <row r="237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</row>
    <row r="238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</row>
    <row r="239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</row>
    <row r="240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</row>
    <row r="241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</row>
    <row r="24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</row>
    <row r="243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</row>
    <row r="244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</row>
    <row r="245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</row>
    <row r="246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</row>
    <row r="247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</row>
    <row r="248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</row>
    <row r="249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</row>
    <row r="250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</row>
    <row r="251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</row>
    <row r="2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</row>
    <row r="253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</row>
    <row r="254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</row>
    <row r="255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</row>
    <row r="256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</row>
    <row r="257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</row>
    <row r="258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</row>
    <row r="259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</row>
    <row r="260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</row>
    <row r="261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</row>
    <row r="26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</row>
    <row r="263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</row>
    <row r="264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</row>
    <row r="265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</row>
    <row r="266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</row>
    <row r="267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</row>
    <row r="268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</row>
    <row r="269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</row>
    <row r="270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</row>
    <row r="271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</row>
    <row r="27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</row>
    <row r="273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</row>
    <row r="274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</row>
    <row r="275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</row>
    <row r="276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</row>
    <row r="277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</row>
    <row r="278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</row>
    <row r="279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</row>
    <row r="280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</row>
    <row r="281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</row>
    <row r="28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</row>
    <row r="283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</row>
    <row r="284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</row>
    <row r="285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</row>
    <row r="286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</row>
    <row r="287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</row>
    <row r="288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</row>
    <row r="289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</row>
    <row r="290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</row>
    <row r="291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</row>
    <row r="29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</row>
    <row r="293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</row>
    <row r="294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</row>
    <row r="295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</row>
    <row r="296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</row>
    <row r="297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</row>
    <row r="298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</row>
    <row r="299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</row>
    <row r="300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</row>
    <row r="301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</row>
    <row r="30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</row>
    <row r="303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</row>
    <row r="304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</row>
    <row r="305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</row>
    <row r="306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</row>
    <row r="307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</row>
    <row r="308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</row>
    <row r="309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</row>
    <row r="310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</row>
    <row r="311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</row>
    <row r="31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</row>
    <row r="313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</row>
    <row r="314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</row>
    <row r="315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</row>
    <row r="316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</row>
    <row r="317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</row>
    <row r="318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</row>
    <row r="319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</row>
    <row r="320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</row>
    <row r="321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</row>
    <row r="32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</row>
    <row r="323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</row>
    <row r="324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</row>
    <row r="325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</row>
    <row r="326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</row>
    <row r="327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</row>
    <row r="328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</row>
    <row r="329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</row>
    <row r="330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</row>
    <row r="331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</row>
    <row r="33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</row>
    <row r="333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</row>
    <row r="334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</row>
    <row r="335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</row>
    <row r="336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</row>
    <row r="337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</row>
    <row r="338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</row>
    <row r="339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</row>
    <row r="340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</row>
    <row r="341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</row>
    <row r="34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</row>
    <row r="343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</row>
    <row r="344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</row>
    <row r="345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</row>
    <row r="346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</row>
    <row r="347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</row>
    <row r="348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</row>
    <row r="349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</row>
    <row r="350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</row>
    <row r="351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</row>
    <row r="3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</row>
    <row r="353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</row>
    <row r="354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</row>
    <row r="355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</row>
    <row r="356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</row>
    <row r="357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</row>
    <row r="358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</row>
    <row r="359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</row>
    <row r="360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</row>
    <row r="361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</row>
    <row r="36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</row>
    <row r="363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</row>
    <row r="364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</row>
    <row r="365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</row>
    <row r="366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</row>
    <row r="367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</row>
    <row r="368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</row>
    <row r="369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</row>
    <row r="370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</row>
    <row r="371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</row>
    <row r="37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</row>
    <row r="373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</row>
    <row r="374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</row>
    <row r="375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</row>
    <row r="376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</row>
    <row r="377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</row>
    <row r="378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</row>
    <row r="379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</row>
    <row r="380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</row>
    <row r="381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</row>
    <row r="38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</row>
    <row r="383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</row>
    <row r="384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</row>
    <row r="385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</row>
    <row r="386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</row>
    <row r="387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</row>
    <row r="388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</row>
    <row r="389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</row>
    <row r="390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</row>
    <row r="391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</row>
    <row r="39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</row>
    <row r="393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</row>
    <row r="394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</row>
    <row r="395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</row>
    <row r="396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</row>
    <row r="397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</row>
    <row r="398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</row>
    <row r="399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</row>
    <row r="400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</row>
    <row r="401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</row>
    <row r="40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</row>
    <row r="403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</row>
    <row r="404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</row>
    <row r="405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</row>
    <row r="406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</row>
    <row r="407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</row>
    <row r="408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</row>
    <row r="409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</row>
    <row r="410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</row>
    <row r="411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</row>
    <row r="41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</row>
    <row r="413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</row>
    <row r="414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</row>
    <row r="415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</row>
    <row r="416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</row>
    <row r="417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</row>
    <row r="418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</row>
    <row r="419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</row>
    <row r="420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</row>
    <row r="421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</row>
    <row r="42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</row>
    <row r="423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</row>
    <row r="424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</row>
    <row r="425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</row>
    <row r="426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</row>
    <row r="427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</row>
    <row r="428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</row>
    <row r="429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</row>
    <row r="430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</row>
    <row r="431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</row>
    <row r="43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</row>
    <row r="433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</row>
    <row r="434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</row>
    <row r="435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</row>
    <row r="436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</row>
    <row r="437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</row>
    <row r="438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</row>
    <row r="439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</row>
    <row r="440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</row>
    <row r="441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</row>
    <row r="44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</row>
    <row r="443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</row>
    <row r="444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</row>
    <row r="445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</row>
    <row r="446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</row>
    <row r="447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</row>
    <row r="448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</row>
    <row r="449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</row>
    <row r="450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</row>
    <row r="451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</row>
    <row r="4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</row>
    <row r="453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</row>
    <row r="454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</row>
    <row r="455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</row>
    <row r="456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</row>
    <row r="457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</row>
    <row r="458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</row>
    <row r="459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</row>
    <row r="460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</row>
    <row r="461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</row>
    <row r="46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</row>
    <row r="463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</row>
    <row r="464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</row>
    <row r="469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</row>
    <row r="470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</row>
    <row r="471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</row>
    <row r="47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</row>
    <row r="473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</row>
    <row r="474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</row>
    <row r="475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</row>
    <row r="476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</row>
    <row r="477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</row>
    <row r="478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</row>
    <row r="479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</row>
    <row r="480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</row>
    <row r="481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</row>
    <row r="48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</row>
    <row r="483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</row>
    <row r="484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</row>
    <row r="485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</row>
    <row r="486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</row>
    <row r="487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</row>
    <row r="488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</row>
    <row r="489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</row>
    <row r="490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</row>
    <row r="491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</row>
    <row r="49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</row>
    <row r="493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</row>
    <row r="494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</row>
    <row r="495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</row>
    <row r="496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</row>
    <row r="497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</row>
    <row r="498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</row>
    <row r="499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</row>
    <row r="500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</row>
    <row r="501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</row>
    <row r="50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</row>
    <row r="503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</row>
    <row r="504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</row>
    <row r="505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</row>
    <row r="506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</row>
    <row r="507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</row>
    <row r="508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</row>
    <row r="509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</row>
    <row r="510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</row>
    <row r="511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</row>
    <row r="51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</row>
    <row r="513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</row>
    <row r="514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</row>
    <row r="515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</row>
    <row r="516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</row>
    <row r="517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</row>
    <row r="518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</row>
    <row r="519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</row>
    <row r="520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</row>
    <row r="521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</row>
    <row r="52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</row>
    <row r="523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</row>
    <row r="524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</row>
    <row r="525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</row>
    <row r="526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</row>
    <row r="527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</row>
    <row r="528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</row>
    <row r="529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</row>
    <row r="530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</row>
    <row r="531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</row>
    <row r="53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</row>
    <row r="533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</row>
    <row r="534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</row>
    <row r="535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</row>
    <row r="536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</row>
    <row r="537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</row>
    <row r="538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</row>
    <row r="539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</row>
    <row r="540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</row>
    <row r="541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</row>
    <row r="54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</row>
    <row r="543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</row>
    <row r="544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</row>
    <row r="545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</row>
    <row r="546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</row>
    <row r="547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</row>
    <row r="548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</row>
    <row r="549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</row>
    <row r="550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</row>
    <row r="551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</row>
    <row r="5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</row>
    <row r="553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</row>
    <row r="554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</row>
    <row r="555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</row>
    <row r="556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</row>
    <row r="557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</row>
    <row r="558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</row>
    <row r="559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</row>
    <row r="560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</row>
    <row r="561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</row>
    <row r="56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</row>
    <row r="563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</row>
    <row r="564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</row>
    <row r="565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</row>
    <row r="566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</row>
    <row r="567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</row>
    <row r="568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</row>
    <row r="569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</row>
    <row r="570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</row>
    <row r="571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</row>
    <row r="57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</row>
    <row r="573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</row>
    <row r="574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</row>
    <row r="575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</row>
    <row r="576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</row>
    <row r="577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</row>
    <row r="578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</row>
    <row r="579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</row>
    <row r="580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</row>
    <row r="581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</row>
    <row r="58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</row>
    <row r="583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</row>
    <row r="584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</row>
    <row r="585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</row>
    <row r="586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</row>
    <row r="587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</row>
    <row r="588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</row>
    <row r="589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</row>
    <row r="590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</row>
    <row r="591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</row>
    <row r="59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</row>
    <row r="593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</row>
    <row r="594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</row>
    <row r="595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</row>
    <row r="596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</row>
    <row r="597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</row>
    <row r="598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</row>
    <row r="599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</row>
    <row r="600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</row>
    <row r="601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</row>
    <row r="60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</row>
    <row r="603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</row>
    <row r="604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</row>
    <row r="605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</row>
    <row r="606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</row>
    <row r="607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</row>
    <row r="608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</row>
    <row r="609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</row>
    <row r="610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</row>
    <row r="611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</row>
    <row r="61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</row>
    <row r="613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</row>
    <row r="614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</row>
    <row r="615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</row>
    <row r="616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</row>
    <row r="617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</row>
    <row r="618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</row>
    <row r="619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</row>
    <row r="620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</row>
    <row r="621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</row>
    <row r="62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</row>
    <row r="623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</row>
    <row r="624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</row>
    <row r="625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</row>
    <row r="626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</row>
    <row r="627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</row>
    <row r="628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</row>
    <row r="629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</row>
    <row r="630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</row>
    <row r="631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</row>
    <row r="63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</row>
    <row r="633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</row>
    <row r="634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</row>
    <row r="635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</row>
    <row r="636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</row>
    <row r="637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</row>
    <row r="638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</row>
    <row r="639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</row>
    <row r="640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</row>
    <row r="641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</row>
    <row r="64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</row>
    <row r="643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</row>
    <row r="644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</row>
    <row r="645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</row>
    <row r="646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</row>
    <row r="647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</row>
    <row r="648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</row>
    <row r="649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</row>
    <row r="650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</row>
    <row r="651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</row>
    <row r="6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</row>
    <row r="653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</row>
    <row r="654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</row>
    <row r="655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</row>
    <row r="656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</row>
    <row r="657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</row>
    <row r="658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</row>
    <row r="659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</row>
    <row r="660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</row>
    <row r="661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</row>
    <row r="66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</row>
    <row r="663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</row>
    <row r="664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</row>
    <row r="665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</row>
    <row r="666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</row>
    <row r="667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</row>
    <row r="668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</row>
    <row r="669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</row>
    <row r="670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</row>
    <row r="671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</row>
    <row r="67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</row>
    <row r="673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</row>
    <row r="674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</row>
    <row r="675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</row>
    <row r="676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</row>
    <row r="677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</row>
    <row r="678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</row>
    <row r="679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</row>
    <row r="680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</row>
    <row r="681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</row>
    <row r="68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</row>
    <row r="683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</row>
    <row r="684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</row>
    <row r="685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</row>
    <row r="686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</row>
    <row r="687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</row>
    <row r="688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</row>
    <row r="689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</row>
    <row r="690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</row>
    <row r="691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</row>
    <row r="69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</row>
    <row r="693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</row>
    <row r="694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</row>
    <row r="695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</row>
    <row r="696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</row>
    <row r="697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</row>
    <row r="698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</row>
    <row r="699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</row>
    <row r="700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</row>
    <row r="701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</row>
    <row r="70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</row>
    <row r="703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</row>
    <row r="704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</row>
    <row r="705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</row>
    <row r="706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</row>
    <row r="707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</row>
    <row r="708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</row>
    <row r="709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</row>
    <row r="710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</row>
    <row r="711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</row>
    <row r="71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</row>
    <row r="713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</row>
    <row r="714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</row>
    <row r="715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</row>
    <row r="716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</row>
    <row r="717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</row>
    <row r="718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</row>
    <row r="719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</row>
    <row r="720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</row>
    <row r="721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</row>
    <row r="72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</row>
    <row r="723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</row>
    <row r="724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</row>
    <row r="725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</row>
    <row r="726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</row>
    <row r="727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</row>
    <row r="728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</row>
    <row r="729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</row>
    <row r="730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</row>
    <row r="731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</row>
    <row r="73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</row>
    <row r="733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</row>
    <row r="734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</row>
    <row r="735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</row>
    <row r="736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</row>
    <row r="737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</row>
    <row r="738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</row>
    <row r="739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</row>
    <row r="740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</row>
    <row r="741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</row>
    <row r="74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</row>
    <row r="743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</row>
    <row r="744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</row>
    <row r="745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</row>
    <row r="746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</row>
    <row r="747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</row>
    <row r="748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</row>
    <row r="749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</row>
    <row r="750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</row>
    <row r="751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</row>
    <row r="7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</row>
    <row r="753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</row>
    <row r="754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</row>
    <row r="755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</row>
    <row r="756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</row>
    <row r="757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</row>
    <row r="758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</row>
    <row r="759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</row>
    <row r="760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</row>
    <row r="761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</row>
    <row r="76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</row>
    <row r="763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</row>
    <row r="764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</row>
    <row r="765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</row>
    <row r="766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</row>
    <row r="767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</row>
    <row r="768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</row>
    <row r="769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</row>
    <row r="770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</row>
    <row r="771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</row>
    <row r="77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</row>
    <row r="773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</row>
    <row r="774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</row>
    <row r="775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</row>
    <row r="776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</row>
    <row r="777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</row>
    <row r="778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</row>
    <row r="779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</row>
    <row r="780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</row>
    <row r="781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</row>
    <row r="78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</row>
    <row r="783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</row>
    <row r="784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</row>
    <row r="785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</row>
    <row r="786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</row>
    <row r="787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</row>
    <row r="788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</row>
    <row r="789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</row>
    <row r="790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</row>
    <row r="791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</row>
    <row r="79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</row>
    <row r="793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</row>
    <row r="794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</row>
    <row r="795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</row>
    <row r="796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</row>
    <row r="797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</row>
    <row r="798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</row>
    <row r="799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</row>
    <row r="800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</row>
    <row r="801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</row>
    <row r="80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</row>
    <row r="803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</row>
    <row r="804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</row>
    <row r="805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</row>
    <row r="806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</row>
    <row r="807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</row>
    <row r="808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</row>
    <row r="809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</row>
    <row r="810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</row>
    <row r="811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</row>
    <row r="81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</row>
    <row r="813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</row>
    <row r="814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</row>
    <row r="815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</row>
    <row r="816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</row>
    <row r="817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</row>
    <row r="818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</row>
    <row r="819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</row>
    <row r="820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</row>
    <row r="821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</row>
    <row r="82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</row>
    <row r="823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</row>
    <row r="824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</row>
    <row r="825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</row>
    <row r="826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</row>
    <row r="827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</row>
    <row r="828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</row>
    <row r="829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</row>
    <row r="830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</row>
    <row r="831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</row>
    <row r="83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</row>
    <row r="833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</row>
    <row r="834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</row>
    <row r="835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</row>
    <row r="836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</row>
    <row r="837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</row>
    <row r="838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</row>
    <row r="839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</row>
    <row r="840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</row>
    <row r="841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</row>
    <row r="84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</row>
    <row r="843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</row>
    <row r="844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</row>
    <row r="845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</row>
    <row r="846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</row>
    <row r="847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</row>
    <row r="848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</row>
    <row r="849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</row>
    <row r="850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</row>
    <row r="851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</row>
    <row r="8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</row>
    <row r="853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</row>
    <row r="854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</row>
    <row r="855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</row>
    <row r="856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</row>
    <row r="857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</row>
    <row r="858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</row>
    <row r="859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</row>
    <row r="860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</row>
    <row r="861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</row>
    <row r="86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</row>
    <row r="863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</row>
    <row r="864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</row>
    <row r="865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</row>
    <row r="866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</row>
    <row r="867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</row>
    <row r="868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</row>
    <row r="869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</row>
    <row r="870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</row>
    <row r="871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</row>
    <row r="87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</row>
    <row r="873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</row>
    <row r="874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</row>
    <row r="875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</row>
    <row r="876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</row>
    <row r="877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</row>
    <row r="878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</row>
    <row r="879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</row>
    <row r="880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</row>
    <row r="881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</row>
    <row r="88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</row>
    <row r="883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</row>
    <row r="884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</row>
    <row r="885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</row>
    <row r="886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</row>
    <row r="887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</row>
    <row r="888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</row>
    <row r="889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</row>
    <row r="890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</row>
    <row r="891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</row>
    <row r="89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</row>
    <row r="893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</row>
    <row r="894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</row>
    <row r="895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</row>
    <row r="896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</row>
    <row r="897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</row>
    <row r="898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</row>
    <row r="899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</row>
    <row r="900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</row>
    <row r="901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</row>
    <row r="90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</row>
    <row r="903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</row>
    <row r="904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</row>
    <row r="905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</row>
    <row r="906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</row>
    <row r="907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</row>
    <row r="908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</row>
    <row r="909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</row>
    <row r="910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</row>
    <row r="911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</row>
    <row r="91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</row>
    <row r="913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</row>
    <row r="914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</row>
    <row r="915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</row>
    <row r="916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</row>
    <row r="917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</row>
    <row r="918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</row>
    <row r="919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</row>
    <row r="920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</row>
    <row r="921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</row>
    <row r="92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</row>
    <row r="923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</row>
    <row r="924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</row>
    <row r="925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</row>
    <row r="926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</row>
    <row r="927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</row>
    <row r="928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</row>
    <row r="929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</row>
    <row r="930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</row>
    <row r="931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</row>
    <row r="93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</row>
    <row r="933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</row>
    <row r="934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</row>
    <row r="935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</row>
    <row r="936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</row>
    <row r="937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</row>
    <row r="938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</row>
    <row r="939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</row>
    <row r="940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</row>
    <row r="941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</row>
    <row r="94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</row>
    <row r="943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</row>
    <row r="944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</row>
    <row r="945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</row>
    <row r="946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</row>
    <row r="947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</row>
    <row r="948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</row>
    <row r="949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</row>
    <row r="950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</row>
    <row r="951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</row>
    <row r="9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</row>
    <row r="953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</row>
    <row r="954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</row>
    <row r="955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</row>
    <row r="956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</row>
    <row r="957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</row>
    <row r="958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</row>
    <row r="959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</row>
    <row r="960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</row>
    <row r="961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</row>
    <row r="96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</row>
    <row r="963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</row>
    <row r="964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</row>
    <row r="965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</row>
    <row r="966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</row>
    <row r="967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</row>
    <row r="968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</row>
    <row r="969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</row>
    <row r="970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</row>
    <row r="971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</row>
    <row r="97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</row>
    <row r="973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</row>
    <row r="974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</row>
    <row r="975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</row>
    <row r="976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</row>
    <row r="977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</row>
    <row r="978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</row>
    <row r="979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</row>
    <row r="980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</row>
    <row r="981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</row>
    <row r="98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</row>
    <row r="983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</row>
    <row r="984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</row>
    <row r="985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</row>
    <row r="986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</row>
    <row r="987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</row>
    <row r="988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</row>
    <row r="989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</row>
    <row r="990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</row>
    <row r="991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</row>
    <row r="99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</row>
    <row r="993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</row>
    <row r="994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</row>
    <row r="995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</row>
    <row r="996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</row>
    <row r="997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</row>
    <row r="998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</row>
    <row r="999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</row>
  </sheetData>
  <autoFilter ref="$A$4:$AF$81">
    <filterColumn colId="4">
      <filters>
        <filter val="2016"/>
        <filter val="2015"/>
      </filters>
    </filterColumn>
    <sortState ref="A4:AF81">
      <sortCondition ref="B4:B81"/>
    </sortState>
  </autoFilter>
  <mergeCells count="1">
    <mergeCell ref="A1:AF1"/>
  </mergeCells>
  <conditionalFormatting sqref="Z2:AD4">
    <cfRule type="timePeriod" dxfId="3" priority="1" timePeriod="last7Days"/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0"/>
    <col customWidth="1" min="4" max="5" width="19.13"/>
  </cols>
  <sheetData>
    <row r="1">
      <c r="A1" s="339" t="s">
        <v>2</v>
      </c>
      <c r="B1" s="339" t="s">
        <v>3</v>
      </c>
      <c r="C1" s="339" t="s">
        <v>4</v>
      </c>
      <c r="D1" s="340" t="s">
        <v>82</v>
      </c>
      <c r="E1" s="341" t="s">
        <v>96</v>
      </c>
    </row>
    <row r="2">
      <c r="A2" s="343">
        <v>1.0</v>
      </c>
      <c r="B2" s="344" t="s">
        <v>114</v>
      </c>
      <c r="C2" s="346" t="str">
        <f>VLOOKUP(B2,'Data MT Pola Sewa'!$B$7:$E$85,4,0)</f>
        <v>PT. ADHI BUANA PERSADA</v>
      </c>
      <c r="D2" s="347">
        <v>46037.0</v>
      </c>
      <c r="E2" s="348"/>
    </row>
    <row r="3">
      <c r="A3" s="343">
        <v>2.0</v>
      </c>
      <c r="B3" s="344" t="s">
        <v>14</v>
      </c>
      <c r="C3" s="346" t="str">
        <f>VLOOKUP(B3,'Data MT Pola Sewa'!$B$7:$E$85,4,0)</f>
        <v>PT. ADAM TRANS</v>
      </c>
      <c r="D3" s="347">
        <v>46052.0</v>
      </c>
      <c r="E3" s="348"/>
    </row>
    <row r="4">
      <c r="A4" s="343">
        <v>3.0</v>
      </c>
      <c r="B4" s="344" t="s">
        <v>106</v>
      </c>
      <c r="C4" s="346" t="str">
        <f>VLOOKUP(B4,'Data MT Pola Sewa'!$B$7:$E$85,4,0)</f>
        <v>PT. TANAH PUTIH</v>
      </c>
      <c r="D4" s="347">
        <v>46052.0</v>
      </c>
      <c r="E4" s="348"/>
    </row>
    <row r="5">
      <c r="A5" s="343">
        <v>4.0</v>
      </c>
      <c r="B5" s="344" t="s">
        <v>358</v>
      </c>
      <c r="C5" s="346" t="str">
        <f>VLOOKUP(B5,'Data MT Pola Sewa'!$B$7:$E$85,4,0)</f>
        <v>#N/A</v>
      </c>
      <c r="D5" s="347">
        <v>46052.0</v>
      </c>
      <c r="E5" s="348"/>
    </row>
    <row r="6">
      <c r="A6" s="343">
        <v>5.0</v>
      </c>
      <c r="B6" s="344" t="s">
        <v>359</v>
      </c>
      <c r="C6" s="346" t="str">
        <f>VLOOKUP(B6,'Data MT Pola Sewa'!$B$7:$E$85,4,0)</f>
        <v>#N/A</v>
      </c>
      <c r="D6" s="347">
        <v>46052.0</v>
      </c>
      <c r="E6" s="348"/>
    </row>
    <row r="7">
      <c r="A7" s="343">
        <v>6.0</v>
      </c>
      <c r="B7" s="344" t="s">
        <v>703</v>
      </c>
      <c r="C7" s="346" t="str">
        <f>VLOOKUP(B7,'Data MT Pola Sewa'!$B$7:$E$85,4,0)</f>
        <v>#N/A</v>
      </c>
      <c r="D7" s="347"/>
      <c r="E7" s="349">
        <v>46033.0</v>
      </c>
    </row>
    <row r="8">
      <c r="A8" s="343">
        <v>7.0</v>
      </c>
      <c r="B8" s="344" t="s">
        <v>113</v>
      </c>
      <c r="C8" s="346" t="str">
        <f>VLOOKUP(B8,'Data MT Pola Sewa'!$B$7:$E$85,4,0)</f>
        <v>PT. ADHI BUANA PERSADA</v>
      </c>
      <c r="D8" s="347"/>
      <c r="E8" s="350">
        <v>46032.0</v>
      </c>
    </row>
    <row r="9">
      <c r="A9" s="343">
        <v>8.0</v>
      </c>
      <c r="B9" s="344" t="s">
        <v>114</v>
      </c>
      <c r="C9" s="346" t="str">
        <f>VLOOKUP(B9,'Data MT Pola Sewa'!$B$7:$E$85,4,0)</f>
        <v>PT. ADHI BUANA PERSADA</v>
      </c>
      <c r="D9" s="351"/>
      <c r="E9" s="350">
        <v>46032.0</v>
      </c>
    </row>
    <row r="10">
      <c r="A10" s="343">
        <v>9.0</v>
      </c>
      <c r="B10" s="344" t="s">
        <v>134</v>
      </c>
      <c r="C10" s="346" t="str">
        <f>VLOOKUP(B10,'Data MT Pola Sewa'!$B$7:$E$85,4,0)</f>
        <v>PT. KARYAMAS NIAGA MANUNGGAL JAYA</v>
      </c>
      <c r="D10" s="351"/>
      <c r="E10" s="349">
        <v>46036.0</v>
      </c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43.63"/>
  </cols>
  <sheetData>
    <row r="1">
      <c r="A1" s="361" t="s">
        <v>6</v>
      </c>
      <c r="B1" s="361" t="s">
        <v>86</v>
      </c>
    </row>
    <row r="2">
      <c r="A2" s="361" t="s">
        <v>12</v>
      </c>
      <c r="B2" s="361" t="s">
        <v>87</v>
      </c>
    </row>
    <row r="3">
      <c r="A3" s="361" t="s">
        <v>14</v>
      </c>
      <c r="B3" s="361" t="s">
        <v>88</v>
      </c>
    </row>
    <row r="4">
      <c r="A4" s="361" t="s">
        <v>17</v>
      </c>
      <c r="B4" s="361" t="s">
        <v>89</v>
      </c>
    </row>
    <row r="5">
      <c r="A5" s="361" t="s">
        <v>20</v>
      </c>
      <c r="B5" s="361" t="s">
        <v>91</v>
      </c>
    </row>
    <row r="6">
      <c r="A6" s="361" t="s">
        <v>22</v>
      </c>
      <c r="B6" s="361" t="s">
        <v>92</v>
      </c>
    </row>
    <row r="7">
      <c r="A7" s="361" t="s">
        <v>24</v>
      </c>
      <c r="B7" s="361" t="s">
        <v>93</v>
      </c>
    </row>
    <row r="8">
      <c r="A8" s="361" t="s">
        <v>26</v>
      </c>
      <c r="B8" s="361" t="s">
        <v>95</v>
      </c>
    </row>
    <row r="9">
      <c r="A9" s="361" t="s">
        <v>28</v>
      </c>
      <c r="B9" s="361" t="s">
        <v>97</v>
      </c>
    </row>
    <row r="10">
      <c r="A10" s="361" t="s">
        <v>31</v>
      </c>
      <c r="B10" s="364" t="s">
        <v>98</v>
      </c>
    </row>
    <row r="11">
      <c r="A11" s="361" t="s">
        <v>33</v>
      </c>
      <c r="B11" s="364" t="s">
        <v>101</v>
      </c>
    </row>
    <row r="12">
      <c r="A12" s="361" t="s">
        <v>35</v>
      </c>
      <c r="B12" s="364" t="s">
        <v>703</v>
      </c>
    </row>
    <row r="13">
      <c r="A13" s="361" t="s">
        <v>38</v>
      </c>
      <c r="B13" s="364" t="s">
        <v>706</v>
      </c>
    </row>
    <row r="14">
      <c r="A14" s="361" t="s">
        <v>41</v>
      </c>
      <c r="B14" s="364" t="s">
        <v>102</v>
      </c>
    </row>
    <row r="15">
      <c r="A15" s="361" t="s">
        <v>44</v>
      </c>
      <c r="B15" s="361" t="s">
        <v>103</v>
      </c>
    </row>
    <row r="16">
      <c r="A16" s="361" t="s">
        <v>46</v>
      </c>
      <c r="B16" s="361" t="s">
        <v>104</v>
      </c>
    </row>
    <row r="17">
      <c r="A17" s="361" t="s">
        <v>51</v>
      </c>
      <c r="B17" s="361" t="s">
        <v>106</v>
      </c>
    </row>
    <row r="18">
      <c r="A18" s="361" t="s">
        <v>53</v>
      </c>
      <c r="B18" s="361" t="s">
        <v>108</v>
      </c>
    </row>
    <row r="19">
      <c r="A19" s="361" t="s">
        <v>54</v>
      </c>
      <c r="B19" s="361" t="s">
        <v>110</v>
      </c>
    </row>
    <row r="20">
      <c r="A20" s="361" t="s">
        <v>55</v>
      </c>
      <c r="B20" s="361" t="s">
        <v>111</v>
      </c>
    </row>
    <row r="21">
      <c r="A21" s="361" t="s">
        <v>56</v>
      </c>
      <c r="B21" s="361" t="s">
        <v>113</v>
      </c>
    </row>
    <row r="22">
      <c r="A22" s="361" t="s">
        <v>57</v>
      </c>
      <c r="B22" s="361" t="s">
        <v>114</v>
      </c>
    </row>
    <row r="23">
      <c r="A23" s="361" t="s">
        <v>58</v>
      </c>
      <c r="B23" s="361" t="s">
        <v>115</v>
      </c>
    </row>
    <row r="24">
      <c r="A24" s="361" t="s">
        <v>699</v>
      </c>
      <c r="B24" s="361" t="s">
        <v>117</v>
      </c>
    </row>
    <row r="25">
      <c r="A25" s="361" t="s">
        <v>709</v>
      </c>
      <c r="B25" s="361" t="s">
        <v>119</v>
      </c>
    </row>
    <row r="26">
      <c r="A26" s="361" t="s">
        <v>712</v>
      </c>
      <c r="B26" s="361" t="s">
        <v>120</v>
      </c>
    </row>
    <row r="27">
      <c r="A27" s="361" t="s">
        <v>66</v>
      </c>
      <c r="B27" s="361" t="s">
        <v>121</v>
      </c>
    </row>
    <row r="28">
      <c r="A28" s="361" t="s">
        <v>68</v>
      </c>
      <c r="B28" s="361" t="s">
        <v>122</v>
      </c>
    </row>
    <row r="29">
      <c r="A29" s="361" t="s">
        <v>69</v>
      </c>
      <c r="B29" s="361" t="s">
        <v>670</v>
      </c>
    </row>
    <row r="30">
      <c r="A30" s="361" t="s">
        <v>70</v>
      </c>
      <c r="B30" s="361" t="s">
        <v>675</v>
      </c>
    </row>
    <row r="31">
      <c r="A31" s="361" t="s">
        <v>71</v>
      </c>
      <c r="B31" s="361" t="s">
        <v>127</v>
      </c>
    </row>
    <row r="32">
      <c r="A32" s="361" t="s">
        <v>72</v>
      </c>
      <c r="B32" s="361" t="s">
        <v>129</v>
      </c>
    </row>
    <row r="33">
      <c r="A33" s="361" t="s">
        <v>73</v>
      </c>
      <c r="B33" s="361" t="s">
        <v>134</v>
      </c>
    </row>
    <row r="34">
      <c r="A34" s="361" t="s">
        <v>74</v>
      </c>
      <c r="B34" s="361" t="s">
        <v>358</v>
      </c>
    </row>
    <row r="35">
      <c r="A35" s="361" t="s">
        <v>75</v>
      </c>
      <c r="B35" s="361" t="s">
        <v>359</v>
      </c>
    </row>
    <row r="36">
      <c r="A36" s="361" t="s">
        <v>77</v>
      </c>
      <c r="B36" s="361" t="s">
        <v>135</v>
      </c>
    </row>
    <row r="37">
      <c r="A37" s="361" t="s">
        <v>79</v>
      </c>
      <c r="B37" s="361" t="s">
        <v>145</v>
      </c>
    </row>
    <row r="38">
      <c r="A38" s="361" t="s">
        <v>80</v>
      </c>
      <c r="B38" s="361" t="s">
        <v>147</v>
      </c>
    </row>
    <row r="39">
      <c r="A39" s="361" t="s">
        <v>81</v>
      </c>
      <c r="B39" s="361" t="s">
        <v>149</v>
      </c>
    </row>
    <row r="40">
      <c r="A40" s="361" t="s">
        <v>83</v>
      </c>
      <c r="B40" s="368" t="s">
        <v>150</v>
      </c>
    </row>
    <row r="41">
      <c r="A41" s="361" t="s">
        <v>84</v>
      </c>
      <c r="B41" s="368" t="s">
        <v>152</v>
      </c>
    </row>
    <row r="42">
      <c r="A42" s="370"/>
      <c r="B42" s="370"/>
    </row>
    <row r="43">
      <c r="A43" s="370"/>
      <c r="B43" s="370"/>
    </row>
    <row r="44">
      <c r="A44" s="370"/>
      <c r="B44" s="370"/>
    </row>
    <row r="45">
      <c r="A45" s="370"/>
      <c r="B45" s="370"/>
    </row>
    <row r="46">
      <c r="A46" s="370"/>
      <c r="B46" s="370"/>
    </row>
    <row r="47">
      <c r="A47" s="370"/>
      <c r="B47" s="370"/>
    </row>
    <row r="48">
      <c r="A48" s="370"/>
      <c r="B48" s="370"/>
    </row>
    <row r="49">
      <c r="A49" s="370"/>
      <c r="B49" s="370"/>
    </row>
    <row r="50">
      <c r="A50" s="370"/>
      <c r="B50" s="370"/>
    </row>
    <row r="51">
      <c r="A51" s="370"/>
      <c r="B51" s="370"/>
    </row>
    <row r="52">
      <c r="A52" s="370"/>
      <c r="B52" s="370"/>
    </row>
    <row r="53">
      <c r="A53" s="370"/>
      <c r="B53" s="370"/>
    </row>
    <row r="54">
      <c r="A54" s="370"/>
      <c r="B54" s="370"/>
    </row>
    <row r="55">
      <c r="A55" s="370"/>
      <c r="B55" s="370"/>
    </row>
    <row r="56">
      <c r="A56" s="370"/>
      <c r="B56" s="370"/>
    </row>
    <row r="57">
      <c r="A57" s="370"/>
      <c r="B57" s="370"/>
    </row>
    <row r="58">
      <c r="A58" s="370"/>
      <c r="B58" s="370"/>
    </row>
    <row r="59">
      <c r="A59" s="370"/>
      <c r="B59" s="370"/>
    </row>
    <row r="60">
      <c r="A60" s="370"/>
      <c r="B60" s="370"/>
    </row>
    <row r="61">
      <c r="A61" s="370"/>
      <c r="B61" s="370"/>
    </row>
    <row r="62">
      <c r="A62" s="370"/>
      <c r="B62" s="370"/>
    </row>
    <row r="63">
      <c r="A63" s="370"/>
      <c r="B63" s="370"/>
    </row>
    <row r="64">
      <c r="A64" s="370"/>
      <c r="B64" s="370"/>
    </row>
    <row r="65">
      <c r="A65" s="370"/>
      <c r="B65" s="370"/>
    </row>
    <row r="66">
      <c r="A66" s="370"/>
      <c r="B66" s="370"/>
    </row>
    <row r="67">
      <c r="A67" s="370"/>
      <c r="B67" s="370"/>
    </row>
    <row r="68">
      <c r="A68" s="370"/>
      <c r="B68" s="370"/>
    </row>
    <row r="69">
      <c r="A69" s="370"/>
      <c r="B69" s="370"/>
    </row>
    <row r="70">
      <c r="A70" s="370"/>
      <c r="B70" s="370"/>
    </row>
    <row r="71">
      <c r="A71" s="370"/>
      <c r="B71" s="370"/>
    </row>
    <row r="72">
      <c r="A72" s="370"/>
      <c r="B72" s="370"/>
    </row>
    <row r="73">
      <c r="A73" s="370"/>
      <c r="B73" s="370"/>
    </row>
    <row r="74">
      <c r="A74" s="370"/>
      <c r="B74" s="370"/>
    </row>
    <row r="75">
      <c r="A75" s="370"/>
      <c r="B75" s="370"/>
    </row>
    <row r="76">
      <c r="A76" s="370"/>
      <c r="B76" s="370"/>
    </row>
    <row r="77">
      <c r="A77" s="370"/>
      <c r="B77" s="370"/>
    </row>
    <row r="78">
      <c r="A78" s="370"/>
      <c r="B78" s="370"/>
    </row>
    <row r="79">
      <c r="A79" s="370"/>
      <c r="B79" s="370"/>
    </row>
    <row r="80">
      <c r="A80" s="370"/>
      <c r="B80" s="370"/>
    </row>
    <row r="81">
      <c r="A81" s="370"/>
      <c r="B81" s="370"/>
    </row>
    <row r="82">
      <c r="A82" s="370"/>
      <c r="B82" s="370"/>
    </row>
    <row r="83">
      <c r="A83" s="370"/>
      <c r="B83" s="370"/>
    </row>
    <row r="84">
      <c r="A84" s="370"/>
      <c r="B84" s="370"/>
    </row>
    <row r="85">
      <c r="A85" s="370"/>
      <c r="B85" s="370"/>
    </row>
    <row r="86">
      <c r="A86" s="370"/>
      <c r="B86" s="370"/>
    </row>
    <row r="87">
      <c r="A87" s="370"/>
      <c r="B87" s="370"/>
    </row>
    <row r="88">
      <c r="A88" s="370"/>
      <c r="B88" s="370"/>
    </row>
    <row r="89">
      <c r="A89" s="370"/>
      <c r="B89" s="370"/>
    </row>
    <row r="90">
      <c r="A90" s="370"/>
      <c r="B90" s="370"/>
    </row>
    <row r="91">
      <c r="A91" s="370"/>
      <c r="B91" s="370"/>
    </row>
    <row r="92">
      <c r="A92" s="370"/>
      <c r="B92" s="370"/>
    </row>
    <row r="93">
      <c r="A93" s="370"/>
      <c r="B93" s="370"/>
    </row>
    <row r="94">
      <c r="A94" s="370"/>
      <c r="B94" s="370"/>
    </row>
    <row r="95">
      <c r="A95" s="370"/>
      <c r="B95" s="370"/>
    </row>
    <row r="96">
      <c r="A96" s="370"/>
      <c r="B96" s="370"/>
    </row>
    <row r="97">
      <c r="A97" s="370"/>
      <c r="B97" s="370"/>
    </row>
    <row r="98">
      <c r="A98" s="370"/>
      <c r="B98" s="370"/>
    </row>
    <row r="99">
      <c r="A99" s="370"/>
      <c r="B99" s="370"/>
    </row>
    <row r="100">
      <c r="A100" s="370"/>
      <c r="B100" s="370"/>
    </row>
    <row r="101">
      <c r="A101" s="370"/>
      <c r="B101" s="370"/>
    </row>
    <row r="102">
      <c r="A102" s="370"/>
      <c r="B102" s="370"/>
    </row>
    <row r="103">
      <c r="A103" s="370"/>
      <c r="B103" s="370"/>
    </row>
    <row r="104">
      <c r="A104" s="370"/>
      <c r="B104" s="370"/>
    </row>
    <row r="105">
      <c r="A105" s="370"/>
      <c r="B105" s="370"/>
    </row>
    <row r="106">
      <c r="A106" s="370"/>
      <c r="B106" s="370"/>
    </row>
    <row r="107">
      <c r="A107" s="370"/>
      <c r="B107" s="370"/>
    </row>
    <row r="108">
      <c r="A108" s="370"/>
      <c r="B108" s="370"/>
    </row>
    <row r="109">
      <c r="A109" s="370"/>
      <c r="B109" s="370"/>
    </row>
    <row r="110">
      <c r="A110" s="370"/>
      <c r="B110" s="370"/>
    </row>
    <row r="111">
      <c r="A111" s="370"/>
      <c r="B111" s="370"/>
    </row>
    <row r="112">
      <c r="A112" s="370"/>
      <c r="B112" s="370"/>
    </row>
    <row r="113">
      <c r="A113" s="370"/>
      <c r="B113" s="370"/>
    </row>
    <row r="114">
      <c r="A114" s="370"/>
      <c r="B114" s="370"/>
    </row>
    <row r="115">
      <c r="A115" s="370"/>
      <c r="B115" s="370"/>
    </row>
    <row r="116">
      <c r="A116" s="370"/>
      <c r="B116" s="370"/>
    </row>
    <row r="117">
      <c r="A117" s="370"/>
      <c r="B117" s="370"/>
    </row>
    <row r="118">
      <c r="A118" s="370"/>
      <c r="B118" s="370"/>
    </row>
    <row r="119">
      <c r="A119" s="370"/>
      <c r="B119" s="370"/>
    </row>
    <row r="120">
      <c r="A120" s="370"/>
      <c r="B120" s="370"/>
    </row>
    <row r="121">
      <c r="A121" s="370"/>
      <c r="B121" s="370"/>
    </row>
    <row r="122">
      <c r="A122" s="370"/>
      <c r="B122" s="370"/>
    </row>
    <row r="123">
      <c r="A123" s="370"/>
      <c r="B123" s="370"/>
    </row>
    <row r="124">
      <c r="A124" s="370"/>
      <c r="B124" s="370"/>
    </row>
    <row r="125">
      <c r="A125" s="370"/>
      <c r="B125" s="370"/>
    </row>
    <row r="126">
      <c r="A126" s="370"/>
      <c r="B126" s="370"/>
    </row>
    <row r="127">
      <c r="A127" s="370"/>
      <c r="B127" s="370"/>
    </row>
    <row r="128">
      <c r="A128" s="370"/>
      <c r="B128" s="370"/>
    </row>
    <row r="129">
      <c r="A129" s="370"/>
      <c r="B129" s="370"/>
    </row>
    <row r="130">
      <c r="A130" s="370"/>
      <c r="B130" s="370"/>
    </row>
    <row r="131">
      <c r="A131" s="370"/>
      <c r="B131" s="370"/>
    </row>
    <row r="132">
      <c r="A132" s="370"/>
      <c r="B132" s="370"/>
    </row>
    <row r="133">
      <c r="A133" s="370"/>
      <c r="B133" s="370"/>
    </row>
    <row r="134">
      <c r="A134" s="370"/>
      <c r="B134" s="370"/>
    </row>
    <row r="135">
      <c r="A135" s="370"/>
      <c r="B135" s="370"/>
    </row>
    <row r="136">
      <c r="A136" s="370"/>
      <c r="B136" s="370"/>
    </row>
    <row r="137">
      <c r="A137" s="370"/>
      <c r="B137" s="370"/>
    </row>
    <row r="138">
      <c r="A138" s="370"/>
      <c r="B138" s="370"/>
    </row>
    <row r="139">
      <c r="A139" s="370"/>
      <c r="B139" s="370"/>
    </row>
    <row r="140">
      <c r="A140" s="370"/>
      <c r="B140" s="370"/>
    </row>
    <row r="141">
      <c r="A141" s="370"/>
      <c r="B141" s="370"/>
    </row>
    <row r="142">
      <c r="A142" s="370"/>
      <c r="B142" s="370"/>
    </row>
    <row r="143">
      <c r="A143" s="370"/>
      <c r="B143" s="370"/>
    </row>
    <row r="144">
      <c r="A144" s="370"/>
      <c r="B144" s="370"/>
    </row>
    <row r="145">
      <c r="A145" s="370"/>
      <c r="B145" s="370"/>
    </row>
    <row r="146">
      <c r="A146" s="370"/>
      <c r="B146" s="370"/>
    </row>
    <row r="147">
      <c r="A147" s="370"/>
      <c r="B147" s="370"/>
    </row>
    <row r="148">
      <c r="A148" s="370"/>
      <c r="B148" s="370"/>
    </row>
    <row r="149">
      <c r="A149" s="370"/>
      <c r="B149" s="370"/>
    </row>
    <row r="150">
      <c r="A150" s="370"/>
      <c r="B150" s="370"/>
    </row>
    <row r="151">
      <c r="A151" s="370"/>
      <c r="B151" s="370"/>
    </row>
    <row r="152">
      <c r="A152" s="370"/>
      <c r="B152" s="370"/>
    </row>
    <row r="153">
      <c r="A153" s="370"/>
      <c r="B153" s="370"/>
    </row>
    <row r="154">
      <c r="A154" s="370"/>
      <c r="B154" s="370"/>
    </row>
    <row r="155">
      <c r="A155" s="370"/>
      <c r="B155" s="370"/>
    </row>
    <row r="156">
      <c r="A156" s="370"/>
      <c r="B156" s="370"/>
    </row>
    <row r="157">
      <c r="A157" s="370"/>
      <c r="B157" s="370"/>
    </row>
    <row r="158">
      <c r="A158" s="370"/>
      <c r="B158" s="370"/>
    </row>
    <row r="159">
      <c r="A159" s="370"/>
      <c r="B159" s="370"/>
    </row>
    <row r="160">
      <c r="A160" s="370"/>
      <c r="B160" s="370"/>
    </row>
    <row r="161">
      <c r="A161" s="370"/>
      <c r="B161" s="370"/>
    </row>
    <row r="162">
      <c r="A162" s="370"/>
      <c r="B162" s="370"/>
    </row>
    <row r="163">
      <c r="A163" s="370"/>
      <c r="B163" s="370"/>
    </row>
    <row r="164">
      <c r="A164" s="370"/>
      <c r="B164" s="370"/>
    </row>
    <row r="165">
      <c r="A165" s="370"/>
      <c r="B165" s="370"/>
    </row>
    <row r="166">
      <c r="A166" s="370"/>
      <c r="B166" s="370"/>
    </row>
    <row r="167">
      <c r="A167" s="370"/>
      <c r="B167" s="370"/>
    </row>
    <row r="168">
      <c r="A168" s="370"/>
      <c r="B168" s="370"/>
    </row>
    <row r="169">
      <c r="A169" s="370"/>
      <c r="B169" s="370"/>
    </row>
    <row r="170">
      <c r="A170" s="370"/>
      <c r="B170" s="370"/>
    </row>
    <row r="171">
      <c r="A171" s="370"/>
      <c r="B171" s="370"/>
    </row>
    <row r="172">
      <c r="A172" s="370"/>
      <c r="B172" s="370"/>
    </row>
    <row r="173">
      <c r="A173" s="370"/>
      <c r="B173" s="370"/>
    </row>
    <row r="174">
      <c r="A174" s="370"/>
      <c r="B174" s="370"/>
    </row>
    <row r="175">
      <c r="A175" s="370"/>
      <c r="B175" s="370"/>
    </row>
    <row r="176">
      <c r="A176" s="370"/>
      <c r="B176" s="370"/>
    </row>
    <row r="177">
      <c r="A177" s="370"/>
      <c r="B177" s="370"/>
    </row>
    <row r="178">
      <c r="A178" s="370"/>
      <c r="B178" s="370"/>
    </row>
    <row r="179">
      <c r="A179" s="370"/>
      <c r="B179" s="370"/>
    </row>
    <row r="180">
      <c r="A180" s="370"/>
      <c r="B180" s="370"/>
    </row>
    <row r="181">
      <c r="A181" s="370"/>
      <c r="B181" s="370"/>
    </row>
    <row r="182">
      <c r="A182" s="370"/>
      <c r="B182" s="370"/>
    </row>
    <row r="183">
      <c r="A183" s="370"/>
      <c r="B183" s="370"/>
    </row>
    <row r="184">
      <c r="A184" s="370"/>
      <c r="B184" s="370"/>
    </row>
    <row r="185">
      <c r="A185" s="370"/>
      <c r="B185" s="370"/>
    </row>
    <row r="186">
      <c r="A186" s="370"/>
      <c r="B186" s="370"/>
    </row>
    <row r="187">
      <c r="A187" s="370"/>
      <c r="B187" s="370"/>
    </row>
    <row r="188">
      <c r="A188" s="370"/>
      <c r="B188" s="370"/>
    </row>
    <row r="189">
      <c r="A189" s="370"/>
      <c r="B189" s="370"/>
    </row>
    <row r="190">
      <c r="A190" s="370"/>
      <c r="B190" s="370"/>
    </row>
    <row r="191">
      <c r="A191" s="370"/>
      <c r="B191" s="370"/>
    </row>
    <row r="192">
      <c r="A192" s="370"/>
      <c r="B192" s="370"/>
    </row>
    <row r="193">
      <c r="A193" s="370"/>
      <c r="B193" s="370"/>
    </row>
    <row r="194">
      <c r="A194" s="370"/>
      <c r="B194" s="370"/>
    </row>
    <row r="195">
      <c r="A195" s="370"/>
      <c r="B195" s="370"/>
    </row>
    <row r="196">
      <c r="A196" s="370"/>
      <c r="B196" s="370"/>
    </row>
    <row r="197">
      <c r="A197" s="370"/>
      <c r="B197" s="370"/>
    </row>
    <row r="198">
      <c r="A198" s="370"/>
      <c r="B198" s="370"/>
    </row>
    <row r="199">
      <c r="A199" s="370"/>
      <c r="B199" s="370"/>
    </row>
    <row r="200">
      <c r="A200" s="370"/>
      <c r="B200" s="370"/>
    </row>
    <row r="201">
      <c r="A201" s="370"/>
      <c r="B201" s="370"/>
    </row>
    <row r="202">
      <c r="A202" s="370"/>
      <c r="B202" s="370"/>
    </row>
    <row r="203">
      <c r="A203" s="370"/>
      <c r="B203" s="370"/>
    </row>
    <row r="204">
      <c r="A204" s="370"/>
      <c r="B204" s="370"/>
    </row>
    <row r="205">
      <c r="A205" s="370"/>
      <c r="B205" s="370"/>
    </row>
    <row r="206">
      <c r="A206" s="370"/>
      <c r="B206" s="370"/>
    </row>
    <row r="207">
      <c r="A207" s="370"/>
      <c r="B207" s="370"/>
    </row>
    <row r="208">
      <c r="A208" s="370"/>
      <c r="B208" s="370"/>
    </row>
    <row r="209">
      <c r="A209" s="370"/>
      <c r="B209" s="370"/>
    </row>
    <row r="210">
      <c r="A210" s="370"/>
      <c r="B210" s="370"/>
    </row>
    <row r="211">
      <c r="A211" s="370"/>
      <c r="B211" s="370"/>
    </row>
    <row r="212">
      <c r="A212" s="370"/>
      <c r="B212" s="370"/>
    </row>
    <row r="213">
      <c r="A213" s="370"/>
      <c r="B213" s="370"/>
    </row>
    <row r="214">
      <c r="A214" s="370"/>
      <c r="B214" s="370"/>
    </row>
    <row r="215">
      <c r="A215" s="370"/>
      <c r="B215" s="370"/>
    </row>
    <row r="216">
      <c r="A216" s="370"/>
      <c r="B216" s="370"/>
    </row>
    <row r="217">
      <c r="A217" s="370"/>
      <c r="B217" s="370"/>
    </row>
    <row r="218">
      <c r="A218" s="370"/>
      <c r="B218" s="370"/>
    </row>
    <row r="219">
      <c r="A219" s="370"/>
      <c r="B219" s="370"/>
    </row>
    <row r="220">
      <c r="A220" s="370"/>
      <c r="B220" s="370"/>
    </row>
    <row r="221">
      <c r="A221" s="370"/>
      <c r="B221" s="370"/>
    </row>
    <row r="222">
      <c r="A222" s="370"/>
      <c r="B222" s="370"/>
    </row>
    <row r="223">
      <c r="A223" s="370"/>
      <c r="B223" s="370"/>
    </row>
    <row r="224">
      <c r="A224" s="370"/>
      <c r="B224" s="370"/>
    </row>
    <row r="225">
      <c r="A225" s="370"/>
      <c r="B225" s="370"/>
    </row>
    <row r="226">
      <c r="A226" s="370"/>
      <c r="B226" s="370"/>
    </row>
    <row r="227">
      <c r="A227" s="370"/>
      <c r="B227" s="370"/>
    </row>
    <row r="228">
      <c r="A228" s="370"/>
      <c r="B228" s="370"/>
    </row>
    <row r="229">
      <c r="A229" s="370"/>
      <c r="B229" s="370"/>
    </row>
    <row r="230">
      <c r="A230" s="370"/>
      <c r="B230" s="370"/>
    </row>
    <row r="231">
      <c r="A231" s="370"/>
      <c r="B231" s="370"/>
    </row>
    <row r="232">
      <c r="A232" s="370"/>
      <c r="B232" s="370"/>
    </row>
    <row r="233">
      <c r="A233" s="370"/>
      <c r="B233" s="370"/>
    </row>
    <row r="234">
      <c r="A234" s="370"/>
      <c r="B234" s="370"/>
    </row>
    <row r="235">
      <c r="A235" s="370"/>
      <c r="B235" s="370"/>
    </row>
    <row r="236">
      <c r="A236" s="370"/>
      <c r="B236" s="370"/>
    </row>
    <row r="237">
      <c r="A237" s="370"/>
      <c r="B237" s="370"/>
    </row>
    <row r="238">
      <c r="A238" s="370"/>
      <c r="B238" s="370"/>
    </row>
    <row r="239">
      <c r="A239" s="370"/>
      <c r="B239" s="370"/>
    </row>
    <row r="240">
      <c r="A240" s="370"/>
      <c r="B240" s="370"/>
    </row>
    <row r="241">
      <c r="A241" s="370"/>
      <c r="B241" s="370"/>
    </row>
    <row r="242">
      <c r="A242" s="370"/>
      <c r="B242" s="370"/>
    </row>
    <row r="243">
      <c r="A243" s="370"/>
      <c r="B243" s="370"/>
    </row>
    <row r="244">
      <c r="A244" s="370"/>
      <c r="B244" s="370"/>
    </row>
    <row r="245">
      <c r="A245" s="370"/>
      <c r="B245" s="370"/>
    </row>
    <row r="246">
      <c r="A246" s="370"/>
      <c r="B246" s="370"/>
    </row>
    <row r="247">
      <c r="A247" s="370"/>
      <c r="B247" s="370"/>
    </row>
    <row r="248">
      <c r="A248" s="370"/>
      <c r="B248" s="370"/>
    </row>
    <row r="249">
      <c r="A249" s="370"/>
      <c r="B249" s="370"/>
    </row>
    <row r="250">
      <c r="A250" s="370"/>
      <c r="B250" s="370"/>
    </row>
    <row r="251">
      <c r="A251" s="370"/>
      <c r="B251" s="370"/>
    </row>
    <row r="252">
      <c r="A252" s="370"/>
      <c r="B252" s="370"/>
    </row>
    <row r="253">
      <c r="A253" s="370"/>
      <c r="B253" s="370"/>
    </row>
    <row r="254">
      <c r="A254" s="370"/>
      <c r="B254" s="370"/>
    </row>
    <row r="255">
      <c r="A255" s="370"/>
      <c r="B255" s="370"/>
    </row>
    <row r="256">
      <c r="A256" s="370"/>
      <c r="B256" s="370"/>
    </row>
    <row r="257">
      <c r="A257" s="370"/>
      <c r="B257" s="370"/>
    </row>
    <row r="258">
      <c r="A258" s="370"/>
      <c r="B258" s="370"/>
    </row>
    <row r="259">
      <c r="A259" s="370"/>
      <c r="B259" s="370"/>
    </row>
    <row r="260">
      <c r="A260" s="370"/>
      <c r="B260" s="370"/>
    </row>
    <row r="261">
      <c r="A261" s="370"/>
      <c r="B261" s="370"/>
    </row>
    <row r="262">
      <c r="A262" s="370"/>
      <c r="B262" s="370"/>
    </row>
    <row r="263">
      <c r="A263" s="370"/>
      <c r="B263" s="370"/>
    </row>
    <row r="264">
      <c r="A264" s="370"/>
      <c r="B264" s="370"/>
    </row>
    <row r="265">
      <c r="A265" s="370"/>
      <c r="B265" s="370"/>
    </row>
    <row r="266">
      <c r="A266" s="370"/>
      <c r="B266" s="370"/>
    </row>
    <row r="267">
      <c r="A267" s="370"/>
      <c r="B267" s="370"/>
    </row>
    <row r="268">
      <c r="A268" s="370"/>
      <c r="B268" s="370"/>
    </row>
    <row r="269">
      <c r="A269" s="370"/>
      <c r="B269" s="370"/>
    </row>
    <row r="270">
      <c r="A270" s="370"/>
      <c r="B270" s="370"/>
    </row>
    <row r="271">
      <c r="A271" s="370"/>
      <c r="B271" s="370"/>
    </row>
    <row r="272">
      <c r="A272" s="370"/>
      <c r="B272" s="370"/>
    </row>
    <row r="273">
      <c r="A273" s="370"/>
      <c r="B273" s="370"/>
    </row>
    <row r="274">
      <c r="A274" s="370"/>
      <c r="B274" s="370"/>
    </row>
    <row r="275">
      <c r="A275" s="370"/>
      <c r="B275" s="370"/>
    </row>
    <row r="276">
      <c r="A276" s="370"/>
      <c r="B276" s="370"/>
    </row>
    <row r="277">
      <c r="A277" s="370"/>
      <c r="B277" s="370"/>
    </row>
    <row r="278">
      <c r="A278" s="370"/>
      <c r="B278" s="370"/>
    </row>
    <row r="279">
      <c r="A279" s="370"/>
      <c r="B279" s="370"/>
    </row>
    <row r="280">
      <c r="A280" s="370"/>
      <c r="B280" s="370"/>
    </row>
    <row r="281">
      <c r="A281" s="370"/>
      <c r="B281" s="370"/>
    </row>
    <row r="282">
      <c r="A282" s="370"/>
      <c r="B282" s="370"/>
    </row>
    <row r="283">
      <c r="A283" s="370"/>
      <c r="B283" s="370"/>
    </row>
    <row r="284">
      <c r="A284" s="370"/>
      <c r="B284" s="370"/>
    </row>
    <row r="285">
      <c r="A285" s="370"/>
      <c r="B285" s="370"/>
    </row>
    <row r="286">
      <c r="A286" s="370"/>
      <c r="B286" s="370"/>
    </row>
    <row r="287">
      <c r="A287" s="370"/>
      <c r="B287" s="370"/>
    </row>
    <row r="288">
      <c r="A288" s="370"/>
      <c r="B288" s="370"/>
    </row>
    <row r="289">
      <c r="A289" s="370"/>
      <c r="B289" s="370"/>
    </row>
    <row r="290">
      <c r="A290" s="370"/>
      <c r="B290" s="370"/>
    </row>
    <row r="291">
      <c r="A291" s="370"/>
      <c r="B291" s="370"/>
    </row>
    <row r="292">
      <c r="A292" s="370"/>
      <c r="B292" s="370"/>
    </row>
    <row r="293">
      <c r="A293" s="370"/>
      <c r="B293" s="370"/>
    </row>
    <row r="294">
      <c r="A294" s="370"/>
      <c r="B294" s="370"/>
    </row>
    <row r="295">
      <c r="A295" s="370"/>
      <c r="B295" s="370"/>
    </row>
    <row r="296">
      <c r="A296" s="370"/>
      <c r="B296" s="370"/>
    </row>
    <row r="297">
      <c r="A297" s="370"/>
      <c r="B297" s="370"/>
    </row>
    <row r="298">
      <c r="A298" s="370"/>
      <c r="B298" s="370"/>
    </row>
    <row r="299">
      <c r="A299" s="370"/>
      <c r="B299" s="370"/>
    </row>
    <row r="300">
      <c r="A300" s="370"/>
      <c r="B300" s="370"/>
    </row>
    <row r="301">
      <c r="A301" s="370"/>
      <c r="B301" s="370"/>
    </row>
    <row r="302">
      <c r="A302" s="370"/>
      <c r="B302" s="370"/>
    </row>
    <row r="303">
      <c r="A303" s="370"/>
      <c r="B303" s="370"/>
    </row>
    <row r="304">
      <c r="A304" s="370"/>
      <c r="B304" s="370"/>
    </row>
    <row r="305">
      <c r="A305" s="370"/>
      <c r="B305" s="370"/>
    </row>
    <row r="306">
      <c r="A306" s="370"/>
      <c r="B306" s="370"/>
    </row>
    <row r="307">
      <c r="A307" s="370"/>
      <c r="B307" s="370"/>
    </row>
    <row r="308">
      <c r="A308" s="370"/>
      <c r="B308" s="370"/>
    </row>
    <row r="309">
      <c r="A309" s="370"/>
      <c r="B309" s="370"/>
    </row>
    <row r="310">
      <c r="A310" s="370"/>
      <c r="B310" s="370"/>
    </row>
    <row r="311">
      <c r="A311" s="370"/>
      <c r="B311" s="370"/>
    </row>
    <row r="312">
      <c r="A312" s="370"/>
      <c r="B312" s="370"/>
    </row>
    <row r="313">
      <c r="A313" s="370"/>
      <c r="B313" s="370"/>
    </row>
    <row r="314">
      <c r="A314" s="370"/>
      <c r="B314" s="370"/>
    </row>
    <row r="315">
      <c r="A315" s="370"/>
      <c r="B315" s="370"/>
    </row>
    <row r="316">
      <c r="A316" s="370"/>
      <c r="B316" s="370"/>
    </row>
    <row r="317">
      <c r="A317" s="370"/>
      <c r="B317" s="370"/>
    </row>
    <row r="318">
      <c r="A318" s="370"/>
      <c r="B318" s="370"/>
    </row>
    <row r="319">
      <c r="A319" s="370"/>
      <c r="B319" s="370"/>
    </row>
    <row r="320">
      <c r="A320" s="370"/>
      <c r="B320" s="370"/>
    </row>
    <row r="321">
      <c r="A321" s="370"/>
      <c r="B321" s="370"/>
    </row>
    <row r="322">
      <c r="A322" s="370"/>
      <c r="B322" s="370"/>
    </row>
    <row r="323">
      <c r="A323" s="370"/>
      <c r="B323" s="370"/>
    </row>
    <row r="324">
      <c r="A324" s="370"/>
      <c r="B324" s="370"/>
    </row>
    <row r="325">
      <c r="A325" s="370"/>
      <c r="B325" s="370"/>
    </row>
    <row r="326">
      <c r="A326" s="370"/>
      <c r="B326" s="370"/>
    </row>
    <row r="327">
      <c r="A327" s="370"/>
      <c r="B327" s="370"/>
    </row>
    <row r="328">
      <c r="A328" s="370"/>
      <c r="B328" s="370"/>
    </row>
    <row r="329">
      <c r="A329" s="370"/>
      <c r="B329" s="370"/>
    </row>
    <row r="330">
      <c r="A330" s="370"/>
      <c r="B330" s="370"/>
    </row>
    <row r="331">
      <c r="A331" s="370"/>
      <c r="B331" s="370"/>
    </row>
    <row r="332">
      <c r="A332" s="370"/>
      <c r="B332" s="370"/>
    </row>
    <row r="333">
      <c r="A333" s="370"/>
      <c r="B333" s="370"/>
    </row>
    <row r="334">
      <c r="A334" s="370"/>
      <c r="B334" s="370"/>
    </row>
    <row r="335">
      <c r="A335" s="370"/>
      <c r="B335" s="370"/>
    </row>
    <row r="336">
      <c r="A336" s="370"/>
      <c r="B336" s="370"/>
    </row>
    <row r="337">
      <c r="A337" s="370"/>
      <c r="B337" s="370"/>
    </row>
    <row r="338">
      <c r="A338" s="370"/>
      <c r="B338" s="370"/>
    </row>
    <row r="339">
      <c r="A339" s="370"/>
      <c r="B339" s="370"/>
    </row>
    <row r="340">
      <c r="A340" s="370"/>
      <c r="B340" s="370"/>
    </row>
    <row r="341">
      <c r="A341" s="370"/>
      <c r="B341" s="370"/>
    </row>
    <row r="342">
      <c r="A342" s="370"/>
      <c r="B342" s="370"/>
    </row>
    <row r="343">
      <c r="A343" s="370"/>
      <c r="B343" s="370"/>
    </row>
    <row r="344">
      <c r="A344" s="370"/>
      <c r="B344" s="370"/>
    </row>
    <row r="345">
      <c r="A345" s="370"/>
      <c r="B345" s="370"/>
    </row>
    <row r="346">
      <c r="A346" s="370"/>
      <c r="B346" s="370"/>
    </row>
    <row r="347">
      <c r="A347" s="370"/>
      <c r="B347" s="370"/>
    </row>
    <row r="348">
      <c r="A348" s="370"/>
      <c r="B348" s="370"/>
    </row>
    <row r="349">
      <c r="A349" s="370"/>
      <c r="B349" s="370"/>
    </row>
    <row r="350">
      <c r="A350" s="370"/>
      <c r="B350" s="370"/>
    </row>
    <row r="351">
      <c r="A351" s="370"/>
      <c r="B351" s="370"/>
    </row>
    <row r="352">
      <c r="A352" s="370"/>
      <c r="B352" s="370"/>
    </row>
    <row r="353">
      <c r="A353" s="370"/>
      <c r="B353" s="370"/>
    </row>
    <row r="354">
      <c r="A354" s="370"/>
      <c r="B354" s="370"/>
    </row>
    <row r="355">
      <c r="A355" s="370"/>
      <c r="B355" s="370"/>
    </row>
    <row r="356">
      <c r="A356" s="370"/>
      <c r="B356" s="370"/>
    </row>
    <row r="357">
      <c r="A357" s="370"/>
      <c r="B357" s="370"/>
    </row>
    <row r="358">
      <c r="A358" s="370"/>
      <c r="B358" s="370"/>
    </row>
    <row r="359">
      <c r="A359" s="370"/>
      <c r="B359" s="370"/>
    </row>
    <row r="360">
      <c r="A360" s="370"/>
      <c r="B360" s="370"/>
    </row>
    <row r="361">
      <c r="A361" s="370"/>
      <c r="B361" s="370"/>
    </row>
    <row r="362">
      <c r="A362" s="370"/>
      <c r="B362" s="370"/>
    </row>
    <row r="363">
      <c r="A363" s="370"/>
      <c r="B363" s="370"/>
    </row>
    <row r="364">
      <c r="A364" s="370"/>
      <c r="B364" s="370"/>
    </row>
    <row r="365">
      <c r="A365" s="370"/>
      <c r="B365" s="370"/>
    </row>
    <row r="366">
      <c r="A366" s="370"/>
      <c r="B366" s="370"/>
    </row>
    <row r="367">
      <c r="A367" s="370"/>
      <c r="B367" s="370"/>
    </row>
    <row r="368">
      <c r="A368" s="370"/>
      <c r="B368" s="370"/>
    </row>
    <row r="369">
      <c r="A369" s="370"/>
      <c r="B369" s="370"/>
    </row>
    <row r="370">
      <c r="A370" s="370"/>
      <c r="B370" s="370"/>
    </row>
    <row r="371">
      <c r="A371" s="370"/>
      <c r="B371" s="370"/>
    </row>
    <row r="372">
      <c r="A372" s="370"/>
      <c r="B372" s="370"/>
    </row>
    <row r="373">
      <c r="A373" s="370"/>
      <c r="B373" s="370"/>
    </row>
    <row r="374">
      <c r="A374" s="370"/>
      <c r="B374" s="370"/>
    </row>
    <row r="375">
      <c r="A375" s="370"/>
      <c r="B375" s="370"/>
    </row>
    <row r="376">
      <c r="A376" s="370"/>
      <c r="B376" s="370"/>
    </row>
    <row r="377">
      <c r="A377" s="370"/>
      <c r="B377" s="370"/>
    </row>
    <row r="378">
      <c r="A378" s="370"/>
      <c r="B378" s="370"/>
    </row>
    <row r="379">
      <c r="A379" s="370"/>
      <c r="B379" s="370"/>
    </row>
    <row r="380">
      <c r="A380" s="370"/>
      <c r="B380" s="370"/>
    </row>
    <row r="381">
      <c r="A381" s="370"/>
      <c r="B381" s="370"/>
    </row>
    <row r="382">
      <c r="A382" s="370"/>
      <c r="B382" s="370"/>
    </row>
    <row r="383">
      <c r="A383" s="370"/>
      <c r="B383" s="370"/>
    </row>
    <row r="384">
      <c r="A384" s="370"/>
      <c r="B384" s="370"/>
    </row>
    <row r="385">
      <c r="A385" s="370"/>
      <c r="B385" s="370"/>
    </row>
    <row r="386">
      <c r="A386" s="370"/>
      <c r="B386" s="370"/>
    </row>
    <row r="387">
      <c r="A387" s="370"/>
      <c r="B387" s="370"/>
    </row>
    <row r="388">
      <c r="A388" s="370"/>
      <c r="B388" s="370"/>
    </row>
    <row r="389">
      <c r="A389" s="370"/>
      <c r="B389" s="370"/>
    </row>
    <row r="390">
      <c r="A390" s="370"/>
      <c r="B390" s="370"/>
    </row>
    <row r="391">
      <c r="A391" s="370"/>
      <c r="B391" s="370"/>
    </row>
    <row r="392">
      <c r="A392" s="370"/>
      <c r="B392" s="370"/>
    </row>
    <row r="393">
      <c r="A393" s="370"/>
      <c r="B393" s="370"/>
    </row>
    <row r="394">
      <c r="A394" s="370"/>
      <c r="B394" s="370"/>
    </row>
    <row r="395">
      <c r="A395" s="370"/>
      <c r="B395" s="370"/>
    </row>
    <row r="396">
      <c r="A396" s="370"/>
      <c r="B396" s="370"/>
    </row>
    <row r="397">
      <c r="A397" s="370"/>
      <c r="B397" s="370"/>
    </row>
    <row r="398">
      <c r="A398" s="370"/>
      <c r="B398" s="370"/>
    </row>
    <row r="399">
      <c r="A399" s="370"/>
      <c r="B399" s="370"/>
    </row>
    <row r="400">
      <c r="A400" s="370"/>
      <c r="B400" s="370"/>
    </row>
    <row r="401">
      <c r="A401" s="370"/>
      <c r="B401" s="370"/>
    </row>
    <row r="402">
      <c r="A402" s="370"/>
      <c r="B402" s="370"/>
    </row>
    <row r="403">
      <c r="A403" s="370"/>
      <c r="B403" s="370"/>
    </row>
    <row r="404">
      <c r="A404" s="370"/>
      <c r="B404" s="370"/>
    </row>
    <row r="405">
      <c r="A405" s="370"/>
      <c r="B405" s="370"/>
    </row>
    <row r="406">
      <c r="A406" s="370"/>
      <c r="B406" s="370"/>
    </row>
    <row r="407">
      <c r="A407" s="370"/>
      <c r="B407" s="370"/>
    </row>
    <row r="408">
      <c r="A408" s="370"/>
      <c r="B408" s="370"/>
    </row>
    <row r="409">
      <c r="A409" s="370"/>
      <c r="B409" s="370"/>
    </row>
    <row r="410">
      <c r="A410" s="370"/>
      <c r="B410" s="370"/>
    </row>
    <row r="411">
      <c r="A411" s="370"/>
      <c r="B411" s="370"/>
    </row>
    <row r="412">
      <c r="A412" s="370"/>
      <c r="B412" s="370"/>
    </row>
    <row r="413">
      <c r="A413" s="370"/>
      <c r="B413" s="370"/>
    </row>
    <row r="414">
      <c r="A414" s="370"/>
      <c r="B414" s="370"/>
    </row>
    <row r="415">
      <c r="A415" s="370"/>
      <c r="B415" s="370"/>
    </row>
    <row r="416">
      <c r="A416" s="370"/>
      <c r="B416" s="370"/>
    </row>
    <row r="417">
      <c r="A417" s="370"/>
      <c r="B417" s="370"/>
    </row>
    <row r="418">
      <c r="A418" s="370"/>
      <c r="B418" s="370"/>
    </row>
    <row r="419">
      <c r="A419" s="370"/>
      <c r="B419" s="370"/>
    </row>
    <row r="420">
      <c r="A420" s="370"/>
      <c r="B420" s="370"/>
    </row>
    <row r="421">
      <c r="A421" s="370"/>
      <c r="B421" s="370"/>
    </row>
    <row r="422">
      <c r="A422" s="370"/>
      <c r="B422" s="370"/>
    </row>
    <row r="423">
      <c r="A423" s="370"/>
      <c r="B423" s="370"/>
    </row>
    <row r="424">
      <c r="A424" s="370"/>
      <c r="B424" s="370"/>
    </row>
    <row r="425">
      <c r="A425" s="370"/>
      <c r="B425" s="370"/>
    </row>
    <row r="426">
      <c r="A426" s="370"/>
      <c r="B426" s="370"/>
    </row>
    <row r="427">
      <c r="A427" s="370"/>
      <c r="B427" s="370"/>
    </row>
    <row r="428">
      <c r="A428" s="370"/>
      <c r="B428" s="370"/>
    </row>
    <row r="429">
      <c r="A429" s="370"/>
      <c r="B429" s="370"/>
    </row>
    <row r="430">
      <c r="A430" s="370"/>
      <c r="B430" s="370"/>
    </row>
    <row r="431">
      <c r="A431" s="370"/>
      <c r="B431" s="370"/>
    </row>
    <row r="432">
      <c r="A432" s="370"/>
      <c r="B432" s="370"/>
    </row>
    <row r="433">
      <c r="A433" s="370"/>
      <c r="B433" s="370"/>
    </row>
    <row r="434">
      <c r="A434" s="370"/>
      <c r="B434" s="370"/>
    </row>
    <row r="435">
      <c r="A435" s="370"/>
      <c r="B435" s="370"/>
    </row>
    <row r="436">
      <c r="A436" s="370"/>
      <c r="B436" s="370"/>
    </row>
    <row r="437">
      <c r="A437" s="370"/>
      <c r="B437" s="370"/>
    </row>
    <row r="438">
      <c r="A438" s="370"/>
      <c r="B438" s="370"/>
    </row>
    <row r="439">
      <c r="A439" s="370"/>
      <c r="B439" s="370"/>
    </row>
    <row r="440">
      <c r="A440" s="370"/>
      <c r="B440" s="370"/>
    </row>
    <row r="441">
      <c r="A441" s="370"/>
      <c r="B441" s="370"/>
    </row>
    <row r="442">
      <c r="A442" s="370"/>
      <c r="B442" s="370"/>
    </row>
    <row r="443">
      <c r="A443" s="370"/>
      <c r="B443" s="370"/>
    </row>
    <row r="444">
      <c r="A444" s="370"/>
      <c r="B444" s="370"/>
    </row>
    <row r="445">
      <c r="A445" s="370"/>
      <c r="B445" s="370"/>
    </row>
    <row r="446">
      <c r="A446" s="370"/>
      <c r="B446" s="370"/>
    </row>
    <row r="447">
      <c r="A447" s="370"/>
      <c r="B447" s="370"/>
    </row>
    <row r="448">
      <c r="A448" s="370"/>
      <c r="B448" s="370"/>
    </row>
    <row r="449">
      <c r="A449" s="370"/>
      <c r="B449" s="370"/>
    </row>
    <row r="450">
      <c r="A450" s="370"/>
      <c r="B450" s="370"/>
    </row>
    <row r="451">
      <c r="A451" s="370"/>
      <c r="B451" s="370"/>
    </row>
    <row r="452">
      <c r="A452" s="370"/>
      <c r="B452" s="370"/>
    </row>
    <row r="453">
      <c r="A453" s="370"/>
      <c r="B453" s="370"/>
    </row>
    <row r="454">
      <c r="A454" s="370"/>
      <c r="B454" s="370"/>
    </row>
    <row r="455">
      <c r="A455" s="370"/>
      <c r="B455" s="370"/>
    </row>
    <row r="456">
      <c r="A456" s="370"/>
      <c r="B456" s="370"/>
    </row>
    <row r="457">
      <c r="A457" s="370"/>
      <c r="B457" s="370"/>
    </row>
    <row r="458">
      <c r="A458" s="370"/>
      <c r="B458" s="370"/>
    </row>
    <row r="459">
      <c r="A459" s="370"/>
      <c r="B459" s="370"/>
    </row>
    <row r="460">
      <c r="A460" s="370"/>
      <c r="B460" s="370"/>
    </row>
    <row r="461">
      <c r="A461" s="370"/>
      <c r="B461" s="370"/>
    </row>
    <row r="462">
      <c r="A462" s="370"/>
      <c r="B462" s="370"/>
    </row>
    <row r="463">
      <c r="A463" s="370"/>
      <c r="B463" s="370"/>
    </row>
    <row r="464">
      <c r="A464" s="370"/>
      <c r="B464" s="370"/>
    </row>
    <row r="465">
      <c r="A465" s="370"/>
      <c r="B465" s="370"/>
    </row>
    <row r="466">
      <c r="A466" s="370"/>
      <c r="B466" s="370"/>
    </row>
    <row r="467">
      <c r="A467" s="370"/>
      <c r="B467" s="370"/>
    </row>
    <row r="468">
      <c r="A468" s="370"/>
      <c r="B468" s="370"/>
    </row>
    <row r="469">
      <c r="A469" s="370"/>
      <c r="B469" s="370"/>
    </row>
    <row r="470">
      <c r="A470" s="370"/>
      <c r="B470" s="370"/>
    </row>
    <row r="471">
      <c r="A471" s="370"/>
      <c r="B471" s="370"/>
    </row>
    <row r="472">
      <c r="A472" s="370"/>
      <c r="B472" s="370"/>
    </row>
    <row r="473">
      <c r="A473" s="370"/>
      <c r="B473" s="370"/>
    </row>
    <row r="474">
      <c r="A474" s="370"/>
      <c r="B474" s="370"/>
    </row>
    <row r="475">
      <c r="A475" s="370"/>
      <c r="B475" s="370"/>
    </row>
    <row r="476">
      <c r="A476" s="370"/>
      <c r="B476" s="370"/>
    </row>
    <row r="477">
      <c r="A477" s="370"/>
      <c r="B477" s="370"/>
    </row>
    <row r="478">
      <c r="A478" s="370"/>
      <c r="B478" s="370"/>
    </row>
    <row r="479">
      <c r="A479" s="370"/>
      <c r="B479" s="370"/>
    </row>
    <row r="480">
      <c r="A480" s="370"/>
      <c r="B480" s="370"/>
    </row>
    <row r="481">
      <c r="A481" s="370"/>
      <c r="B481" s="370"/>
    </row>
    <row r="482">
      <c r="A482" s="370"/>
      <c r="B482" s="370"/>
    </row>
    <row r="483">
      <c r="A483" s="370"/>
      <c r="B483" s="370"/>
    </row>
    <row r="484">
      <c r="A484" s="370"/>
      <c r="B484" s="370"/>
    </row>
    <row r="485">
      <c r="A485" s="370"/>
      <c r="B485" s="370"/>
    </row>
    <row r="486">
      <c r="A486" s="370"/>
      <c r="B486" s="370"/>
    </row>
    <row r="487">
      <c r="A487" s="370"/>
      <c r="B487" s="370"/>
    </row>
    <row r="488">
      <c r="A488" s="370"/>
      <c r="B488" s="370"/>
    </row>
    <row r="489">
      <c r="A489" s="370"/>
      <c r="B489" s="370"/>
    </row>
    <row r="490">
      <c r="A490" s="370"/>
      <c r="B490" s="370"/>
    </row>
    <row r="491">
      <c r="A491" s="370"/>
      <c r="B491" s="370"/>
    </row>
    <row r="492">
      <c r="A492" s="370"/>
      <c r="B492" s="370"/>
    </row>
    <row r="493">
      <c r="A493" s="370"/>
      <c r="B493" s="370"/>
    </row>
    <row r="494">
      <c r="A494" s="370"/>
      <c r="B494" s="370"/>
    </row>
    <row r="495">
      <c r="A495" s="370"/>
      <c r="B495" s="370"/>
    </row>
    <row r="496">
      <c r="A496" s="370"/>
      <c r="B496" s="370"/>
    </row>
    <row r="497">
      <c r="A497" s="370"/>
      <c r="B497" s="370"/>
    </row>
    <row r="498">
      <c r="A498" s="370"/>
      <c r="B498" s="370"/>
    </row>
    <row r="499">
      <c r="A499" s="370"/>
      <c r="B499" s="370"/>
    </row>
    <row r="500">
      <c r="A500" s="370"/>
      <c r="B500" s="370"/>
    </row>
    <row r="501">
      <c r="A501" s="370"/>
      <c r="B501" s="370"/>
    </row>
    <row r="502">
      <c r="A502" s="370"/>
      <c r="B502" s="370"/>
    </row>
    <row r="503">
      <c r="A503" s="370"/>
      <c r="B503" s="370"/>
    </row>
    <row r="504">
      <c r="A504" s="370"/>
      <c r="B504" s="370"/>
    </row>
    <row r="505">
      <c r="A505" s="370"/>
      <c r="B505" s="370"/>
    </row>
    <row r="506">
      <c r="A506" s="370"/>
      <c r="B506" s="370"/>
    </row>
    <row r="507">
      <c r="A507" s="370"/>
      <c r="B507" s="370"/>
    </row>
    <row r="508">
      <c r="A508" s="370"/>
      <c r="B508" s="370"/>
    </row>
    <row r="509">
      <c r="A509" s="370"/>
      <c r="B509" s="370"/>
    </row>
    <row r="510">
      <c r="A510" s="370"/>
      <c r="B510" s="370"/>
    </row>
    <row r="511">
      <c r="A511" s="370"/>
      <c r="B511" s="370"/>
    </row>
    <row r="512">
      <c r="A512" s="370"/>
      <c r="B512" s="370"/>
    </row>
    <row r="513">
      <c r="A513" s="370"/>
      <c r="B513" s="370"/>
    </row>
    <row r="514">
      <c r="A514" s="370"/>
      <c r="B514" s="370"/>
    </row>
    <row r="515">
      <c r="A515" s="370"/>
      <c r="B515" s="370"/>
    </row>
    <row r="516">
      <c r="A516" s="370"/>
      <c r="B516" s="370"/>
    </row>
    <row r="517">
      <c r="A517" s="370"/>
      <c r="B517" s="370"/>
    </row>
    <row r="518">
      <c r="A518" s="370"/>
      <c r="B518" s="370"/>
    </row>
    <row r="519">
      <c r="A519" s="370"/>
      <c r="B519" s="370"/>
    </row>
    <row r="520">
      <c r="A520" s="370"/>
      <c r="B520" s="370"/>
    </row>
    <row r="521">
      <c r="A521" s="370"/>
      <c r="B521" s="370"/>
    </row>
    <row r="522">
      <c r="A522" s="370"/>
      <c r="B522" s="370"/>
    </row>
    <row r="523">
      <c r="A523" s="370"/>
      <c r="B523" s="370"/>
    </row>
    <row r="524">
      <c r="A524" s="370"/>
      <c r="B524" s="370"/>
    </row>
    <row r="525">
      <c r="A525" s="370"/>
      <c r="B525" s="370"/>
    </row>
    <row r="526">
      <c r="A526" s="370"/>
      <c r="B526" s="370"/>
    </row>
    <row r="527">
      <c r="A527" s="370"/>
      <c r="B527" s="370"/>
    </row>
    <row r="528">
      <c r="A528" s="370"/>
      <c r="B528" s="370"/>
    </row>
    <row r="529">
      <c r="A529" s="370"/>
      <c r="B529" s="370"/>
    </row>
    <row r="530">
      <c r="A530" s="370"/>
      <c r="B530" s="370"/>
    </row>
    <row r="531">
      <c r="A531" s="370"/>
      <c r="B531" s="370"/>
    </row>
    <row r="532">
      <c r="A532" s="370"/>
      <c r="B532" s="370"/>
    </row>
    <row r="533">
      <c r="A533" s="370"/>
      <c r="B533" s="370"/>
    </row>
    <row r="534">
      <c r="A534" s="370"/>
      <c r="B534" s="370"/>
    </row>
    <row r="535">
      <c r="A535" s="370"/>
      <c r="B535" s="370"/>
    </row>
    <row r="536">
      <c r="A536" s="370"/>
      <c r="B536" s="370"/>
    </row>
    <row r="537">
      <c r="A537" s="370"/>
      <c r="B537" s="370"/>
    </row>
    <row r="538">
      <c r="A538" s="370"/>
      <c r="B538" s="370"/>
    </row>
    <row r="539">
      <c r="A539" s="370"/>
      <c r="B539" s="370"/>
    </row>
    <row r="540">
      <c r="A540" s="370"/>
      <c r="B540" s="370"/>
    </row>
    <row r="541">
      <c r="A541" s="370"/>
      <c r="B541" s="370"/>
    </row>
    <row r="542">
      <c r="A542" s="370"/>
      <c r="B542" s="370"/>
    </row>
    <row r="543">
      <c r="A543" s="370"/>
      <c r="B543" s="370"/>
    </row>
    <row r="544">
      <c r="A544" s="370"/>
      <c r="B544" s="370"/>
    </row>
    <row r="545">
      <c r="A545" s="370"/>
      <c r="B545" s="370"/>
    </row>
    <row r="546">
      <c r="A546" s="370"/>
      <c r="B546" s="370"/>
    </row>
    <row r="547">
      <c r="A547" s="370"/>
      <c r="B547" s="370"/>
    </row>
    <row r="548">
      <c r="A548" s="370"/>
      <c r="B548" s="370"/>
    </row>
    <row r="549">
      <c r="A549" s="370"/>
      <c r="B549" s="370"/>
    </row>
    <row r="550">
      <c r="A550" s="370"/>
      <c r="B550" s="370"/>
    </row>
    <row r="551">
      <c r="A551" s="370"/>
      <c r="B551" s="370"/>
    </row>
    <row r="552">
      <c r="A552" s="370"/>
      <c r="B552" s="370"/>
    </row>
    <row r="553">
      <c r="A553" s="370"/>
      <c r="B553" s="370"/>
    </row>
    <row r="554">
      <c r="A554" s="370"/>
      <c r="B554" s="370"/>
    </row>
    <row r="555">
      <c r="A555" s="370"/>
      <c r="B555" s="370"/>
    </row>
    <row r="556">
      <c r="A556" s="370"/>
      <c r="B556" s="370"/>
    </row>
    <row r="557">
      <c r="A557" s="370"/>
      <c r="B557" s="370"/>
    </row>
    <row r="558">
      <c r="A558" s="370"/>
      <c r="B558" s="370"/>
    </row>
    <row r="559">
      <c r="A559" s="370"/>
      <c r="B559" s="370"/>
    </row>
    <row r="560">
      <c r="A560" s="370"/>
      <c r="B560" s="370"/>
    </row>
    <row r="561">
      <c r="A561" s="370"/>
      <c r="B561" s="370"/>
    </row>
    <row r="562">
      <c r="A562" s="370"/>
      <c r="B562" s="370"/>
    </row>
    <row r="563">
      <c r="A563" s="370"/>
      <c r="B563" s="370"/>
    </row>
    <row r="564">
      <c r="A564" s="370"/>
      <c r="B564" s="370"/>
    </row>
    <row r="565">
      <c r="A565" s="370"/>
      <c r="B565" s="370"/>
    </row>
    <row r="566">
      <c r="A566" s="370"/>
      <c r="B566" s="370"/>
    </row>
    <row r="567">
      <c r="A567" s="370"/>
      <c r="B567" s="370"/>
    </row>
    <row r="568">
      <c r="A568" s="370"/>
      <c r="B568" s="370"/>
    </row>
    <row r="569">
      <c r="A569" s="370"/>
      <c r="B569" s="370"/>
    </row>
    <row r="570">
      <c r="A570" s="370"/>
      <c r="B570" s="370"/>
    </row>
    <row r="571">
      <c r="A571" s="370"/>
      <c r="B571" s="370"/>
    </row>
    <row r="572">
      <c r="A572" s="370"/>
      <c r="B572" s="370"/>
    </row>
    <row r="573">
      <c r="A573" s="370"/>
      <c r="B573" s="370"/>
    </row>
    <row r="574">
      <c r="A574" s="370"/>
      <c r="B574" s="370"/>
    </row>
    <row r="575">
      <c r="A575" s="370"/>
      <c r="B575" s="370"/>
    </row>
    <row r="576">
      <c r="A576" s="370"/>
      <c r="B576" s="370"/>
    </row>
    <row r="577">
      <c r="A577" s="370"/>
      <c r="B577" s="370"/>
    </row>
    <row r="578">
      <c r="A578" s="370"/>
      <c r="B578" s="370"/>
    </row>
    <row r="579">
      <c r="A579" s="370"/>
      <c r="B579" s="370"/>
    </row>
    <row r="580">
      <c r="A580" s="370"/>
      <c r="B580" s="370"/>
    </row>
    <row r="581">
      <c r="A581" s="370"/>
      <c r="B581" s="370"/>
    </row>
    <row r="582">
      <c r="A582" s="370"/>
      <c r="B582" s="370"/>
    </row>
    <row r="583">
      <c r="A583" s="370"/>
      <c r="B583" s="370"/>
    </row>
    <row r="584">
      <c r="A584" s="370"/>
      <c r="B584" s="370"/>
    </row>
    <row r="585">
      <c r="A585" s="370"/>
      <c r="B585" s="370"/>
    </row>
    <row r="586">
      <c r="A586" s="370"/>
      <c r="B586" s="370"/>
    </row>
    <row r="587">
      <c r="A587" s="370"/>
      <c r="B587" s="370"/>
    </row>
    <row r="588">
      <c r="A588" s="370"/>
      <c r="B588" s="370"/>
    </row>
    <row r="589">
      <c r="A589" s="370"/>
      <c r="B589" s="370"/>
    </row>
    <row r="590">
      <c r="A590" s="370"/>
      <c r="B590" s="370"/>
    </row>
    <row r="591">
      <c r="A591" s="370"/>
      <c r="B591" s="370"/>
    </row>
    <row r="592">
      <c r="A592" s="370"/>
      <c r="B592" s="370"/>
    </row>
    <row r="593">
      <c r="A593" s="370"/>
      <c r="B593" s="370"/>
    </row>
    <row r="594">
      <c r="A594" s="370"/>
      <c r="B594" s="370"/>
    </row>
    <row r="595">
      <c r="A595" s="370"/>
      <c r="B595" s="370"/>
    </row>
    <row r="596">
      <c r="A596" s="370"/>
      <c r="B596" s="370"/>
    </row>
    <row r="597">
      <c r="A597" s="370"/>
      <c r="B597" s="370"/>
    </row>
    <row r="598">
      <c r="A598" s="370"/>
      <c r="B598" s="370"/>
    </row>
    <row r="599">
      <c r="A599" s="370"/>
      <c r="B599" s="370"/>
    </row>
    <row r="600">
      <c r="A600" s="370"/>
      <c r="B600" s="370"/>
    </row>
    <row r="601">
      <c r="A601" s="370"/>
      <c r="B601" s="370"/>
    </row>
    <row r="602">
      <c r="A602" s="370"/>
      <c r="B602" s="370"/>
    </row>
    <row r="603">
      <c r="A603" s="370"/>
      <c r="B603" s="370"/>
    </row>
    <row r="604">
      <c r="A604" s="370"/>
      <c r="B604" s="370"/>
    </row>
    <row r="605">
      <c r="A605" s="370"/>
      <c r="B605" s="370"/>
    </row>
    <row r="606">
      <c r="A606" s="370"/>
      <c r="B606" s="370"/>
    </row>
    <row r="607">
      <c r="A607" s="370"/>
      <c r="B607" s="370"/>
    </row>
    <row r="608">
      <c r="A608" s="370"/>
      <c r="B608" s="370"/>
    </row>
    <row r="609">
      <c r="A609" s="370"/>
      <c r="B609" s="370"/>
    </row>
    <row r="610">
      <c r="A610" s="370"/>
      <c r="B610" s="370"/>
    </row>
    <row r="611">
      <c r="A611" s="370"/>
      <c r="B611" s="370"/>
    </row>
    <row r="612">
      <c r="A612" s="370"/>
      <c r="B612" s="370"/>
    </row>
    <row r="613">
      <c r="A613" s="370"/>
      <c r="B613" s="370"/>
    </row>
    <row r="614">
      <c r="A614" s="370"/>
      <c r="B614" s="370"/>
    </row>
    <row r="615">
      <c r="A615" s="370"/>
      <c r="B615" s="370"/>
    </row>
    <row r="616">
      <c r="A616" s="370"/>
      <c r="B616" s="370"/>
    </row>
    <row r="617">
      <c r="A617" s="370"/>
      <c r="B617" s="370"/>
    </row>
    <row r="618">
      <c r="A618" s="370"/>
      <c r="B618" s="370"/>
    </row>
    <row r="619">
      <c r="A619" s="370"/>
      <c r="B619" s="370"/>
    </row>
    <row r="620">
      <c r="A620" s="370"/>
      <c r="B620" s="370"/>
    </row>
    <row r="621">
      <c r="A621" s="370"/>
      <c r="B621" s="370"/>
    </row>
    <row r="622">
      <c r="A622" s="370"/>
      <c r="B622" s="370"/>
    </row>
    <row r="623">
      <c r="A623" s="370"/>
      <c r="B623" s="370"/>
    </row>
    <row r="624">
      <c r="A624" s="370"/>
      <c r="B624" s="370"/>
    </row>
    <row r="625">
      <c r="A625" s="370"/>
      <c r="B625" s="370"/>
    </row>
    <row r="626">
      <c r="A626" s="370"/>
      <c r="B626" s="370"/>
    </row>
    <row r="627">
      <c r="A627" s="370"/>
      <c r="B627" s="370"/>
    </row>
    <row r="628">
      <c r="A628" s="370"/>
      <c r="B628" s="370"/>
    </row>
    <row r="629">
      <c r="A629" s="370"/>
      <c r="B629" s="370"/>
    </row>
    <row r="630">
      <c r="A630" s="370"/>
      <c r="B630" s="370"/>
    </row>
    <row r="631">
      <c r="A631" s="370"/>
      <c r="B631" s="370"/>
    </row>
    <row r="632">
      <c r="A632" s="370"/>
      <c r="B632" s="370"/>
    </row>
    <row r="633">
      <c r="A633" s="370"/>
      <c r="B633" s="370"/>
    </row>
    <row r="634">
      <c r="A634" s="370"/>
      <c r="B634" s="370"/>
    </row>
    <row r="635">
      <c r="A635" s="370"/>
      <c r="B635" s="370"/>
    </row>
    <row r="636">
      <c r="A636" s="370"/>
      <c r="B636" s="370"/>
    </row>
    <row r="637">
      <c r="A637" s="370"/>
      <c r="B637" s="370"/>
    </row>
    <row r="638">
      <c r="A638" s="370"/>
      <c r="B638" s="370"/>
    </row>
    <row r="639">
      <c r="A639" s="370"/>
      <c r="B639" s="370"/>
    </row>
    <row r="640">
      <c r="A640" s="370"/>
      <c r="B640" s="370"/>
    </row>
    <row r="641">
      <c r="A641" s="370"/>
      <c r="B641" s="370"/>
    </row>
    <row r="642">
      <c r="A642" s="370"/>
      <c r="B642" s="370"/>
    </row>
    <row r="643">
      <c r="A643" s="370"/>
      <c r="B643" s="370"/>
    </row>
    <row r="644">
      <c r="A644" s="370"/>
      <c r="B644" s="370"/>
    </row>
    <row r="645">
      <c r="A645" s="370"/>
      <c r="B645" s="370"/>
    </row>
    <row r="646">
      <c r="A646" s="370"/>
      <c r="B646" s="370"/>
    </row>
    <row r="647">
      <c r="A647" s="370"/>
      <c r="B647" s="370"/>
    </row>
    <row r="648">
      <c r="A648" s="370"/>
      <c r="B648" s="370"/>
    </row>
    <row r="649">
      <c r="A649" s="370"/>
      <c r="B649" s="370"/>
    </row>
    <row r="650">
      <c r="A650" s="370"/>
      <c r="B650" s="370"/>
    </row>
    <row r="651">
      <c r="A651" s="370"/>
      <c r="B651" s="370"/>
    </row>
    <row r="652">
      <c r="A652" s="370"/>
      <c r="B652" s="370"/>
    </row>
    <row r="653">
      <c r="A653" s="370"/>
      <c r="B653" s="370"/>
    </row>
    <row r="654">
      <c r="A654" s="370"/>
      <c r="B654" s="370"/>
    </row>
    <row r="655">
      <c r="A655" s="370"/>
      <c r="B655" s="370"/>
    </row>
    <row r="656">
      <c r="A656" s="370"/>
      <c r="B656" s="370"/>
    </row>
    <row r="657">
      <c r="A657" s="370"/>
      <c r="B657" s="370"/>
    </row>
    <row r="658">
      <c r="A658" s="370"/>
      <c r="B658" s="370"/>
    </row>
    <row r="659">
      <c r="A659" s="370"/>
      <c r="B659" s="370"/>
    </row>
    <row r="660">
      <c r="A660" s="370"/>
      <c r="B660" s="370"/>
    </row>
    <row r="661">
      <c r="A661" s="370"/>
      <c r="B661" s="370"/>
    </row>
    <row r="662">
      <c r="A662" s="370"/>
      <c r="B662" s="370"/>
    </row>
    <row r="663">
      <c r="A663" s="370"/>
      <c r="B663" s="370"/>
    </row>
    <row r="664">
      <c r="A664" s="370"/>
      <c r="B664" s="370"/>
    </row>
    <row r="665">
      <c r="A665" s="370"/>
      <c r="B665" s="370"/>
    </row>
    <row r="666">
      <c r="A666" s="370"/>
      <c r="B666" s="370"/>
    </row>
    <row r="667">
      <c r="A667" s="370"/>
      <c r="B667" s="370"/>
    </row>
    <row r="668">
      <c r="A668" s="370"/>
      <c r="B668" s="370"/>
    </row>
    <row r="669">
      <c r="A669" s="370"/>
      <c r="B669" s="370"/>
    </row>
    <row r="670">
      <c r="A670" s="370"/>
      <c r="B670" s="370"/>
    </row>
    <row r="671">
      <c r="A671" s="370"/>
      <c r="B671" s="370"/>
    </row>
    <row r="672">
      <c r="A672" s="370"/>
      <c r="B672" s="370"/>
    </row>
    <row r="673">
      <c r="A673" s="370"/>
      <c r="B673" s="370"/>
    </row>
    <row r="674">
      <c r="A674" s="370"/>
      <c r="B674" s="370"/>
    </row>
    <row r="675">
      <c r="A675" s="370"/>
      <c r="B675" s="370"/>
    </row>
    <row r="676">
      <c r="A676" s="370"/>
      <c r="B676" s="370"/>
    </row>
    <row r="677">
      <c r="A677" s="370"/>
      <c r="B677" s="370"/>
    </row>
    <row r="678">
      <c r="A678" s="370"/>
      <c r="B678" s="370"/>
    </row>
    <row r="679">
      <c r="A679" s="370"/>
      <c r="B679" s="370"/>
    </row>
    <row r="680">
      <c r="A680" s="370"/>
      <c r="B680" s="370"/>
    </row>
    <row r="681">
      <c r="A681" s="370"/>
      <c r="B681" s="370"/>
    </row>
    <row r="682">
      <c r="A682" s="370"/>
      <c r="B682" s="370"/>
    </row>
    <row r="683">
      <c r="A683" s="370"/>
      <c r="B683" s="370"/>
    </row>
    <row r="684">
      <c r="A684" s="370"/>
      <c r="B684" s="370"/>
    </row>
    <row r="685">
      <c r="A685" s="370"/>
      <c r="B685" s="370"/>
    </row>
    <row r="686">
      <c r="A686" s="370"/>
      <c r="B686" s="370"/>
    </row>
    <row r="687">
      <c r="A687" s="370"/>
      <c r="B687" s="370"/>
    </row>
    <row r="688">
      <c r="A688" s="370"/>
      <c r="B688" s="370"/>
    </row>
    <row r="689">
      <c r="A689" s="370"/>
      <c r="B689" s="370"/>
    </row>
    <row r="690">
      <c r="A690" s="370"/>
      <c r="B690" s="370"/>
    </row>
    <row r="691">
      <c r="A691" s="370"/>
      <c r="B691" s="370"/>
    </row>
    <row r="692">
      <c r="A692" s="370"/>
      <c r="B692" s="370"/>
    </row>
    <row r="693">
      <c r="A693" s="370"/>
      <c r="B693" s="370"/>
    </row>
    <row r="694">
      <c r="A694" s="370"/>
      <c r="B694" s="370"/>
    </row>
    <row r="695">
      <c r="A695" s="370"/>
      <c r="B695" s="370"/>
    </row>
    <row r="696">
      <c r="A696" s="370"/>
      <c r="B696" s="370"/>
    </row>
    <row r="697">
      <c r="A697" s="370"/>
      <c r="B697" s="370"/>
    </row>
    <row r="698">
      <c r="A698" s="370"/>
      <c r="B698" s="370"/>
    </row>
    <row r="699">
      <c r="A699" s="370"/>
      <c r="B699" s="370"/>
    </row>
    <row r="700">
      <c r="A700" s="370"/>
      <c r="B700" s="370"/>
    </row>
    <row r="701">
      <c r="A701" s="370"/>
      <c r="B701" s="370"/>
    </row>
    <row r="702">
      <c r="A702" s="370"/>
      <c r="B702" s="370"/>
    </row>
    <row r="703">
      <c r="A703" s="370"/>
      <c r="B703" s="370"/>
    </row>
    <row r="704">
      <c r="A704" s="370"/>
      <c r="B704" s="370"/>
    </row>
    <row r="705">
      <c r="A705" s="370"/>
      <c r="B705" s="370"/>
    </row>
    <row r="706">
      <c r="A706" s="370"/>
      <c r="B706" s="370"/>
    </row>
    <row r="707">
      <c r="A707" s="370"/>
      <c r="B707" s="370"/>
    </row>
    <row r="708">
      <c r="A708" s="370"/>
      <c r="B708" s="370"/>
    </row>
    <row r="709">
      <c r="A709" s="370"/>
      <c r="B709" s="370"/>
    </row>
    <row r="710">
      <c r="A710" s="370"/>
      <c r="B710" s="370"/>
    </row>
    <row r="711">
      <c r="A711" s="370"/>
      <c r="B711" s="370"/>
    </row>
    <row r="712">
      <c r="A712" s="370"/>
      <c r="B712" s="370"/>
    </row>
    <row r="713">
      <c r="A713" s="370"/>
      <c r="B713" s="370"/>
    </row>
    <row r="714">
      <c r="A714" s="370"/>
      <c r="B714" s="370"/>
    </row>
    <row r="715">
      <c r="A715" s="370"/>
      <c r="B715" s="370"/>
    </row>
    <row r="716">
      <c r="A716" s="370"/>
      <c r="B716" s="370"/>
    </row>
    <row r="717">
      <c r="A717" s="370"/>
      <c r="B717" s="370"/>
    </row>
    <row r="718">
      <c r="A718" s="370"/>
      <c r="B718" s="370"/>
    </row>
    <row r="719">
      <c r="A719" s="370"/>
      <c r="B719" s="370"/>
    </row>
    <row r="720">
      <c r="A720" s="370"/>
      <c r="B720" s="370"/>
    </row>
    <row r="721">
      <c r="A721" s="370"/>
      <c r="B721" s="370"/>
    </row>
    <row r="722">
      <c r="A722" s="370"/>
      <c r="B722" s="370"/>
    </row>
    <row r="723">
      <c r="A723" s="370"/>
      <c r="B723" s="370"/>
    </row>
    <row r="724">
      <c r="A724" s="370"/>
      <c r="B724" s="370"/>
    </row>
    <row r="725">
      <c r="A725" s="370"/>
      <c r="B725" s="370"/>
    </row>
    <row r="726">
      <c r="A726" s="370"/>
      <c r="B726" s="370"/>
    </row>
    <row r="727">
      <c r="A727" s="370"/>
      <c r="B727" s="370"/>
    </row>
    <row r="728">
      <c r="A728" s="370"/>
      <c r="B728" s="370"/>
    </row>
    <row r="729">
      <c r="A729" s="370"/>
      <c r="B729" s="370"/>
    </row>
    <row r="730">
      <c r="A730" s="370"/>
      <c r="B730" s="370"/>
    </row>
    <row r="731">
      <c r="A731" s="370"/>
      <c r="B731" s="370"/>
    </row>
    <row r="732">
      <c r="A732" s="370"/>
      <c r="B732" s="370"/>
    </row>
    <row r="733">
      <c r="A733" s="370"/>
      <c r="B733" s="370"/>
    </row>
    <row r="734">
      <c r="A734" s="370"/>
      <c r="B734" s="370"/>
    </row>
    <row r="735">
      <c r="A735" s="370"/>
      <c r="B735" s="370"/>
    </row>
    <row r="736">
      <c r="A736" s="370"/>
      <c r="B736" s="370"/>
    </row>
    <row r="737">
      <c r="A737" s="370"/>
      <c r="B737" s="370"/>
    </row>
    <row r="738">
      <c r="A738" s="370"/>
      <c r="B738" s="370"/>
    </row>
    <row r="739">
      <c r="A739" s="370"/>
      <c r="B739" s="370"/>
    </row>
    <row r="740">
      <c r="A740" s="370"/>
      <c r="B740" s="370"/>
    </row>
    <row r="741">
      <c r="A741" s="370"/>
      <c r="B741" s="370"/>
    </row>
    <row r="742">
      <c r="A742" s="370"/>
      <c r="B742" s="370"/>
    </row>
    <row r="743">
      <c r="A743" s="370"/>
      <c r="B743" s="370"/>
    </row>
    <row r="744">
      <c r="A744" s="370"/>
      <c r="B744" s="370"/>
    </row>
    <row r="745">
      <c r="A745" s="370"/>
      <c r="B745" s="370"/>
    </row>
    <row r="746">
      <c r="A746" s="370"/>
      <c r="B746" s="370"/>
    </row>
    <row r="747">
      <c r="A747" s="370"/>
      <c r="B747" s="370"/>
    </row>
    <row r="748">
      <c r="A748" s="370"/>
      <c r="B748" s="370"/>
    </row>
    <row r="749">
      <c r="A749" s="370"/>
      <c r="B749" s="370"/>
    </row>
    <row r="750">
      <c r="A750" s="370"/>
      <c r="B750" s="370"/>
    </row>
    <row r="751">
      <c r="A751" s="370"/>
      <c r="B751" s="370"/>
    </row>
    <row r="752">
      <c r="A752" s="370"/>
      <c r="B752" s="370"/>
    </row>
    <row r="753">
      <c r="A753" s="370"/>
      <c r="B753" s="370"/>
    </row>
    <row r="754">
      <c r="A754" s="370"/>
      <c r="B754" s="370"/>
    </row>
    <row r="755">
      <c r="A755" s="370"/>
      <c r="B755" s="370"/>
    </row>
    <row r="756">
      <c r="A756" s="370"/>
      <c r="B756" s="370"/>
    </row>
    <row r="757">
      <c r="A757" s="370"/>
      <c r="B757" s="370"/>
    </row>
    <row r="758">
      <c r="A758" s="370"/>
      <c r="B758" s="370"/>
    </row>
    <row r="759">
      <c r="A759" s="370"/>
      <c r="B759" s="370"/>
    </row>
    <row r="760">
      <c r="A760" s="370"/>
      <c r="B760" s="370"/>
    </row>
    <row r="761">
      <c r="A761" s="370"/>
      <c r="B761" s="370"/>
    </row>
    <row r="762">
      <c r="A762" s="370"/>
      <c r="B762" s="370"/>
    </row>
    <row r="763">
      <c r="A763" s="370"/>
      <c r="B763" s="370"/>
    </row>
    <row r="764">
      <c r="A764" s="370"/>
      <c r="B764" s="370"/>
    </row>
    <row r="765">
      <c r="A765" s="370"/>
      <c r="B765" s="370"/>
    </row>
    <row r="766">
      <c r="A766" s="370"/>
      <c r="B766" s="370"/>
    </row>
    <row r="767">
      <c r="A767" s="370"/>
      <c r="B767" s="370"/>
    </row>
    <row r="768">
      <c r="A768" s="370"/>
      <c r="B768" s="370"/>
    </row>
    <row r="769">
      <c r="A769" s="370"/>
      <c r="B769" s="370"/>
    </row>
    <row r="770">
      <c r="A770" s="370"/>
      <c r="B770" s="370"/>
    </row>
    <row r="771">
      <c r="A771" s="370"/>
      <c r="B771" s="370"/>
    </row>
    <row r="772">
      <c r="A772" s="370"/>
      <c r="B772" s="370"/>
    </row>
    <row r="773">
      <c r="A773" s="370"/>
      <c r="B773" s="370"/>
    </row>
    <row r="774">
      <c r="A774" s="370"/>
      <c r="B774" s="370"/>
    </row>
    <row r="775">
      <c r="A775" s="370"/>
      <c r="B775" s="370"/>
    </row>
    <row r="776">
      <c r="A776" s="370"/>
      <c r="B776" s="370"/>
    </row>
    <row r="777">
      <c r="A777" s="370"/>
      <c r="B777" s="370"/>
    </row>
    <row r="778">
      <c r="A778" s="370"/>
      <c r="B778" s="370"/>
    </row>
    <row r="779">
      <c r="A779" s="370"/>
      <c r="B779" s="370"/>
    </row>
    <row r="780">
      <c r="A780" s="370"/>
      <c r="B780" s="370"/>
    </row>
    <row r="781">
      <c r="A781" s="370"/>
      <c r="B781" s="370"/>
    </row>
    <row r="782">
      <c r="A782" s="370"/>
      <c r="B782" s="370"/>
    </row>
    <row r="783">
      <c r="A783" s="370"/>
      <c r="B783" s="370"/>
    </row>
    <row r="784">
      <c r="A784" s="370"/>
      <c r="B784" s="370"/>
    </row>
    <row r="785">
      <c r="A785" s="370"/>
      <c r="B785" s="370"/>
    </row>
    <row r="786">
      <c r="A786" s="370"/>
      <c r="B786" s="370"/>
    </row>
    <row r="787">
      <c r="A787" s="370"/>
      <c r="B787" s="370"/>
    </row>
    <row r="788">
      <c r="A788" s="370"/>
      <c r="B788" s="370"/>
    </row>
    <row r="789">
      <c r="A789" s="370"/>
      <c r="B789" s="370"/>
    </row>
    <row r="790">
      <c r="A790" s="370"/>
      <c r="B790" s="370"/>
    </row>
    <row r="791">
      <c r="A791" s="370"/>
      <c r="B791" s="370"/>
    </row>
    <row r="792">
      <c r="A792" s="370"/>
      <c r="B792" s="370"/>
    </row>
    <row r="793">
      <c r="A793" s="370"/>
      <c r="B793" s="370"/>
    </row>
    <row r="794">
      <c r="A794" s="370"/>
      <c r="B794" s="370"/>
    </row>
    <row r="795">
      <c r="A795" s="370"/>
      <c r="B795" s="370"/>
    </row>
    <row r="796">
      <c r="A796" s="370"/>
      <c r="B796" s="370"/>
    </row>
    <row r="797">
      <c r="A797" s="370"/>
      <c r="B797" s="370"/>
    </row>
    <row r="798">
      <c r="A798" s="370"/>
      <c r="B798" s="370"/>
    </row>
    <row r="799">
      <c r="A799" s="370"/>
      <c r="B799" s="370"/>
    </row>
    <row r="800">
      <c r="A800" s="370"/>
      <c r="B800" s="370"/>
    </row>
    <row r="801">
      <c r="A801" s="370"/>
      <c r="B801" s="370"/>
    </row>
    <row r="802">
      <c r="A802" s="370"/>
      <c r="B802" s="370"/>
    </row>
    <row r="803">
      <c r="A803" s="370"/>
      <c r="B803" s="370"/>
    </row>
    <row r="804">
      <c r="A804" s="370"/>
      <c r="B804" s="370"/>
    </row>
    <row r="805">
      <c r="A805" s="370"/>
      <c r="B805" s="370"/>
    </row>
    <row r="806">
      <c r="A806" s="370"/>
      <c r="B806" s="370"/>
    </row>
    <row r="807">
      <c r="A807" s="370"/>
      <c r="B807" s="370"/>
    </row>
    <row r="808">
      <c r="A808" s="370"/>
      <c r="B808" s="370"/>
    </row>
    <row r="809">
      <c r="A809" s="370"/>
      <c r="B809" s="370"/>
    </row>
    <row r="810">
      <c r="A810" s="370"/>
      <c r="B810" s="370"/>
    </row>
    <row r="811">
      <c r="A811" s="370"/>
      <c r="B811" s="370"/>
    </row>
    <row r="812">
      <c r="A812" s="370"/>
      <c r="B812" s="370"/>
    </row>
    <row r="813">
      <c r="A813" s="370"/>
      <c r="B813" s="370"/>
    </row>
    <row r="814">
      <c r="A814" s="370"/>
      <c r="B814" s="370"/>
    </row>
    <row r="815">
      <c r="A815" s="370"/>
      <c r="B815" s="370"/>
    </row>
    <row r="816">
      <c r="A816" s="370"/>
      <c r="B816" s="370"/>
    </row>
    <row r="817">
      <c r="A817" s="370"/>
      <c r="B817" s="370"/>
    </row>
    <row r="818">
      <c r="A818" s="370"/>
      <c r="B818" s="370"/>
    </row>
    <row r="819">
      <c r="A819" s="370"/>
      <c r="B819" s="370"/>
    </row>
    <row r="820">
      <c r="A820" s="370"/>
      <c r="B820" s="370"/>
    </row>
    <row r="821">
      <c r="A821" s="370"/>
      <c r="B821" s="370"/>
    </row>
    <row r="822">
      <c r="A822" s="370"/>
      <c r="B822" s="370"/>
    </row>
    <row r="823">
      <c r="A823" s="370"/>
      <c r="B823" s="370"/>
    </row>
    <row r="824">
      <c r="A824" s="370"/>
      <c r="B824" s="370"/>
    </row>
    <row r="825">
      <c r="A825" s="370"/>
      <c r="B825" s="370"/>
    </row>
    <row r="826">
      <c r="A826" s="370"/>
      <c r="B826" s="370"/>
    </row>
    <row r="827">
      <c r="A827" s="370"/>
      <c r="B827" s="370"/>
    </row>
    <row r="828">
      <c r="A828" s="370"/>
      <c r="B828" s="370"/>
    </row>
    <row r="829">
      <c r="A829" s="370"/>
      <c r="B829" s="370"/>
    </row>
    <row r="830">
      <c r="A830" s="370"/>
      <c r="B830" s="370"/>
    </row>
    <row r="831">
      <c r="A831" s="370"/>
      <c r="B831" s="370"/>
    </row>
    <row r="832">
      <c r="A832" s="370"/>
      <c r="B832" s="370"/>
    </row>
    <row r="833">
      <c r="A833" s="370"/>
      <c r="B833" s="370"/>
    </row>
    <row r="834">
      <c r="A834" s="370"/>
      <c r="B834" s="370"/>
    </row>
    <row r="835">
      <c r="A835" s="370"/>
      <c r="B835" s="370"/>
    </row>
    <row r="836">
      <c r="A836" s="370"/>
      <c r="B836" s="370"/>
    </row>
    <row r="837">
      <c r="A837" s="370"/>
      <c r="B837" s="370"/>
    </row>
    <row r="838">
      <c r="A838" s="370"/>
      <c r="B838" s="370"/>
    </row>
    <row r="839">
      <c r="A839" s="370"/>
      <c r="B839" s="370"/>
    </row>
    <row r="840">
      <c r="A840" s="370"/>
      <c r="B840" s="370"/>
    </row>
    <row r="841">
      <c r="A841" s="370"/>
      <c r="B841" s="370"/>
    </row>
    <row r="842">
      <c r="A842" s="370"/>
      <c r="B842" s="370"/>
    </row>
    <row r="843">
      <c r="A843" s="370"/>
      <c r="B843" s="370"/>
    </row>
    <row r="844">
      <c r="A844" s="370"/>
      <c r="B844" s="370"/>
    </row>
    <row r="845">
      <c r="A845" s="370"/>
      <c r="B845" s="370"/>
    </row>
    <row r="846">
      <c r="A846" s="370"/>
      <c r="B846" s="370"/>
    </row>
    <row r="847">
      <c r="A847" s="370"/>
      <c r="B847" s="370"/>
    </row>
    <row r="848">
      <c r="A848" s="370"/>
      <c r="B848" s="370"/>
    </row>
    <row r="849">
      <c r="A849" s="370"/>
      <c r="B849" s="370"/>
    </row>
    <row r="850">
      <c r="A850" s="370"/>
      <c r="B850" s="370"/>
    </row>
    <row r="851">
      <c r="A851" s="370"/>
      <c r="B851" s="370"/>
    </row>
    <row r="852">
      <c r="A852" s="370"/>
      <c r="B852" s="370"/>
    </row>
    <row r="853">
      <c r="A853" s="370"/>
      <c r="B853" s="370"/>
    </row>
    <row r="854">
      <c r="A854" s="370"/>
      <c r="B854" s="370"/>
    </row>
    <row r="855">
      <c r="A855" s="370"/>
      <c r="B855" s="370"/>
    </row>
    <row r="856">
      <c r="A856" s="370"/>
      <c r="B856" s="370"/>
    </row>
    <row r="857">
      <c r="A857" s="370"/>
      <c r="B857" s="370"/>
    </row>
    <row r="858">
      <c r="A858" s="370"/>
      <c r="B858" s="370"/>
    </row>
    <row r="859">
      <c r="A859" s="370"/>
      <c r="B859" s="370"/>
    </row>
    <row r="860">
      <c r="A860" s="370"/>
      <c r="B860" s="370"/>
    </row>
    <row r="861">
      <c r="A861" s="370"/>
      <c r="B861" s="370"/>
    </row>
    <row r="862">
      <c r="A862" s="370"/>
      <c r="B862" s="370"/>
    </row>
    <row r="863">
      <c r="A863" s="370"/>
      <c r="B863" s="370"/>
    </row>
    <row r="864">
      <c r="A864" s="370"/>
      <c r="B864" s="370"/>
    </row>
    <row r="865">
      <c r="A865" s="370"/>
      <c r="B865" s="370"/>
    </row>
    <row r="866">
      <c r="A866" s="370"/>
      <c r="B866" s="370"/>
    </row>
    <row r="867">
      <c r="A867" s="370"/>
      <c r="B867" s="370"/>
    </row>
    <row r="868">
      <c r="A868" s="370"/>
      <c r="B868" s="370"/>
    </row>
    <row r="869">
      <c r="A869" s="370"/>
      <c r="B869" s="370"/>
    </row>
    <row r="870">
      <c r="A870" s="370"/>
      <c r="B870" s="370"/>
    </row>
    <row r="871">
      <c r="A871" s="370"/>
      <c r="B871" s="370"/>
    </row>
    <row r="872">
      <c r="A872" s="370"/>
      <c r="B872" s="370"/>
    </row>
    <row r="873">
      <c r="A873" s="370"/>
      <c r="B873" s="370"/>
    </row>
    <row r="874">
      <c r="A874" s="370"/>
      <c r="B874" s="370"/>
    </row>
    <row r="875">
      <c r="A875" s="370"/>
      <c r="B875" s="370"/>
    </row>
    <row r="876">
      <c r="A876" s="370"/>
      <c r="B876" s="370"/>
    </row>
    <row r="877">
      <c r="A877" s="370"/>
      <c r="B877" s="370"/>
    </row>
    <row r="878">
      <c r="A878" s="370"/>
      <c r="B878" s="370"/>
    </row>
    <row r="879">
      <c r="A879" s="370"/>
      <c r="B879" s="370"/>
    </row>
    <row r="880">
      <c r="A880" s="370"/>
      <c r="B880" s="370"/>
    </row>
    <row r="881">
      <c r="A881" s="370"/>
      <c r="B881" s="370"/>
    </row>
    <row r="882">
      <c r="A882" s="370"/>
      <c r="B882" s="370"/>
    </row>
    <row r="883">
      <c r="A883" s="370"/>
      <c r="B883" s="370"/>
    </row>
    <row r="884">
      <c r="A884" s="370"/>
      <c r="B884" s="370"/>
    </row>
    <row r="885">
      <c r="A885" s="370"/>
      <c r="B885" s="370"/>
    </row>
    <row r="886">
      <c r="A886" s="370"/>
      <c r="B886" s="370"/>
    </row>
    <row r="887">
      <c r="A887" s="370"/>
      <c r="B887" s="370"/>
    </row>
    <row r="888">
      <c r="A888" s="370"/>
      <c r="B888" s="370"/>
    </row>
    <row r="889">
      <c r="A889" s="370"/>
      <c r="B889" s="370"/>
    </row>
    <row r="890">
      <c r="A890" s="370"/>
      <c r="B890" s="370"/>
    </row>
    <row r="891">
      <c r="A891" s="370"/>
      <c r="B891" s="370"/>
    </row>
    <row r="892">
      <c r="A892" s="370"/>
      <c r="B892" s="370"/>
    </row>
    <row r="893">
      <c r="A893" s="370"/>
      <c r="B893" s="370"/>
    </row>
    <row r="894">
      <c r="A894" s="370"/>
      <c r="B894" s="370"/>
    </row>
    <row r="895">
      <c r="A895" s="370"/>
      <c r="B895" s="370"/>
    </row>
    <row r="896">
      <c r="A896" s="370"/>
      <c r="B896" s="370"/>
    </row>
    <row r="897">
      <c r="A897" s="370"/>
      <c r="B897" s="370"/>
    </row>
    <row r="898">
      <c r="A898" s="370"/>
      <c r="B898" s="370"/>
    </row>
    <row r="899">
      <c r="A899" s="370"/>
      <c r="B899" s="370"/>
    </row>
    <row r="900">
      <c r="A900" s="370"/>
      <c r="B900" s="370"/>
    </row>
    <row r="901">
      <c r="A901" s="370"/>
      <c r="B901" s="370"/>
    </row>
    <row r="902">
      <c r="A902" s="370"/>
      <c r="B902" s="370"/>
    </row>
    <row r="903">
      <c r="A903" s="370"/>
      <c r="B903" s="370"/>
    </row>
    <row r="904">
      <c r="A904" s="370"/>
      <c r="B904" s="370"/>
    </row>
    <row r="905">
      <c r="A905" s="370"/>
      <c r="B905" s="370"/>
    </row>
    <row r="906">
      <c r="A906" s="370"/>
      <c r="B906" s="370"/>
    </row>
    <row r="907">
      <c r="A907" s="370"/>
      <c r="B907" s="370"/>
    </row>
    <row r="908">
      <c r="A908" s="370"/>
      <c r="B908" s="370"/>
    </row>
    <row r="909">
      <c r="A909" s="370"/>
      <c r="B909" s="370"/>
    </row>
    <row r="910">
      <c r="A910" s="370"/>
      <c r="B910" s="370"/>
    </row>
    <row r="911">
      <c r="A911" s="370"/>
      <c r="B911" s="370"/>
    </row>
    <row r="912">
      <c r="A912" s="370"/>
      <c r="B912" s="370"/>
    </row>
    <row r="913">
      <c r="A913" s="370"/>
      <c r="B913" s="370"/>
    </row>
    <row r="914">
      <c r="A914" s="370"/>
      <c r="B914" s="370"/>
    </row>
    <row r="915">
      <c r="A915" s="370"/>
      <c r="B915" s="370"/>
    </row>
    <row r="916">
      <c r="A916" s="370"/>
      <c r="B916" s="370"/>
    </row>
    <row r="917">
      <c r="A917" s="370"/>
      <c r="B917" s="370"/>
    </row>
    <row r="918">
      <c r="A918" s="370"/>
      <c r="B918" s="370"/>
    </row>
    <row r="919">
      <c r="A919" s="370"/>
      <c r="B919" s="370"/>
    </row>
    <row r="920">
      <c r="A920" s="370"/>
      <c r="B920" s="370"/>
    </row>
    <row r="921">
      <c r="A921" s="370"/>
      <c r="B921" s="370"/>
    </row>
    <row r="922">
      <c r="A922" s="370"/>
      <c r="B922" s="370"/>
    </row>
    <row r="923">
      <c r="A923" s="370"/>
      <c r="B923" s="370"/>
    </row>
    <row r="924">
      <c r="A924" s="370"/>
      <c r="B924" s="370"/>
    </row>
    <row r="925">
      <c r="A925" s="370"/>
      <c r="B925" s="370"/>
    </row>
    <row r="926">
      <c r="A926" s="370"/>
      <c r="B926" s="370"/>
    </row>
    <row r="927">
      <c r="A927" s="370"/>
      <c r="B927" s="370"/>
    </row>
    <row r="928">
      <c r="A928" s="370"/>
      <c r="B928" s="370"/>
    </row>
    <row r="929">
      <c r="A929" s="370"/>
      <c r="B929" s="370"/>
    </row>
    <row r="930">
      <c r="A930" s="370"/>
      <c r="B930" s="370"/>
    </row>
    <row r="931">
      <c r="A931" s="370"/>
      <c r="B931" s="370"/>
    </row>
    <row r="932">
      <c r="A932" s="370"/>
      <c r="B932" s="370"/>
    </row>
    <row r="933">
      <c r="A933" s="370"/>
      <c r="B933" s="370"/>
    </row>
    <row r="934">
      <c r="A934" s="370"/>
      <c r="B934" s="370"/>
    </row>
    <row r="935">
      <c r="A935" s="370"/>
      <c r="B935" s="370"/>
    </row>
    <row r="936">
      <c r="A936" s="370"/>
      <c r="B936" s="370"/>
    </row>
    <row r="937">
      <c r="A937" s="370"/>
      <c r="B937" s="370"/>
    </row>
    <row r="938">
      <c r="A938" s="370"/>
      <c r="B938" s="370"/>
    </row>
    <row r="939">
      <c r="A939" s="370"/>
      <c r="B939" s="370"/>
    </row>
    <row r="940">
      <c r="A940" s="370"/>
      <c r="B940" s="370"/>
    </row>
    <row r="941">
      <c r="A941" s="370"/>
      <c r="B941" s="370"/>
    </row>
    <row r="942">
      <c r="A942" s="370"/>
      <c r="B942" s="370"/>
    </row>
    <row r="943">
      <c r="A943" s="370"/>
      <c r="B943" s="370"/>
    </row>
    <row r="944">
      <c r="A944" s="370"/>
      <c r="B944" s="370"/>
    </row>
    <row r="945">
      <c r="A945" s="370"/>
      <c r="B945" s="370"/>
    </row>
    <row r="946">
      <c r="A946" s="370"/>
      <c r="B946" s="370"/>
    </row>
    <row r="947">
      <c r="A947" s="370"/>
      <c r="B947" s="370"/>
    </row>
    <row r="948">
      <c r="A948" s="370"/>
      <c r="B948" s="370"/>
    </row>
    <row r="949">
      <c r="A949" s="370"/>
      <c r="B949" s="370"/>
    </row>
    <row r="950">
      <c r="A950" s="370"/>
      <c r="B950" s="370"/>
    </row>
    <row r="951">
      <c r="A951" s="370"/>
      <c r="B951" s="370"/>
    </row>
    <row r="952">
      <c r="A952" s="370"/>
      <c r="B952" s="370"/>
    </row>
    <row r="953">
      <c r="A953" s="370"/>
      <c r="B953" s="370"/>
    </row>
    <row r="954">
      <c r="A954" s="370"/>
      <c r="B954" s="370"/>
    </row>
    <row r="955">
      <c r="A955" s="370"/>
      <c r="B955" s="370"/>
    </row>
    <row r="956">
      <c r="A956" s="370"/>
      <c r="B956" s="370"/>
    </row>
    <row r="957">
      <c r="A957" s="370"/>
      <c r="B957" s="370"/>
    </row>
    <row r="958">
      <c r="A958" s="370"/>
      <c r="B958" s="370"/>
    </row>
    <row r="959">
      <c r="A959" s="370"/>
      <c r="B959" s="370"/>
    </row>
    <row r="960">
      <c r="A960" s="370"/>
      <c r="B960" s="370"/>
    </row>
    <row r="961">
      <c r="A961" s="370"/>
      <c r="B961" s="370"/>
    </row>
    <row r="962">
      <c r="A962" s="370"/>
      <c r="B962" s="370"/>
    </row>
    <row r="963">
      <c r="A963" s="370"/>
      <c r="B963" s="370"/>
    </row>
    <row r="964">
      <c r="A964" s="370"/>
      <c r="B964" s="370"/>
    </row>
    <row r="965">
      <c r="A965" s="370"/>
      <c r="B965" s="370"/>
    </row>
    <row r="966">
      <c r="A966" s="370"/>
      <c r="B966" s="370"/>
    </row>
    <row r="967">
      <c r="A967" s="370"/>
      <c r="B967" s="370"/>
    </row>
    <row r="968">
      <c r="A968" s="370"/>
      <c r="B968" s="370"/>
    </row>
    <row r="969">
      <c r="A969" s="370"/>
      <c r="B969" s="370"/>
    </row>
    <row r="970">
      <c r="A970" s="370"/>
      <c r="B970" s="370"/>
    </row>
    <row r="971">
      <c r="A971" s="370"/>
      <c r="B971" s="370"/>
    </row>
    <row r="972">
      <c r="A972" s="370"/>
      <c r="B972" s="370"/>
    </row>
    <row r="973">
      <c r="A973" s="370"/>
      <c r="B973" s="370"/>
    </row>
    <row r="974">
      <c r="A974" s="370"/>
      <c r="B974" s="370"/>
    </row>
    <row r="975">
      <c r="A975" s="370"/>
      <c r="B975" s="370"/>
    </row>
    <row r="976">
      <c r="A976" s="370"/>
      <c r="B976" s="370"/>
    </row>
    <row r="977">
      <c r="A977" s="370"/>
      <c r="B977" s="370"/>
    </row>
    <row r="978">
      <c r="A978" s="370"/>
      <c r="B978" s="370"/>
    </row>
    <row r="979">
      <c r="A979" s="370"/>
      <c r="B979" s="370"/>
    </row>
    <row r="980">
      <c r="A980" s="370"/>
      <c r="B980" s="370"/>
    </row>
    <row r="981">
      <c r="A981" s="370"/>
      <c r="B981" s="370"/>
    </row>
    <row r="982">
      <c r="A982" s="370"/>
      <c r="B982" s="370"/>
    </row>
    <row r="983">
      <c r="A983" s="370"/>
      <c r="B983" s="370"/>
    </row>
    <row r="984">
      <c r="A984" s="370"/>
      <c r="B984" s="370"/>
    </row>
    <row r="985">
      <c r="A985" s="370"/>
      <c r="B985" s="370"/>
    </row>
    <row r="986">
      <c r="A986" s="370"/>
      <c r="B986" s="370"/>
    </row>
    <row r="987">
      <c r="A987" s="370"/>
      <c r="B987" s="370"/>
    </row>
    <row r="988">
      <c r="A988" s="370"/>
      <c r="B988" s="370"/>
    </row>
    <row r="989">
      <c r="A989" s="370"/>
      <c r="B989" s="370"/>
    </row>
    <row r="990">
      <c r="A990" s="370"/>
      <c r="B990" s="370"/>
    </row>
    <row r="991">
      <c r="A991" s="370"/>
      <c r="B991" s="370"/>
    </row>
    <row r="992">
      <c r="A992" s="370"/>
      <c r="B992" s="370"/>
    </row>
    <row r="993">
      <c r="A993" s="370"/>
      <c r="B993" s="370"/>
    </row>
    <row r="994">
      <c r="A994" s="370"/>
      <c r="B994" s="370"/>
    </row>
    <row r="995">
      <c r="A995" s="370"/>
      <c r="B995" s="370"/>
    </row>
    <row r="996">
      <c r="A996" s="370"/>
      <c r="B996" s="370"/>
    </row>
    <row r="997">
      <c r="A997" s="370"/>
      <c r="B997" s="370"/>
    </row>
    <row r="998">
      <c r="A998" s="370"/>
      <c r="B998" s="370"/>
    </row>
    <row r="999">
      <c r="A999" s="370"/>
      <c r="B999" s="370"/>
    </row>
    <row r="1000">
      <c r="A1000" s="370"/>
      <c r="B1000" s="370"/>
    </row>
  </sheetData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8.0"/>
    <col customWidth="1" min="3" max="3" width="3.25"/>
    <col customWidth="1" min="4" max="4" width="24.5"/>
    <col customWidth="1" min="5" max="5" width="8.88"/>
    <col customWidth="1" min="6" max="7" width="7.38"/>
    <col customWidth="1" min="8" max="8" width="36.75"/>
    <col customWidth="1" min="9" max="9" width="4.75"/>
    <col customWidth="1" min="10" max="11" width="8.13"/>
    <col customWidth="1" min="12" max="12" width="13.88"/>
    <col customWidth="1" min="13" max="13" width="6.5"/>
    <col customWidth="1" min="14" max="14" width="9.38"/>
    <col customWidth="1" min="15" max="15" width="11.63"/>
    <col customWidth="1" min="16" max="16" width="11.13"/>
    <col customWidth="1" min="17" max="17" width="14.75"/>
    <col customWidth="1" min="18" max="18" width="19.25"/>
    <col customWidth="1" min="19" max="19" width="15.13"/>
    <col customWidth="1" min="20" max="20" width="9.5"/>
    <col customWidth="1" min="21" max="21" width="15.13"/>
    <col customWidth="1" min="22" max="22" width="9.13"/>
    <col customWidth="1" min="23" max="23" width="10.13"/>
    <col customWidth="1" min="24" max="24" width="8.5"/>
    <col customWidth="1" min="25" max="25" width="10.5"/>
    <col customWidth="1" min="26" max="26" width="7.75"/>
    <col customWidth="1" min="27" max="27" width="13.75"/>
    <col customWidth="1" min="28" max="28" width="8.0"/>
    <col customWidth="1" min="29" max="29" width="5.75"/>
    <col customWidth="1" min="30" max="30" width="6.13"/>
    <col customWidth="1" min="31" max="31" width="24.13"/>
  </cols>
  <sheetData>
    <row r="1">
      <c r="A1" s="304" t="s">
        <v>719</v>
      </c>
      <c r="AF1" s="25"/>
      <c r="AG1" s="12"/>
    </row>
    <row r="2">
      <c r="A2" s="27">
        <v>2025.0</v>
      </c>
      <c r="B2" s="27"/>
      <c r="C2" s="21"/>
      <c r="D2" s="21"/>
      <c r="E2" s="21"/>
      <c r="F2" s="21"/>
      <c r="G2" s="21"/>
      <c r="H2" s="23"/>
      <c r="I2" s="21"/>
      <c r="J2" s="21"/>
      <c r="K2" s="21"/>
      <c r="L2" s="21"/>
      <c r="M2" s="21"/>
      <c r="N2" s="21"/>
      <c r="O2" s="21"/>
      <c r="P2" s="21"/>
      <c r="Q2" s="21"/>
      <c r="R2" s="374"/>
      <c r="S2" s="305"/>
      <c r="T2" s="374"/>
      <c r="U2" s="305"/>
      <c r="V2" s="374"/>
      <c r="W2" s="305"/>
      <c r="X2" s="374"/>
      <c r="Y2" s="305"/>
      <c r="Z2" s="375"/>
      <c r="AA2" s="305"/>
      <c r="AB2" s="375"/>
      <c r="AC2" s="25"/>
      <c r="AD2" s="25"/>
      <c r="AF2" s="25"/>
      <c r="AG2" s="12"/>
    </row>
    <row r="3">
      <c r="A3" s="32" t="s">
        <v>2</v>
      </c>
      <c r="B3" s="32" t="s">
        <v>3</v>
      </c>
      <c r="C3" s="32" t="s">
        <v>5</v>
      </c>
      <c r="D3" s="32" t="s">
        <v>4</v>
      </c>
      <c r="E3" s="376" t="s">
        <v>126</v>
      </c>
      <c r="F3" s="32" t="s">
        <v>128</v>
      </c>
      <c r="G3" s="376" t="s">
        <v>130</v>
      </c>
      <c r="H3" s="376" t="s">
        <v>131</v>
      </c>
      <c r="I3" s="377" t="s">
        <v>132</v>
      </c>
      <c r="J3" s="377" t="s">
        <v>136</v>
      </c>
      <c r="K3" s="377" t="s">
        <v>137</v>
      </c>
      <c r="L3" s="377" t="s">
        <v>138</v>
      </c>
      <c r="M3" s="377" t="s">
        <v>139</v>
      </c>
      <c r="N3" s="376" t="s">
        <v>140</v>
      </c>
      <c r="O3" s="376" t="s">
        <v>141</v>
      </c>
      <c r="P3" s="32" t="s">
        <v>143</v>
      </c>
      <c r="Q3" s="32" t="s">
        <v>144</v>
      </c>
      <c r="R3" s="32" t="s">
        <v>146</v>
      </c>
      <c r="S3" s="32" t="s">
        <v>49</v>
      </c>
      <c r="T3" s="32" t="s">
        <v>148</v>
      </c>
      <c r="U3" s="32" t="s">
        <v>60</v>
      </c>
      <c r="V3" s="32" t="s">
        <v>148</v>
      </c>
      <c r="W3" s="32" t="s">
        <v>61</v>
      </c>
      <c r="X3" s="32" t="s">
        <v>148</v>
      </c>
      <c r="Y3" s="32" t="s">
        <v>63</v>
      </c>
      <c r="Z3" s="40" t="s">
        <v>148</v>
      </c>
      <c r="AA3" s="32" t="s">
        <v>65</v>
      </c>
      <c r="AB3" s="40" t="s">
        <v>148</v>
      </c>
      <c r="AC3" s="40" t="s">
        <v>151</v>
      </c>
      <c r="AD3" s="40" t="s">
        <v>148</v>
      </c>
    </row>
    <row r="4">
      <c r="A4" s="151">
        <v>1.0</v>
      </c>
      <c r="B4" s="151" t="s">
        <v>699</v>
      </c>
      <c r="C4" s="151">
        <v>24.0</v>
      </c>
      <c r="D4" s="151" t="s">
        <v>47</v>
      </c>
      <c r="E4" s="151">
        <v>2015.0</v>
      </c>
      <c r="F4" s="151">
        <v>2015.0</v>
      </c>
      <c r="G4" s="151">
        <v>10.0</v>
      </c>
      <c r="H4" s="151" t="s">
        <v>700</v>
      </c>
      <c r="I4" s="151">
        <v>7684.0</v>
      </c>
      <c r="J4" s="151" t="s">
        <v>159</v>
      </c>
      <c r="K4" s="151" t="s">
        <v>160</v>
      </c>
      <c r="L4" s="151" t="s">
        <v>161</v>
      </c>
      <c r="M4" s="151">
        <v>2015.0</v>
      </c>
      <c r="N4" s="151">
        <v>10.0</v>
      </c>
      <c r="O4" s="151" t="s">
        <v>162</v>
      </c>
      <c r="P4" s="151" t="s">
        <v>163</v>
      </c>
      <c r="Q4" s="151" t="s">
        <v>701</v>
      </c>
      <c r="R4" s="151" t="s">
        <v>702</v>
      </c>
      <c r="S4" s="280">
        <v>46020.0</v>
      </c>
      <c r="T4" s="191" t="s">
        <v>669</v>
      </c>
      <c r="U4" s="280">
        <v>46385.0</v>
      </c>
      <c r="V4" s="191" t="s">
        <v>668</v>
      </c>
      <c r="W4" s="378">
        <v>46145.0</v>
      </c>
      <c r="X4" s="191" t="s">
        <v>668</v>
      </c>
      <c r="Y4" s="280">
        <v>46145.0</v>
      </c>
      <c r="Z4" s="191" t="s">
        <v>668</v>
      </c>
      <c r="AA4" s="280">
        <v>46319.0</v>
      </c>
      <c r="AB4" s="191" t="s">
        <v>668</v>
      </c>
      <c r="AC4" s="151" t="s">
        <v>166</v>
      </c>
      <c r="AD4" s="151" t="s">
        <v>167</v>
      </c>
      <c r="AE4" s="379" t="s">
        <v>720</v>
      </c>
    </row>
    <row r="5">
      <c r="A5" s="151">
        <v>2.0</v>
      </c>
      <c r="B5" s="151" t="s">
        <v>709</v>
      </c>
      <c r="C5" s="151">
        <v>24.0</v>
      </c>
      <c r="D5" s="151" t="s">
        <v>47</v>
      </c>
      <c r="E5" s="151">
        <v>2015.0</v>
      </c>
      <c r="F5" s="151">
        <v>2015.0</v>
      </c>
      <c r="G5" s="151">
        <v>10.0</v>
      </c>
      <c r="H5" s="151" t="s">
        <v>700</v>
      </c>
      <c r="I5" s="151">
        <v>7684.0</v>
      </c>
      <c r="J5" s="151" t="s">
        <v>159</v>
      </c>
      <c r="K5" s="151" t="s">
        <v>160</v>
      </c>
      <c r="L5" s="151" t="s">
        <v>161</v>
      </c>
      <c r="M5" s="151">
        <v>2015.0</v>
      </c>
      <c r="N5" s="151">
        <v>10.0</v>
      </c>
      <c r="O5" s="151" t="s">
        <v>162</v>
      </c>
      <c r="P5" s="151" t="s">
        <v>163</v>
      </c>
      <c r="Q5" s="151" t="s">
        <v>710</v>
      </c>
      <c r="R5" s="151" t="s">
        <v>711</v>
      </c>
      <c r="S5" s="280">
        <v>46020.0</v>
      </c>
      <c r="T5" s="191" t="s">
        <v>669</v>
      </c>
      <c r="U5" s="280">
        <v>46385.0</v>
      </c>
      <c r="V5" s="191" t="s">
        <v>668</v>
      </c>
      <c r="W5" s="378">
        <v>46145.0</v>
      </c>
      <c r="X5" s="191" t="s">
        <v>668</v>
      </c>
      <c r="Y5" s="280">
        <v>46145.0</v>
      </c>
      <c r="Z5" s="191" t="s">
        <v>668</v>
      </c>
      <c r="AA5" s="280">
        <v>46540.0</v>
      </c>
      <c r="AB5" s="191" t="s">
        <v>668</v>
      </c>
      <c r="AC5" s="151" t="s">
        <v>166</v>
      </c>
      <c r="AD5" s="151" t="s">
        <v>167</v>
      </c>
      <c r="AE5" s="379" t="s">
        <v>721</v>
      </c>
      <c r="AF5" s="233"/>
      <c r="AG5" s="233"/>
    </row>
    <row r="6">
      <c r="A6" s="151">
        <v>3.0</v>
      </c>
      <c r="B6" s="151" t="s">
        <v>712</v>
      </c>
      <c r="C6" s="151">
        <v>24.0</v>
      </c>
      <c r="D6" s="151" t="s">
        <v>47</v>
      </c>
      <c r="E6" s="151">
        <v>2015.0</v>
      </c>
      <c r="F6" s="151">
        <v>2015.0</v>
      </c>
      <c r="G6" s="151">
        <v>10.0</v>
      </c>
      <c r="H6" s="151" t="s">
        <v>713</v>
      </c>
      <c r="I6" s="151">
        <v>7684.0</v>
      </c>
      <c r="J6" s="151" t="s">
        <v>159</v>
      </c>
      <c r="K6" s="151" t="s">
        <v>160</v>
      </c>
      <c r="L6" s="151" t="s">
        <v>161</v>
      </c>
      <c r="M6" s="151">
        <v>2015.0</v>
      </c>
      <c r="N6" s="151">
        <v>10.0</v>
      </c>
      <c r="O6" s="151" t="s">
        <v>162</v>
      </c>
      <c r="P6" s="151" t="s">
        <v>163</v>
      </c>
      <c r="Q6" s="151" t="s">
        <v>714</v>
      </c>
      <c r="R6" s="151" t="s">
        <v>715</v>
      </c>
      <c r="S6" s="280">
        <v>46020.0</v>
      </c>
      <c r="T6" s="191" t="s">
        <v>669</v>
      </c>
      <c r="U6" s="280">
        <v>46385.0</v>
      </c>
      <c r="V6" s="191" t="s">
        <v>668</v>
      </c>
      <c r="W6" s="378">
        <v>46145.0</v>
      </c>
      <c r="X6" s="191" t="s">
        <v>668</v>
      </c>
      <c r="Y6" s="280">
        <v>46145.0</v>
      </c>
      <c r="Z6" s="191" t="s">
        <v>668</v>
      </c>
      <c r="AA6" s="280">
        <v>46442.0</v>
      </c>
      <c r="AB6" s="191" t="s">
        <v>668</v>
      </c>
      <c r="AC6" s="151" t="s">
        <v>166</v>
      </c>
      <c r="AD6" s="151" t="s">
        <v>167</v>
      </c>
      <c r="AE6" s="379" t="s">
        <v>722</v>
      </c>
      <c r="AF6" s="233"/>
      <c r="AG6" s="233"/>
    </row>
    <row r="7">
      <c r="A7" s="151">
        <v>4.0</v>
      </c>
      <c r="B7" s="151" t="s">
        <v>670</v>
      </c>
      <c r="C7" s="151">
        <v>24.0</v>
      </c>
      <c r="D7" s="151" t="s">
        <v>124</v>
      </c>
      <c r="E7" s="151">
        <v>2016.0</v>
      </c>
      <c r="F7" s="151">
        <v>2017.0</v>
      </c>
      <c r="G7" s="151">
        <v>9.0</v>
      </c>
      <c r="H7" s="151" t="s">
        <v>671</v>
      </c>
      <c r="I7" s="151">
        <v>7698.0</v>
      </c>
      <c r="J7" s="151" t="s">
        <v>159</v>
      </c>
      <c r="K7" s="151" t="s">
        <v>160</v>
      </c>
      <c r="L7" s="151" t="s">
        <v>161</v>
      </c>
      <c r="M7" s="151">
        <v>2016.0</v>
      </c>
      <c r="N7" s="151">
        <v>9.0</v>
      </c>
      <c r="O7" s="151" t="s">
        <v>162</v>
      </c>
      <c r="P7" s="151" t="s">
        <v>199</v>
      </c>
      <c r="Q7" s="151" t="s">
        <v>672</v>
      </c>
      <c r="R7" s="151" t="s">
        <v>673</v>
      </c>
      <c r="S7" s="378">
        <v>46392.0</v>
      </c>
      <c r="T7" s="151" t="s">
        <v>668</v>
      </c>
      <c r="U7" s="378">
        <v>46027.0</v>
      </c>
      <c r="V7" s="151" t="s">
        <v>668</v>
      </c>
      <c r="W7" s="280">
        <v>46181.0</v>
      </c>
      <c r="X7" s="191"/>
      <c r="Y7" s="280">
        <v>46188.0</v>
      </c>
      <c r="Z7" s="191"/>
      <c r="AA7" s="280">
        <v>46186.0</v>
      </c>
      <c r="AB7" s="191"/>
      <c r="AC7" s="191"/>
      <c r="AD7" s="191"/>
      <c r="AE7" s="233" t="s">
        <v>723</v>
      </c>
    </row>
    <row r="8">
      <c r="A8" s="151">
        <v>5.0</v>
      </c>
      <c r="B8" s="151" t="s">
        <v>675</v>
      </c>
      <c r="C8" s="151">
        <v>24.0</v>
      </c>
      <c r="D8" s="151" t="s">
        <v>124</v>
      </c>
      <c r="E8" s="151">
        <v>2016.0</v>
      </c>
      <c r="F8" s="151">
        <v>2017.0</v>
      </c>
      <c r="G8" s="151">
        <v>9.0</v>
      </c>
      <c r="H8" s="151" t="s">
        <v>671</v>
      </c>
      <c r="I8" s="151">
        <v>7698.0</v>
      </c>
      <c r="J8" s="151" t="s">
        <v>159</v>
      </c>
      <c r="K8" s="151" t="s">
        <v>160</v>
      </c>
      <c r="L8" s="151" t="s">
        <v>161</v>
      </c>
      <c r="M8" s="151">
        <v>2016.0</v>
      </c>
      <c r="N8" s="151">
        <v>9.0</v>
      </c>
      <c r="O8" s="151" t="s">
        <v>162</v>
      </c>
      <c r="P8" s="151" t="s">
        <v>199</v>
      </c>
      <c r="Q8" s="151" t="s">
        <v>676</v>
      </c>
      <c r="R8" s="151" t="s">
        <v>677</v>
      </c>
      <c r="S8" s="378">
        <v>46392.0</v>
      </c>
      <c r="T8" s="151" t="s">
        <v>668</v>
      </c>
      <c r="U8" s="378">
        <v>46027.0</v>
      </c>
      <c r="V8" s="151" t="s">
        <v>668</v>
      </c>
      <c r="W8" s="280">
        <v>46181.0</v>
      </c>
      <c r="X8" s="191"/>
      <c r="Y8" s="280">
        <v>46188.0</v>
      </c>
      <c r="Z8" s="191"/>
      <c r="AA8" s="280">
        <v>46405.0</v>
      </c>
      <c r="AB8" s="191"/>
      <c r="AC8" s="191"/>
      <c r="AD8" s="191"/>
      <c r="AE8" s="233" t="s">
        <v>724</v>
      </c>
    </row>
  </sheetData>
  <mergeCells count="3">
    <mergeCell ref="A1:AE1"/>
    <mergeCell ref="AF3:AF4"/>
    <mergeCell ref="AG3:AG4"/>
  </mergeCells>
  <conditionalFormatting sqref="Z2:AC3">
    <cfRule type="timePeriod" dxfId="3" priority="1" timePeriod="last7Days"/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</cols>
  <sheetData>
    <row r="1">
      <c r="A1" s="304" t="s">
        <v>698</v>
      </c>
    </row>
    <row r="4">
      <c r="A4" s="5" t="s">
        <v>2</v>
      </c>
      <c r="B4" s="7" t="s">
        <v>3</v>
      </c>
      <c r="C4" s="7" t="s">
        <v>5</v>
      </c>
      <c r="D4" s="7" t="s">
        <v>4</v>
      </c>
      <c r="E4" s="43" t="s">
        <v>126</v>
      </c>
      <c r="F4" s="7" t="s">
        <v>128</v>
      </c>
      <c r="G4" s="43" t="s">
        <v>130</v>
      </c>
      <c r="H4" s="43" t="s">
        <v>131</v>
      </c>
      <c r="I4" s="45" t="s">
        <v>132</v>
      </c>
      <c r="J4" s="45" t="s">
        <v>136</v>
      </c>
      <c r="K4" s="45" t="s">
        <v>137</v>
      </c>
      <c r="L4" s="45" t="s">
        <v>138</v>
      </c>
      <c r="M4" s="45" t="s">
        <v>139</v>
      </c>
      <c r="N4" s="43" t="s">
        <v>140</v>
      </c>
      <c r="O4" s="43" t="s">
        <v>141</v>
      </c>
      <c r="P4" s="7" t="s">
        <v>143</v>
      </c>
      <c r="Q4" s="7" t="s">
        <v>144</v>
      </c>
      <c r="R4" s="7" t="s">
        <v>146</v>
      </c>
      <c r="S4" s="32" t="s">
        <v>49</v>
      </c>
      <c r="T4" s="32" t="s">
        <v>148</v>
      </c>
      <c r="U4" s="32" t="s">
        <v>60</v>
      </c>
      <c r="V4" s="32" t="s">
        <v>148</v>
      </c>
      <c r="W4" s="32" t="s">
        <v>61</v>
      </c>
      <c r="X4" s="32" t="s">
        <v>148</v>
      </c>
      <c r="Y4" s="32" t="s">
        <v>63</v>
      </c>
      <c r="Z4" s="40" t="s">
        <v>148</v>
      </c>
      <c r="AA4" s="32" t="s">
        <v>65</v>
      </c>
      <c r="AB4" s="40" t="s">
        <v>148</v>
      </c>
      <c r="AC4" s="32" t="s">
        <v>67</v>
      </c>
      <c r="AD4" s="40" t="s">
        <v>148</v>
      </c>
      <c r="AE4" s="40" t="s">
        <v>151</v>
      </c>
      <c r="AF4" s="40" t="s">
        <v>148</v>
      </c>
    </row>
    <row r="5">
      <c r="A5" s="9">
        <v>3.0</v>
      </c>
      <c r="B5" s="46" t="s">
        <v>14</v>
      </c>
      <c r="C5" s="11" t="s">
        <v>153</v>
      </c>
      <c r="D5" s="11" t="s">
        <v>8</v>
      </c>
      <c r="E5" s="11">
        <v>2016.0</v>
      </c>
      <c r="F5" s="11">
        <v>2017.0</v>
      </c>
      <c r="G5" s="11">
        <v>9.0</v>
      </c>
      <c r="H5" s="51" t="s">
        <v>184</v>
      </c>
      <c r="I5" s="11">
        <v>7684.0</v>
      </c>
      <c r="J5" s="11" t="s">
        <v>159</v>
      </c>
      <c r="K5" s="11" t="s">
        <v>160</v>
      </c>
      <c r="L5" s="11" t="s">
        <v>161</v>
      </c>
      <c r="M5" s="11">
        <v>2016.0</v>
      </c>
      <c r="N5" s="11">
        <v>9.0</v>
      </c>
      <c r="O5" s="11" t="s">
        <v>162</v>
      </c>
      <c r="P5" s="11" t="s">
        <v>163</v>
      </c>
      <c r="Q5" s="11" t="s">
        <v>186</v>
      </c>
      <c r="R5" s="11" t="s">
        <v>187</v>
      </c>
      <c r="S5" s="53">
        <v>46417.0</v>
      </c>
      <c r="T5" s="380" t="s">
        <v>668</v>
      </c>
      <c r="U5" s="317">
        <v>46052.0</v>
      </c>
      <c r="V5" s="380" t="s">
        <v>669</v>
      </c>
      <c r="W5" s="53">
        <v>46096.0</v>
      </c>
      <c r="X5" s="380" t="s">
        <v>668</v>
      </c>
      <c r="Y5" s="53">
        <v>46096.0</v>
      </c>
      <c r="Z5" s="380" t="s">
        <v>668</v>
      </c>
      <c r="AA5" s="53">
        <v>46409.0</v>
      </c>
      <c r="AB5" s="380" t="s">
        <v>668</v>
      </c>
      <c r="AC5" s="315">
        <v>46089.0</v>
      </c>
      <c r="AD5" s="380" t="s">
        <v>668</v>
      </c>
      <c r="AE5" s="57" t="s">
        <v>166</v>
      </c>
      <c r="AF5" s="57" t="s">
        <v>167</v>
      </c>
    </row>
    <row r="6">
      <c r="A6" s="9">
        <v>4.0</v>
      </c>
      <c r="B6" s="11" t="s">
        <v>358</v>
      </c>
      <c r="C6" s="19" t="s">
        <v>240</v>
      </c>
      <c r="D6" s="19" t="s">
        <v>142</v>
      </c>
      <c r="E6" s="19">
        <v>2016.0</v>
      </c>
      <c r="F6" s="19">
        <v>2017.0</v>
      </c>
      <c r="G6" s="11">
        <v>9.0</v>
      </c>
      <c r="H6" s="137" t="s">
        <v>678</v>
      </c>
      <c r="I6" s="19">
        <v>7790.0</v>
      </c>
      <c r="J6" s="11" t="s">
        <v>159</v>
      </c>
      <c r="K6" s="11" t="s">
        <v>160</v>
      </c>
      <c r="L6" s="19" t="s">
        <v>332</v>
      </c>
      <c r="M6" s="19">
        <v>2016.0</v>
      </c>
      <c r="N6" s="11">
        <v>9.0</v>
      </c>
      <c r="O6" s="19" t="s">
        <v>245</v>
      </c>
      <c r="P6" s="19" t="s">
        <v>467</v>
      </c>
      <c r="Q6" s="19" t="s">
        <v>680</v>
      </c>
      <c r="R6" s="19" t="s">
        <v>681</v>
      </c>
      <c r="S6" s="326">
        <v>46417.0</v>
      </c>
      <c r="T6" s="380" t="s">
        <v>668</v>
      </c>
      <c r="U6" s="323">
        <v>46052.0</v>
      </c>
      <c r="V6" s="380" t="s">
        <v>669</v>
      </c>
      <c r="W6" s="324">
        <v>46062.0</v>
      </c>
      <c r="X6" s="380" t="s">
        <v>668</v>
      </c>
      <c r="Y6" s="53">
        <v>46062.0</v>
      </c>
      <c r="Z6" s="380" t="s">
        <v>668</v>
      </c>
      <c r="AA6" s="53">
        <v>46065.0</v>
      </c>
      <c r="AB6" s="380" t="s">
        <v>668</v>
      </c>
      <c r="AC6" s="315">
        <v>46077.0</v>
      </c>
      <c r="AD6" s="380" t="s">
        <v>668</v>
      </c>
      <c r="AE6" s="57" t="s">
        <v>166</v>
      </c>
      <c r="AF6" s="57" t="s">
        <v>167</v>
      </c>
    </row>
    <row r="7">
      <c r="A7" s="9">
        <v>5.0</v>
      </c>
      <c r="B7" s="11" t="s">
        <v>359</v>
      </c>
      <c r="C7" s="19" t="s">
        <v>240</v>
      </c>
      <c r="D7" s="19" t="s">
        <v>142</v>
      </c>
      <c r="E7" s="19">
        <v>2016.0</v>
      </c>
      <c r="F7" s="19">
        <v>2017.0</v>
      </c>
      <c r="G7" s="11">
        <v>9.0</v>
      </c>
      <c r="H7" s="137" t="s">
        <v>678</v>
      </c>
      <c r="I7" s="19">
        <v>7790.0</v>
      </c>
      <c r="J7" s="11" t="s">
        <v>159</v>
      </c>
      <c r="K7" s="11" t="s">
        <v>160</v>
      </c>
      <c r="L7" s="19" t="s">
        <v>332</v>
      </c>
      <c r="M7" s="19">
        <v>2016.0</v>
      </c>
      <c r="N7" s="11">
        <v>9.0</v>
      </c>
      <c r="O7" s="19" t="s">
        <v>245</v>
      </c>
      <c r="P7" s="19" t="s">
        <v>467</v>
      </c>
      <c r="Q7" s="19" t="s">
        <v>682</v>
      </c>
      <c r="R7" s="19" t="s">
        <v>681</v>
      </c>
      <c r="S7" s="326">
        <v>46417.0</v>
      </c>
      <c r="T7" s="380" t="s">
        <v>668</v>
      </c>
      <c r="U7" s="323">
        <v>46052.0</v>
      </c>
      <c r="V7" s="380" t="s">
        <v>669</v>
      </c>
      <c r="W7" s="324">
        <v>46062.0</v>
      </c>
      <c r="X7" s="380" t="s">
        <v>668</v>
      </c>
      <c r="Y7" s="53">
        <v>46062.0</v>
      </c>
      <c r="Z7" s="380" t="s">
        <v>668</v>
      </c>
      <c r="AA7" s="53">
        <v>46438.0</v>
      </c>
      <c r="AB7" s="380" t="s">
        <v>668</v>
      </c>
      <c r="AC7" s="315">
        <v>46155.0</v>
      </c>
      <c r="AD7" s="380" t="s">
        <v>668</v>
      </c>
      <c r="AE7" s="57" t="s">
        <v>166</v>
      </c>
      <c r="AF7" s="57" t="s">
        <v>167</v>
      </c>
    </row>
  </sheetData>
  <mergeCells count="1">
    <mergeCell ref="A1:AF1"/>
  </mergeCells>
  <conditionalFormatting sqref="Z4:AD4">
    <cfRule type="timePeriod" dxfId="3" priority="1" timePeriod="last7Days"/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3.25"/>
    <col customWidth="1" min="2" max="2" width="8.38"/>
    <col customWidth="1" min="3" max="3" width="5.25"/>
    <col customWidth="1" min="4" max="4" width="23.5"/>
    <col customWidth="1" min="5" max="5" width="27.63"/>
    <col customWidth="1" min="6" max="6" width="10.13"/>
    <col customWidth="1" min="7" max="8" width="33.25"/>
    <col customWidth="1" min="9" max="9" width="16.25"/>
    <col customWidth="1" min="10" max="10" width="15.5"/>
    <col customWidth="1" min="11" max="11" width="12.25"/>
    <col customWidth="1" min="12" max="12" width="14.75"/>
    <col customWidth="1" min="13" max="13" width="5.5"/>
    <col customWidth="1" min="14" max="14" width="11.63"/>
    <col customWidth="1" min="15" max="15" width="16.88"/>
    <col customWidth="1" min="16" max="16" width="14.13"/>
    <col customWidth="1" min="17" max="17" width="16.63"/>
    <col customWidth="1" min="18" max="18" width="16.5"/>
    <col customWidth="1" min="19" max="19" width="14.13"/>
    <col customWidth="1" min="20" max="20" width="20.63"/>
    <col customWidth="1" min="21" max="21" width="13.88"/>
    <col customWidth="1" min="22" max="22" width="19.75"/>
    <col customWidth="1" min="23" max="23" width="37.38"/>
    <col customWidth="1" hidden="1" min="24" max="24" width="28.75"/>
    <col customWidth="1" hidden="1" min="25" max="25" width="1.63"/>
    <col hidden="1" min="26" max="26" width="12.63"/>
  </cols>
  <sheetData>
    <row r="2">
      <c r="A2" s="383" t="s">
        <v>2</v>
      </c>
      <c r="B2" s="383" t="s">
        <v>483</v>
      </c>
      <c r="C2" s="383" t="s">
        <v>5</v>
      </c>
      <c r="D2" s="383" t="s">
        <v>4</v>
      </c>
      <c r="E2" s="384" t="s">
        <v>126</v>
      </c>
      <c r="F2" s="383" t="s">
        <v>128</v>
      </c>
      <c r="G2" s="383" t="s">
        <v>131</v>
      </c>
      <c r="H2" s="384" t="s">
        <v>132</v>
      </c>
      <c r="I2" s="384" t="s">
        <v>137</v>
      </c>
      <c r="J2" s="384" t="s">
        <v>138</v>
      </c>
      <c r="K2" s="384" t="s">
        <v>139</v>
      </c>
      <c r="L2" s="384" t="s">
        <v>141</v>
      </c>
      <c r="M2" s="383" t="s">
        <v>143</v>
      </c>
      <c r="N2" s="383" t="s">
        <v>144</v>
      </c>
      <c r="O2" s="383" t="s">
        <v>146</v>
      </c>
      <c r="P2" s="383" t="s">
        <v>82</v>
      </c>
      <c r="Q2" s="384" t="s">
        <v>90</v>
      </c>
      <c r="R2" s="383" t="s">
        <v>96</v>
      </c>
      <c r="S2" s="383" t="s">
        <v>99</v>
      </c>
      <c r="T2" s="383" t="s">
        <v>727</v>
      </c>
      <c r="U2" s="385" t="s">
        <v>728</v>
      </c>
      <c r="V2" s="383" t="s">
        <v>4</v>
      </c>
      <c r="W2" s="386"/>
      <c r="X2" s="386"/>
      <c r="Y2" s="386"/>
    </row>
    <row r="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386"/>
      <c r="X3" s="386"/>
      <c r="Y3" s="386"/>
    </row>
    <row r="4">
      <c r="A4" s="387">
        <v>1.0</v>
      </c>
      <c r="B4" s="388" t="s">
        <v>729</v>
      </c>
      <c r="C4" s="387" t="s">
        <v>240</v>
      </c>
      <c r="D4" s="387" t="s">
        <v>730</v>
      </c>
      <c r="E4" s="387">
        <v>2014.0</v>
      </c>
      <c r="F4" s="387">
        <v>2014.0</v>
      </c>
      <c r="G4" s="387" t="s">
        <v>731</v>
      </c>
      <c r="H4" s="387">
        <v>7790.0</v>
      </c>
      <c r="I4" s="388" t="s">
        <v>160</v>
      </c>
      <c r="J4" s="388" t="s">
        <v>508</v>
      </c>
      <c r="K4" s="388">
        <v>2014.0</v>
      </c>
      <c r="L4" s="387" t="s">
        <v>245</v>
      </c>
      <c r="M4" s="387" t="s">
        <v>467</v>
      </c>
      <c r="N4" s="387" t="s">
        <v>732</v>
      </c>
      <c r="O4" s="387" t="s">
        <v>733</v>
      </c>
      <c r="P4" s="389">
        <v>45537.0</v>
      </c>
      <c r="Q4" s="389">
        <v>45537.0</v>
      </c>
      <c r="R4" s="390">
        <v>45715.0</v>
      </c>
      <c r="S4" s="390">
        <v>45715.0</v>
      </c>
      <c r="T4" s="387" t="s">
        <v>734</v>
      </c>
      <c r="U4" s="387" t="s">
        <v>706</v>
      </c>
      <c r="V4" s="387" t="s">
        <v>735</v>
      </c>
      <c r="W4" s="391" t="s">
        <v>736</v>
      </c>
      <c r="X4" s="392"/>
      <c r="Y4" s="392"/>
      <c r="Z4" s="393"/>
      <c r="AA4" s="393"/>
      <c r="AB4" s="393"/>
      <c r="AC4" s="393"/>
      <c r="AD4" s="393"/>
    </row>
    <row r="5">
      <c r="A5" s="394">
        <v>2.0</v>
      </c>
      <c r="B5" s="395" t="s">
        <v>737</v>
      </c>
      <c r="C5" s="394" t="s">
        <v>240</v>
      </c>
      <c r="D5" s="394" t="s">
        <v>730</v>
      </c>
      <c r="E5" s="394">
        <v>2014.0</v>
      </c>
      <c r="F5" s="394">
        <v>2014.0</v>
      </c>
      <c r="G5" s="394" t="s">
        <v>731</v>
      </c>
      <c r="H5" s="394">
        <v>7790.0</v>
      </c>
      <c r="I5" s="395" t="s">
        <v>160</v>
      </c>
      <c r="J5" s="395" t="s">
        <v>508</v>
      </c>
      <c r="K5" s="395">
        <v>2014.0</v>
      </c>
      <c r="L5" s="394" t="s">
        <v>245</v>
      </c>
      <c r="M5" s="394" t="s">
        <v>467</v>
      </c>
      <c r="N5" s="394" t="s">
        <v>738</v>
      </c>
      <c r="O5" s="394" t="s">
        <v>739</v>
      </c>
      <c r="P5" s="396">
        <v>45537.0</v>
      </c>
      <c r="Q5" s="396">
        <v>45537.0</v>
      </c>
      <c r="R5" s="396">
        <v>45540.0</v>
      </c>
      <c r="S5" s="396">
        <v>45540.0</v>
      </c>
      <c r="T5" s="394" t="s">
        <v>734</v>
      </c>
      <c r="U5" s="394" t="s">
        <v>102</v>
      </c>
      <c r="V5" s="394" t="s">
        <v>735</v>
      </c>
      <c r="W5" s="386"/>
      <c r="X5" s="386"/>
      <c r="Y5" s="386"/>
    </row>
    <row r="6">
      <c r="A6" s="394">
        <v>3.0</v>
      </c>
      <c r="B6" s="395" t="s">
        <v>740</v>
      </c>
      <c r="C6" s="394" t="s">
        <v>240</v>
      </c>
      <c r="D6" s="394" t="s">
        <v>730</v>
      </c>
      <c r="E6" s="394">
        <v>2014.0</v>
      </c>
      <c r="F6" s="394">
        <v>2014.0</v>
      </c>
      <c r="G6" s="394" t="s">
        <v>731</v>
      </c>
      <c r="H6" s="394">
        <v>7790.0</v>
      </c>
      <c r="I6" s="395" t="s">
        <v>160</v>
      </c>
      <c r="J6" s="395" t="s">
        <v>508</v>
      </c>
      <c r="K6" s="395">
        <v>2014.0</v>
      </c>
      <c r="L6" s="394" t="s">
        <v>245</v>
      </c>
      <c r="M6" s="394" t="s">
        <v>467</v>
      </c>
      <c r="N6" s="394" t="s">
        <v>741</v>
      </c>
      <c r="O6" s="394" t="s">
        <v>742</v>
      </c>
      <c r="P6" s="396">
        <v>45537.0</v>
      </c>
      <c r="Q6" s="396">
        <v>45537.0</v>
      </c>
      <c r="R6" s="396">
        <v>45540.0</v>
      </c>
      <c r="S6" s="396">
        <v>45540.0</v>
      </c>
      <c r="T6" s="394" t="s">
        <v>734</v>
      </c>
      <c r="U6" s="394" t="s">
        <v>91</v>
      </c>
      <c r="V6" s="394" t="s">
        <v>743</v>
      </c>
      <c r="W6" s="386"/>
      <c r="X6" s="386"/>
      <c r="Y6" s="386"/>
    </row>
    <row r="7">
      <c r="A7" s="394">
        <v>4.0</v>
      </c>
      <c r="B7" s="395" t="s">
        <v>744</v>
      </c>
      <c r="C7" s="394" t="s">
        <v>240</v>
      </c>
      <c r="D7" s="394" t="s">
        <v>36</v>
      </c>
      <c r="E7" s="394">
        <v>2014.0</v>
      </c>
      <c r="F7" s="394">
        <v>2014.0</v>
      </c>
      <c r="G7" s="394" t="s">
        <v>745</v>
      </c>
      <c r="H7" s="394">
        <v>7684.0</v>
      </c>
      <c r="I7" s="395" t="s">
        <v>160</v>
      </c>
      <c r="J7" s="395" t="s">
        <v>508</v>
      </c>
      <c r="K7" s="395">
        <v>2014.0</v>
      </c>
      <c r="L7" s="394" t="s">
        <v>245</v>
      </c>
      <c r="M7" s="394" t="s">
        <v>163</v>
      </c>
      <c r="N7" s="394" t="s">
        <v>746</v>
      </c>
      <c r="O7" s="394" t="s">
        <v>747</v>
      </c>
      <c r="P7" s="397">
        <v>45547.0</v>
      </c>
      <c r="Q7" s="398">
        <v>45547.0</v>
      </c>
      <c r="R7" s="396">
        <v>45543.0</v>
      </c>
      <c r="S7" s="396">
        <v>45543.0</v>
      </c>
      <c r="T7" s="394" t="s">
        <v>748</v>
      </c>
      <c r="U7" s="394" t="s">
        <v>92</v>
      </c>
      <c r="V7" s="394" t="s">
        <v>749</v>
      </c>
      <c r="W7" s="386"/>
      <c r="X7" s="386"/>
      <c r="Y7" s="386"/>
    </row>
    <row r="8">
      <c r="A8" s="394">
        <v>5.0</v>
      </c>
      <c r="B8" s="395" t="s">
        <v>750</v>
      </c>
      <c r="C8" s="395" t="s">
        <v>153</v>
      </c>
      <c r="D8" s="395" t="s">
        <v>47</v>
      </c>
      <c r="E8" s="395">
        <v>2014.0</v>
      </c>
      <c r="F8" s="395">
        <v>2014.0</v>
      </c>
      <c r="G8" s="395" t="s">
        <v>713</v>
      </c>
      <c r="H8" s="395">
        <v>7684.0</v>
      </c>
      <c r="I8" s="395" t="s">
        <v>160</v>
      </c>
      <c r="J8" s="395" t="s">
        <v>508</v>
      </c>
      <c r="K8" s="395">
        <v>2014.0</v>
      </c>
      <c r="L8" s="395" t="s">
        <v>162</v>
      </c>
      <c r="M8" s="395" t="s">
        <v>163</v>
      </c>
      <c r="N8" s="395" t="s">
        <v>751</v>
      </c>
      <c r="O8" s="395" t="s">
        <v>752</v>
      </c>
      <c r="P8" s="395" t="s">
        <v>753</v>
      </c>
      <c r="Q8" s="398">
        <v>45824.0</v>
      </c>
      <c r="R8" s="399">
        <v>45567.0</v>
      </c>
      <c r="S8" s="399">
        <v>45567.0</v>
      </c>
      <c r="T8" s="395" t="s">
        <v>754</v>
      </c>
      <c r="U8" s="394" t="s">
        <v>55</v>
      </c>
      <c r="V8" s="395" t="s">
        <v>47</v>
      </c>
      <c r="W8" s="386"/>
      <c r="X8" s="386"/>
      <c r="Y8" s="386"/>
    </row>
    <row r="9">
      <c r="A9" s="387">
        <v>6.0</v>
      </c>
      <c r="B9" s="388" t="s">
        <v>755</v>
      </c>
      <c r="C9" s="388" t="s">
        <v>153</v>
      </c>
      <c r="D9" s="388" t="s">
        <v>47</v>
      </c>
      <c r="E9" s="388">
        <v>2014.0</v>
      </c>
      <c r="F9" s="388">
        <v>2014.0</v>
      </c>
      <c r="G9" s="388" t="s">
        <v>756</v>
      </c>
      <c r="H9" s="388">
        <v>7684.0</v>
      </c>
      <c r="I9" s="388" t="s">
        <v>160</v>
      </c>
      <c r="J9" s="388" t="s">
        <v>508</v>
      </c>
      <c r="K9" s="388">
        <v>2014.0</v>
      </c>
      <c r="L9" s="388" t="s">
        <v>162</v>
      </c>
      <c r="M9" s="388" t="s">
        <v>163</v>
      </c>
      <c r="N9" s="388" t="s">
        <v>757</v>
      </c>
      <c r="O9" s="388" t="s">
        <v>758</v>
      </c>
      <c r="P9" s="400">
        <v>45511.0</v>
      </c>
      <c r="Q9" s="400">
        <v>45511.0</v>
      </c>
      <c r="R9" s="401">
        <v>45153.0</v>
      </c>
      <c r="S9" s="400">
        <v>45145.0</v>
      </c>
      <c r="T9" s="400">
        <v>45511.0</v>
      </c>
      <c r="U9" s="387" t="s">
        <v>76</v>
      </c>
      <c r="V9" s="387" t="s">
        <v>759</v>
      </c>
      <c r="W9" s="402" t="s">
        <v>760</v>
      </c>
      <c r="X9" s="386"/>
      <c r="Y9" s="386"/>
    </row>
    <row r="10">
      <c r="A10" s="394">
        <v>7.0</v>
      </c>
      <c r="B10" s="394" t="s">
        <v>761</v>
      </c>
      <c r="C10" s="394">
        <v>8.0</v>
      </c>
      <c r="D10" s="394" t="s">
        <v>105</v>
      </c>
      <c r="E10" s="403" t="s">
        <v>762</v>
      </c>
      <c r="F10" s="404"/>
      <c r="G10" s="404"/>
      <c r="H10" s="404"/>
      <c r="I10" s="404"/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37"/>
      <c r="U10" s="394" t="s">
        <v>120</v>
      </c>
      <c r="V10" s="394" t="s">
        <v>763</v>
      </c>
      <c r="W10" s="386"/>
      <c r="X10" s="386"/>
      <c r="Y10" s="386"/>
    </row>
    <row r="11">
      <c r="A11" s="394">
        <v>8.0</v>
      </c>
      <c r="B11" s="395" t="s">
        <v>764</v>
      </c>
      <c r="C11" s="395" t="s">
        <v>153</v>
      </c>
      <c r="D11" s="395" t="s">
        <v>47</v>
      </c>
      <c r="E11" s="395">
        <v>2014.0</v>
      </c>
      <c r="F11" s="395">
        <v>2014.0</v>
      </c>
      <c r="G11" s="395" t="s">
        <v>700</v>
      </c>
      <c r="H11" s="395">
        <v>7684.0</v>
      </c>
      <c r="I11" s="395" t="s">
        <v>160</v>
      </c>
      <c r="J11" s="395" t="s">
        <v>508</v>
      </c>
      <c r="K11" s="395">
        <v>2014.0</v>
      </c>
      <c r="L11" s="395" t="s">
        <v>162</v>
      </c>
      <c r="M11" s="395" t="s">
        <v>163</v>
      </c>
      <c r="N11" s="395" t="s">
        <v>765</v>
      </c>
      <c r="O11" s="395" t="s">
        <v>766</v>
      </c>
      <c r="P11" s="395" t="s">
        <v>767</v>
      </c>
      <c r="Q11" s="395" t="s">
        <v>768</v>
      </c>
      <c r="R11" s="399">
        <v>45725.0</v>
      </c>
      <c r="S11" s="399">
        <v>45725.0</v>
      </c>
      <c r="T11" s="395" t="s">
        <v>769</v>
      </c>
      <c r="U11" s="394" t="s">
        <v>57</v>
      </c>
      <c r="V11" s="395" t="s">
        <v>47</v>
      </c>
      <c r="W11" s="386"/>
      <c r="X11" s="386"/>
      <c r="Y11" s="386"/>
    </row>
    <row r="12">
      <c r="A12" s="394">
        <v>9.0</v>
      </c>
      <c r="B12" s="405" t="s">
        <v>770</v>
      </c>
      <c r="C12" s="405" t="s">
        <v>153</v>
      </c>
      <c r="D12" s="405" t="s">
        <v>47</v>
      </c>
      <c r="E12" s="405">
        <v>2014.0</v>
      </c>
      <c r="F12" s="405">
        <v>2014.0</v>
      </c>
      <c r="G12" s="405" t="s">
        <v>713</v>
      </c>
      <c r="H12" s="405">
        <v>7684.0</v>
      </c>
      <c r="I12" s="405" t="s">
        <v>160</v>
      </c>
      <c r="J12" s="405" t="s">
        <v>508</v>
      </c>
      <c r="K12" s="405">
        <v>2014.0</v>
      </c>
      <c r="L12" s="405" t="s">
        <v>162</v>
      </c>
      <c r="M12" s="405" t="s">
        <v>163</v>
      </c>
      <c r="N12" s="405" t="s">
        <v>771</v>
      </c>
      <c r="O12" s="405" t="s">
        <v>772</v>
      </c>
      <c r="P12" s="405" t="s">
        <v>767</v>
      </c>
      <c r="Q12" s="405" t="s">
        <v>768</v>
      </c>
      <c r="R12" s="406">
        <v>45781.0</v>
      </c>
      <c r="S12" s="406">
        <v>45781.0</v>
      </c>
      <c r="T12" s="405" t="s">
        <v>769</v>
      </c>
      <c r="U12" s="407" t="s">
        <v>56</v>
      </c>
      <c r="V12" s="405" t="s">
        <v>47</v>
      </c>
      <c r="W12" s="386"/>
      <c r="X12" s="386"/>
      <c r="Y12" s="386"/>
    </row>
    <row r="13">
      <c r="A13" s="394">
        <v>10.0</v>
      </c>
      <c r="B13" s="394" t="s">
        <v>773</v>
      </c>
      <c r="C13" s="394" t="s">
        <v>240</v>
      </c>
      <c r="D13" s="394" t="s">
        <v>142</v>
      </c>
      <c r="E13" s="394">
        <v>2012.0</v>
      </c>
      <c r="F13" s="394">
        <v>2012.0</v>
      </c>
      <c r="G13" s="394" t="s">
        <v>774</v>
      </c>
      <c r="H13" s="394"/>
      <c r="I13" s="394" t="s">
        <v>316</v>
      </c>
      <c r="J13" s="394" t="s">
        <v>332</v>
      </c>
      <c r="K13" s="394">
        <v>2012.0</v>
      </c>
      <c r="L13" s="394" t="s">
        <v>245</v>
      </c>
      <c r="M13" s="394" t="s">
        <v>163</v>
      </c>
      <c r="N13" s="394" t="s">
        <v>775</v>
      </c>
      <c r="O13" s="394" t="s">
        <v>776</v>
      </c>
      <c r="P13" s="397">
        <v>46659.0</v>
      </c>
      <c r="Q13" s="408"/>
      <c r="R13" s="408"/>
      <c r="S13" s="408"/>
      <c r="T13" s="394" t="s">
        <v>777</v>
      </c>
      <c r="U13" s="394" t="s">
        <v>121</v>
      </c>
      <c r="V13" s="394" t="s">
        <v>778</v>
      </c>
      <c r="W13" s="386"/>
      <c r="X13" s="386"/>
      <c r="Y13" s="386"/>
    </row>
    <row r="14">
      <c r="A14" s="394">
        <v>11.0</v>
      </c>
      <c r="B14" s="395" t="s">
        <v>779</v>
      </c>
      <c r="C14" s="395" t="s">
        <v>153</v>
      </c>
      <c r="D14" s="395" t="s">
        <v>47</v>
      </c>
      <c r="E14" s="395">
        <v>2014.0</v>
      </c>
      <c r="F14" s="395">
        <v>2014.0</v>
      </c>
      <c r="G14" s="395" t="s">
        <v>756</v>
      </c>
      <c r="H14" s="394">
        <v>7684.0</v>
      </c>
      <c r="I14" s="394" t="s">
        <v>160</v>
      </c>
      <c r="J14" s="394" t="s">
        <v>508</v>
      </c>
      <c r="K14" s="394">
        <v>2014.0</v>
      </c>
      <c r="L14" s="394" t="s">
        <v>162</v>
      </c>
      <c r="M14" s="394" t="s">
        <v>163</v>
      </c>
      <c r="N14" s="394" t="s">
        <v>780</v>
      </c>
      <c r="O14" s="394" t="s">
        <v>781</v>
      </c>
      <c r="P14" s="397">
        <v>45613.0</v>
      </c>
      <c r="Q14" s="408"/>
      <c r="R14" s="408"/>
      <c r="S14" s="408"/>
      <c r="T14" s="394" t="s">
        <v>782</v>
      </c>
      <c r="U14" s="394" t="s">
        <v>58</v>
      </c>
      <c r="V14" s="395" t="s">
        <v>47</v>
      </c>
      <c r="W14" s="386"/>
      <c r="X14" s="386"/>
      <c r="Y14" s="386"/>
    </row>
    <row r="15">
      <c r="A15" s="394">
        <v>12.0</v>
      </c>
      <c r="B15" s="394" t="s">
        <v>783</v>
      </c>
      <c r="C15" s="395" t="s">
        <v>153</v>
      </c>
      <c r="D15" s="395" t="s">
        <v>47</v>
      </c>
      <c r="E15" s="395">
        <v>2014.0</v>
      </c>
      <c r="F15" s="395">
        <v>2014.0</v>
      </c>
      <c r="G15" s="395" t="s">
        <v>713</v>
      </c>
      <c r="H15" s="394">
        <v>7684.0</v>
      </c>
      <c r="I15" s="394" t="s">
        <v>160</v>
      </c>
      <c r="J15" s="394" t="s">
        <v>508</v>
      </c>
      <c r="K15" s="394">
        <v>2015.0</v>
      </c>
      <c r="L15" s="394" t="s">
        <v>162</v>
      </c>
      <c r="M15" s="394" t="s">
        <v>163</v>
      </c>
      <c r="N15" s="394" t="s">
        <v>784</v>
      </c>
      <c r="O15" s="394" t="s">
        <v>785</v>
      </c>
      <c r="P15" s="397">
        <v>45706.0</v>
      </c>
      <c r="Q15" s="397">
        <v>46385.0</v>
      </c>
      <c r="R15" s="396">
        <v>46145.0</v>
      </c>
      <c r="S15" s="396">
        <v>46145.0</v>
      </c>
      <c r="T15" s="394" t="s">
        <v>786</v>
      </c>
      <c r="U15" s="395" t="s">
        <v>66</v>
      </c>
      <c r="V15" s="395" t="s">
        <v>47</v>
      </c>
      <c r="W15" s="386"/>
      <c r="X15" s="386"/>
      <c r="Y15" s="386"/>
    </row>
    <row r="16">
      <c r="A16" s="394">
        <v>13.0</v>
      </c>
      <c r="B16" s="394" t="s">
        <v>787</v>
      </c>
      <c r="C16" s="395" t="s">
        <v>153</v>
      </c>
      <c r="D16" s="395" t="s">
        <v>47</v>
      </c>
      <c r="E16" s="395">
        <v>2014.0</v>
      </c>
      <c r="F16" s="395">
        <v>2014.0</v>
      </c>
      <c r="G16" s="395" t="s">
        <v>713</v>
      </c>
      <c r="H16" s="394">
        <v>7684.0</v>
      </c>
      <c r="I16" s="394" t="s">
        <v>160</v>
      </c>
      <c r="J16" s="394" t="s">
        <v>508</v>
      </c>
      <c r="K16" s="394">
        <v>2015.0</v>
      </c>
      <c r="L16" s="394" t="s">
        <v>162</v>
      </c>
      <c r="M16" s="394" t="s">
        <v>163</v>
      </c>
      <c r="N16" s="394" t="s">
        <v>788</v>
      </c>
      <c r="O16" s="394" t="s">
        <v>789</v>
      </c>
      <c r="P16" s="397">
        <v>45706.0</v>
      </c>
      <c r="Q16" s="397">
        <v>46385.0</v>
      </c>
      <c r="R16" s="396">
        <v>46145.0</v>
      </c>
      <c r="S16" s="396">
        <v>46145.0</v>
      </c>
      <c r="T16" s="394" t="s">
        <v>786</v>
      </c>
      <c r="U16" s="395" t="s">
        <v>68</v>
      </c>
      <c r="V16" s="395" t="s">
        <v>47</v>
      </c>
      <c r="W16" s="386"/>
      <c r="X16" s="386"/>
      <c r="Y16" s="386"/>
    </row>
    <row r="17">
      <c r="A17" s="394">
        <v>14.0</v>
      </c>
      <c r="B17" s="394" t="s">
        <v>790</v>
      </c>
      <c r="C17" s="395" t="s">
        <v>153</v>
      </c>
      <c r="D17" s="395" t="s">
        <v>47</v>
      </c>
      <c r="E17" s="395">
        <v>2014.0</v>
      </c>
      <c r="F17" s="395">
        <v>2014.0</v>
      </c>
      <c r="G17" s="395" t="s">
        <v>713</v>
      </c>
      <c r="H17" s="394">
        <v>7684.0</v>
      </c>
      <c r="I17" s="394" t="s">
        <v>160</v>
      </c>
      <c r="J17" s="394" t="s">
        <v>508</v>
      </c>
      <c r="K17" s="394">
        <v>2015.0</v>
      </c>
      <c r="L17" s="394" t="s">
        <v>162</v>
      </c>
      <c r="M17" s="394" t="s">
        <v>163</v>
      </c>
      <c r="N17" s="394" t="s">
        <v>791</v>
      </c>
      <c r="O17" s="394" t="s">
        <v>792</v>
      </c>
      <c r="P17" s="397">
        <v>45706.0</v>
      </c>
      <c r="Q17" s="397">
        <v>46385.0</v>
      </c>
      <c r="R17" s="396">
        <v>46145.0</v>
      </c>
      <c r="S17" s="396">
        <v>46145.0</v>
      </c>
      <c r="T17" s="394" t="s">
        <v>786</v>
      </c>
      <c r="U17" s="395" t="s">
        <v>69</v>
      </c>
      <c r="V17" s="395" t="s">
        <v>47</v>
      </c>
      <c r="W17" s="386"/>
      <c r="X17" s="386"/>
      <c r="Y17" s="386"/>
    </row>
    <row r="18">
      <c r="A18" s="394">
        <v>15.0</v>
      </c>
      <c r="B18" s="394" t="s">
        <v>793</v>
      </c>
      <c r="C18" s="394" t="s">
        <v>240</v>
      </c>
      <c r="D18" s="394" t="s">
        <v>142</v>
      </c>
      <c r="E18" s="394">
        <v>2014.0</v>
      </c>
      <c r="F18" s="395">
        <v>2014.0</v>
      </c>
      <c r="G18" s="394" t="s">
        <v>794</v>
      </c>
      <c r="H18" s="394">
        <v>7684.0</v>
      </c>
      <c r="I18" s="394" t="s">
        <v>160</v>
      </c>
      <c r="J18" s="394" t="s">
        <v>508</v>
      </c>
      <c r="K18" s="394">
        <v>2014.0</v>
      </c>
      <c r="L18" s="394" t="s">
        <v>245</v>
      </c>
      <c r="M18" s="394" t="s">
        <v>163</v>
      </c>
      <c r="N18" s="394" t="s">
        <v>795</v>
      </c>
      <c r="O18" s="394" t="s">
        <v>796</v>
      </c>
      <c r="P18" s="397">
        <v>45615.0</v>
      </c>
      <c r="Q18" s="408"/>
      <c r="R18" s="408"/>
      <c r="S18" s="408"/>
      <c r="T18" s="399">
        <v>45783.0</v>
      </c>
      <c r="U18" s="394" t="s">
        <v>122</v>
      </c>
      <c r="V18" s="394" t="s">
        <v>763</v>
      </c>
      <c r="W18" s="386"/>
      <c r="X18" s="386"/>
      <c r="Y18" s="386"/>
    </row>
    <row r="19">
      <c r="A19" s="409">
        <v>16.0</v>
      </c>
      <c r="B19" s="410" t="s">
        <v>797</v>
      </c>
      <c r="C19" s="409" t="s">
        <v>324</v>
      </c>
      <c r="D19" s="409" t="s">
        <v>94</v>
      </c>
      <c r="E19" s="409">
        <v>2015.0</v>
      </c>
      <c r="F19" s="409">
        <v>2015.0</v>
      </c>
      <c r="G19" s="409" t="s">
        <v>798</v>
      </c>
      <c r="H19" s="409">
        <v>5193.0</v>
      </c>
      <c r="I19" s="409" t="s">
        <v>160</v>
      </c>
      <c r="J19" s="409" t="s">
        <v>332</v>
      </c>
      <c r="K19" s="409">
        <v>2015.0</v>
      </c>
      <c r="L19" s="409" t="s">
        <v>245</v>
      </c>
      <c r="M19" s="409" t="s">
        <v>467</v>
      </c>
      <c r="N19" s="409" t="s">
        <v>799</v>
      </c>
      <c r="O19" s="409" t="s">
        <v>800</v>
      </c>
      <c r="P19" s="411">
        <v>45729.0</v>
      </c>
      <c r="Q19" s="411"/>
      <c r="R19" s="412"/>
      <c r="S19" s="412"/>
      <c r="T19" s="411">
        <v>45730.0</v>
      </c>
      <c r="U19" s="412"/>
      <c r="V19" s="412"/>
      <c r="W19" s="413" t="s">
        <v>801</v>
      </c>
      <c r="X19" s="386"/>
      <c r="Y19" s="386"/>
    </row>
    <row r="20">
      <c r="A20" s="414">
        <v>17.0</v>
      </c>
      <c r="B20" s="415" t="s">
        <v>802</v>
      </c>
      <c r="C20" s="414" t="s">
        <v>240</v>
      </c>
      <c r="D20" s="414" t="s">
        <v>94</v>
      </c>
      <c r="E20" s="414">
        <v>2015.0</v>
      </c>
      <c r="F20" s="414">
        <v>2015.0</v>
      </c>
      <c r="G20" s="414" t="s">
        <v>803</v>
      </c>
      <c r="H20" s="414">
        <v>7684.0</v>
      </c>
      <c r="I20" s="415" t="s">
        <v>160</v>
      </c>
      <c r="J20" s="415" t="s">
        <v>332</v>
      </c>
      <c r="K20" s="415">
        <v>2015.0</v>
      </c>
      <c r="L20" s="414" t="s">
        <v>245</v>
      </c>
      <c r="M20" s="414" t="s">
        <v>163</v>
      </c>
      <c r="N20" s="414" t="s">
        <v>804</v>
      </c>
      <c r="O20" s="414" t="s">
        <v>805</v>
      </c>
      <c r="P20" s="324">
        <v>45782.0</v>
      </c>
      <c r="Q20" s="324">
        <v>45782.0</v>
      </c>
      <c r="R20" s="324">
        <v>45920.0</v>
      </c>
      <c r="S20" s="324">
        <v>45920.0</v>
      </c>
      <c r="T20" s="416">
        <v>45783.0</v>
      </c>
      <c r="U20" s="414" t="s">
        <v>806</v>
      </c>
      <c r="V20" s="414" t="s">
        <v>807</v>
      </c>
      <c r="W20" s="417" t="s">
        <v>808</v>
      </c>
      <c r="X20" s="418"/>
      <c r="Y20" s="418"/>
      <c r="Z20" s="419"/>
      <c r="AA20" s="419"/>
      <c r="AB20" s="419"/>
      <c r="AC20" s="419"/>
      <c r="AD20" s="419"/>
    </row>
    <row r="21">
      <c r="A21" s="414">
        <v>18.0</v>
      </c>
      <c r="B21" s="420" t="s">
        <v>809</v>
      </c>
      <c r="C21" s="415" t="s">
        <v>153</v>
      </c>
      <c r="D21" s="421" t="s">
        <v>124</v>
      </c>
      <c r="E21" s="414">
        <v>2015.0</v>
      </c>
      <c r="F21" s="414">
        <v>2015.0</v>
      </c>
      <c r="G21" s="414" t="s">
        <v>713</v>
      </c>
      <c r="H21" s="414">
        <v>7960.0</v>
      </c>
      <c r="I21" s="415" t="s">
        <v>160</v>
      </c>
      <c r="J21" s="415" t="s">
        <v>161</v>
      </c>
      <c r="K21" s="415">
        <v>2015.0</v>
      </c>
      <c r="L21" s="415" t="s">
        <v>162</v>
      </c>
      <c r="M21" s="414" t="s">
        <v>163</v>
      </c>
      <c r="N21" s="422" t="s">
        <v>810</v>
      </c>
      <c r="O21" s="422" t="s">
        <v>811</v>
      </c>
      <c r="P21" s="324">
        <v>45876.0</v>
      </c>
      <c r="Q21" s="324">
        <v>45876.0</v>
      </c>
      <c r="R21" s="323">
        <v>45861.0</v>
      </c>
      <c r="S21" s="324">
        <v>45861.0</v>
      </c>
      <c r="T21" s="423">
        <v>45876.0</v>
      </c>
      <c r="U21" s="414" t="s">
        <v>154</v>
      </c>
      <c r="V21" s="414" t="s">
        <v>812</v>
      </c>
      <c r="W21" s="417"/>
      <c r="X21" s="424"/>
      <c r="Y21" s="424"/>
    </row>
    <row r="22">
      <c r="A22" s="414">
        <v>19.0</v>
      </c>
      <c r="B22" s="420" t="s">
        <v>813</v>
      </c>
      <c r="C22" s="415" t="s">
        <v>153</v>
      </c>
      <c r="D22" s="421" t="s">
        <v>124</v>
      </c>
      <c r="E22" s="414">
        <v>2015.0</v>
      </c>
      <c r="F22" s="414">
        <v>2015.0</v>
      </c>
      <c r="G22" s="414" t="s">
        <v>713</v>
      </c>
      <c r="H22" s="414">
        <v>7960.0</v>
      </c>
      <c r="I22" s="415" t="s">
        <v>160</v>
      </c>
      <c r="J22" s="415" t="s">
        <v>161</v>
      </c>
      <c r="K22" s="415">
        <v>2015.0</v>
      </c>
      <c r="L22" s="415" t="s">
        <v>162</v>
      </c>
      <c r="M22" s="414" t="s">
        <v>163</v>
      </c>
      <c r="N22" s="422" t="s">
        <v>814</v>
      </c>
      <c r="O22" s="422" t="s">
        <v>815</v>
      </c>
      <c r="P22" s="324">
        <v>45876.0</v>
      </c>
      <c r="Q22" s="324">
        <v>45876.0</v>
      </c>
      <c r="R22" s="323">
        <v>45861.0</v>
      </c>
      <c r="S22" s="324">
        <v>45861.0</v>
      </c>
      <c r="T22" s="423">
        <v>45876.0</v>
      </c>
      <c r="U22" s="414" t="s">
        <v>155</v>
      </c>
      <c r="V22" s="414" t="s">
        <v>812</v>
      </c>
      <c r="W22" s="417"/>
      <c r="X22" s="424"/>
      <c r="Y22" s="424"/>
    </row>
    <row r="23">
      <c r="A23" s="425">
        <v>20.0</v>
      </c>
      <c r="B23" s="425" t="s">
        <v>816</v>
      </c>
      <c r="C23" s="415" t="s">
        <v>153</v>
      </c>
      <c r="D23" s="415" t="s">
        <v>47</v>
      </c>
      <c r="E23" s="426">
        <v>2015.0</v>
      </c>
      <c r="F23" s="425">
        <v>2015.0</v>
      </c>
      <c r="G23" s="426" t="s">
        <v>700</v>
      </c>
      <c r="H23" s="426">
        <v>7684.0</v>
      </c>
      <c r="I23" s="426" t="s">
        <v>160</v>
      </c>
      <c r="J23" s="426" t="s">
        <v>161</v>
      </c>
      <c r="K23" s="426">
        <v>2015.0</v>
      </c>
      <c r="L23" s="426" t="s">
        <v>162</v>
      </c>
      <c r="M23" s="426" t="s">
        <v>163</v>
      </c>
      <c r="N23" s="426" t="s">
        <v>701</v>
      </c>
      <c r="O23" s="426" t="s">
        <v>702</v>
      </c>
      <c r="P23" s="427">
        <v>46020.0</v>
      </c>
      <c r="Q23" s="427">
        <v>46385.0</v>
      </c>
      <c r="R23" s="428">
        <v>46145.0</v>
      </c>
      <c r="S23" s="428">
        <v>46145.0</v>
      </c>
      <c r="T23" s="429">
        <v>46038.0</v>
      </c>
      <c r="U23" s="426" t="s">
        <v>59</v>
      </c>
      <c r="V23" s="395" t="s">
        <v>47</v>
      </c>
      <c r="W23" s="430"/>
      <c r="X23" s="431"/>
      <c r="Y23" s="431"/>
      <c r="Z23" s="432"/>
      <c r="AA23" s="432"/>
      <c r="AB23" s="432"/>
      <c r="AC23" s="432"/>
      <c r="AD23" s="432"/>
    </row>
    <row r="24">
      <c r="A24" s="425">
        <v>21.0</v>
      </c>
      <c r="B24" s="425" t="s">
        <v>262</v>
      </c>
      <c r="C24" s="415" t="s">
        <v>153</v>
      </c>
      <c r="D24" s="415" t="s">
        <v>47</v>
      </c>
      <c r="E24" s="426">
        <v>2015.0</v>
      </c>
      <c r="F24" s="425">
        <v>2015.0</v>
      </c>
      <c r="G24" s="426" t="s">
        <v>700</v>
      </c>
      <c r="H24" s="426">
        <v>7684.0</v>
      </c>
      <c r="I24" s="426" t="s">
        <v>160</v>
      </c>
      <c r="J24" s="426" t="s">
        <v>161</v>
      </c>
      <c r="K24" s="426">
        <v>2015.0</v>
      </c>
      <c r="L24" s="426" t="s">
        <v>162</v>
      </c>
      <c r="M24" s="426" t="s">
        <v>163</v>
      </c>
      <c r="N24" s="426" t="s">
        <v>710</v>
      </c>
      <c r="O24" s="426" t="s">
        <v>711</v>
      </c>
      <c r="P24" s="427">
        <v>46020.0</v>
      </c>
      <c r="Q24" s="427">
        <v>46020.0</v>
      </c>
      <c r="R24" s="428">
        <v>46145.0</v>
      </c>
      <c r="S24" s="428">
        <v>46145.0</v>
      </c>
      <c r="T24" s="429">
        <v>46020.0</v>
      </c>
      <c r="U24" s="426" t="s">
        <v>62</v>
      </c>
      <c r="V24" s="395" t="s">
        <v>47</v>
      </c>
      <c r="W24" s="430"/>
      <c r="X24" s="431"/>
      <c r="Y24" s="386"/>
    </row>
    <row r="25">
      <c r="A25" s="433">
        <v>22.0</v>
      </c>
      <c r="B25" s="434" t="s">
        <v>817</v>
      </c>
      <c r="C25" s="435" t="s">
        <v>153</v>
      </c>
      <c r="D25" s="435" t="s">
        <v>47</v>
      </c>
      <c r="E25" s="436">
        <v>2015.0</v>
      </c>
      <c r="F25" s="434">
        <v>2015.0</v>
      </c>
      <c r="G25" s="436" t="s">
        <v>713</v>
      </c>
      <c r="H25" s="436">
        <v>7684.0</v>
      </c>
      <c r="I25" s="436" t="s">
        <v>160</v>
      </c>
      <c r="J25" s="436" t="s">
        <v>161</v>
      </c>
      <c r="K25" s="436">
        <v>2015.0</v>
      </c>
      <c r="L25" s="436" t="s">
        <v>162</v>
      </c>
      <c r="M25" s="436" t="s">
        <v>163</v>
      </c>
      <c r="N25" s="436" t="s">
        <v>714</v>
      </c>
      <c r="O25" s="436" t="s">
        <v>715</v>
      </c>
      <c r="P25" s="437">
        <v>46020.0</v>
      </c>
      <c r="Q25" s="437">
        <v>46381.0</v>
      </c>
      <c r="R25" s="438">
        <v>46145.0</v>
      </c>
      <c r="S25" s="438">
        <v>46145.0</v>
      </c>
      <c r="T25" s="439">
        <v>45673.0</v>
      </c>
      <c r="U25" s="436" t="s">
        <v>64</v>
      </c>
      <c r="V25" s="395" t="s">
        <v>47</v>
      </c>
      <c r="W25" s="430"/>
      <c r="X25" s="431"/>
      <c r="Y25" s="386"/>
    </row>
    <row r="26">
      <c r="A26" s="440">
        <v>23.0</v>
      </c>
      <c r="B26" s="441" t="s">
        <v>818</v>
      </c>
      <c r="C26" s="442" t="s">
        <v>153</v>
      </c>
      <c r="D26" s="443" t="s">
        <v>47</v>
      </c>
      <c r="E26" s="442">
        <v>2015.0</v>
      </c>
      <c r="F26" s="442">
        <v>2015.0</v>
      </c>
      <c r="G26" s="442" t="s">
        <v>713</v>
      </c>
      <c r="H26" s="442">
        <v>7684.0</v>
      </c>
      <c r="I26" s="442" t="s">
        <v>160</v>
      </c>
      <c r="J26" s="442" t="s">
        <v>161</v>
      </c>
      <c r="K26" s="442">
        <v>2015.0</v>
      </c>
      <c r="L26" s="442" t="s">
        <v>162</v>
      </c>
      <c r="M26" s="442" t="s">
        <v>163</v>
      </c>
      <c r="N26" s="441" t="s">
        <v>819</v>
      </c>
      <c r="O26" s="441" t="s">
        <v>820</v>
      </c>
      <c r="P26" s="444">
        <v>46203.0</v>
      </c>
      <c r="Q26" s="444">
        <v>46203.0</v>
      </c>
      <c r="R26" s="191"/>
      <c r="S26" s="191"/>
      <c r="T26" s="191"/>
      <c r="U26" s="442" t="s">
        <v>70</v>
      </c>
      <c r="V26" s="395" t="s">
        <v>47</v>
      </c>
      <c r="W26" s="445"/>
      <c r="X26" s="446"/>
      <c r="Y26" s="445"/>
      <c r="Z26" s="447"/>
      <c r="AA26" s="447"/>
      <c r="AB26" s="447"/>
      <c r="AC26" s="447"/>
      <c r="AD26" s="447"/>
    </row>
    <row r="27">
      <c r="A27" s="448">
        <v>24.0</v>
      </c>
      <c r="B27" s="449" t="s">
        <v>821</v>
      </c>
      <c r="C27" s="450" t="s">
        <v>153</v>
      </c>
      <c r="D27" s="451" t="s">
        <v>36</v>
      </c>
      <c r="E27" s="452">
        <v>2021.0</v>
      </c>
      <c r="F27" s="452">
        <v>2021.0</v>
      </c>
      <c r="G27" s="452" t="s">
        <v>456</v>
      </c>
      <c r="H27" s="452">
        <v>7684.0</v>
      </c>
      <c r="I27" s="450" t="s">
        <v>160</v>
      </c>
      <c r="J27" s="450" t="s">
        <v>332</v>
      </c>
      <c r="K27" s="450">
        <v>2010.0</v>
      </c>
      <c r="L27" s="450" t="s">
        <v>162</v>
      </c>
      <c r="M27" s="452" t="s">
        <v>163</v>
      </c>
      <c r="N27" s="453" t="s">
        <v>822</v>
      </c>
      <c r="O27" s="453" t="s">
        <v>823</v>
      </c>
      <c r="P27" s="454">
        <v>46182.0</v>
      </c>
      <c r="Q27" s="454">
        <v>46182.0</v>
      </c>
      <c r="R27" s="455">
        <v>46008.0</v>
      </c>
      <c r="S27" s="455">
        <v>46008.0</v>
      </c>
      <c r="T27" s="456"/>
      <c r="U27" s="455"/>
      <c r="V27" s="455"/>
      <c r="W27" s="452" t="s">
        <v>824</v>
      </c>
      <c r="X27" s="457" t="s">
        <v>825</v>
      </c>
      <c r="Z27" s="458"/>
      <c r="AA27" s="458"/>
      <c r="AB27" s="458"/>
      <c r="AC27" s="458"/>
      <c r="AD27" s="458"/>
    </row>
    <row r="28">
      <c r="A28" s="442">
        <v>25.0</v>
      </c>
      <c r="B28" s="459" t="s">
        <v>826</v>
      </c>
      <c r="C28" s="460" t="s">
        <v>153</v>
      </c>
      <c r="D28" s="461" t="s">
        <v>47</v>
      </c>
      <c r="E28" s="460">
        <v>2015.0</v>
      </c>
      <c r="F28" s="460">
        <v>2015.0</v>
      </c>
      <c r="G28" s="460" t="s">
        <v>713</v>
      </c>
      <c r="H28" s="460">
        <v>7684.0</v>
      </c>
      <c r="I28" s="460" t="s">
        <v>160</v>
      </c>
      <c r="J28" s="460" t="s">
        <v>161</v>
      </c>
      <c r="K28" s="460">
        <v>2014.0</v>
      </c>
      <c r="L28" s="460" t="s">
        <v>162</v>
      </c>
      <c r="M28" s="460" t="s">
        <v>163</v>
      </c>
      <c r="N28" s="459" t="s">
        <v>827</v>
      </c>
      <c r="O28" s="459" t="s">
        <v>828</v>
      </c>
      <c r="P28" s="462" t="s">
        <v>829</v>
      </c>
      <c r="Q28" s="463">
        <v>46213.0</v>
      </c>
      <c r="R28" s="191"/>
      <c r="S28" s="191"/>
      <c r="T28" s="191"/>
      <c r="U28" s="442" t="s">
        <v>71</v>
      </c>
      <c r="V28" s="395" t="s">
        <v>47</v>
      </c>
      <c r="W28" s="464"/>
      <c r="X28" s="447"/>
      <c r="Y28" s="447"/>
      <c r="Z28" s="447"/>
      <c r="AA28" s="447"/>
      <c r="AB28" s="447"/>
      <c r="AC28" s="447"/>
      <c r="AD28" s="447"/>
    </row>
    <row r="29">
      <c r="A29" s="442">
        <v>26.0</v>
      </c>
      <c r="B29" s="459" t="s">
        <v>830</v>
      </c>
      <c r="C29" s="460" t="s">
        <v>153</v>
      </c>
      <c r="D29" s="461" t="s">
        <v>47</v>
      </c>
      <c r="E29" s="460">
        <v>2015.0</v>
      </c>
      <c r="F29" s="460">
        <v>2015.0</v>
      </c>
      <c r="G29" s="460" t="s">
        <v>713</v>
      </c>
      <c r="H29" s="460">
        <v>7684.0</v>
      </c>
      <c r="I29" s="460" t="s">
        <v>160</v>
      </c>
      <c r="J29" s="460" t="s">
        <v>161</v>
      </c>
      <c r="K29" s="460">
        <v>2015.0</v>
      </c>
      <c r="L29" s="460" t="s">
        <v>162</v>
      </c>
      <c r="M29" s="460" t="s">
        <v>163</v>
      </c>
      <c r="N29" s="459" t="s">
        <v>831</v>
      </c>
      <c r="O29" s="459" t="s">
        <v>832</v>
      </c>
      <c r="P29" s="462" t="s">
        <v>833</v>
      </c>
      <c r="Q29" s="463">
        <v>46213.0</v>
      </c>
      <c r="R29" s="191"/>
      <c r="S29" s="191"/>
      <c r="T29" s="191"/>
      <c r="U29" s="442" t="s">
        <v>72</v>
      </c>
      <c r="V29" s="395" t="s">
        <v>47</v>
      </c>
      <c r="W29" s="465"/>
      <c r="X29" s="447"/>
      <c r="Y29" s="447"/>
      <c r="Z29" s="447"/>
      <c r="AA29" s="447"/>
      <c r="AB29" s="447"/>
      <c r="AC29" s="447"/>
      <c r="AD29" s="447"/>
    </row>
    <row r="30">
      <c r="A30" s="442">
        <v>27.0</v>
      </c>
      <c r="B30" s="459" t="s">
        <v>834</v>
      </c>
      <c r="C30" s="460" t="s">
        <v>153</v>
      </c>
      <c r="D30" s="461" t="s">
        <v>47</v>
      </c>
      <c r="E30" s="460">
        <v>2015.0</v>
      </c>
      <c r="F30" s="460">
        <v>2015.0</v>
      </c>
      <c r="G30" s="460" t="s">
        <v>713</v>
      </c>
      <c r="H30" s="460">
        <v>7684.0</v>
      </c>
      <c r="I30" s="460" t="s">
        <v>160</v>
      </c>
      <c r="J30" s="460" t="s">
        <v>161</v>
      </c>
      <c r="K30" s="460">
        <v>2015.0</v>
      </c>
      <c r="L30" s="460" t="s">
        <v>162</v>
      </c>
      <c r="M30" s="460" t="s">
        <v>163</v>
      </c>
      <c r="N30" s="459" t="s">
        <v>835</v>
      </c>
      <c r="O30" s="459" t="s">
        <v>836</v>
      </c>
      <c r="P30" s="462" t="s">
        <v>837</v>
      </c>
      <c r="Q30" s="463">
        <v>46217.0</v>
      </c>
      <c r="R30" s="191"/>
      <c r="S30" s="191"/>
      <c r="T30" s="191"/>
      <c r="U30" s="442" t="s">
        <v>74</v>
      </c>
      <c r="V30" s="395" t="s">
        <v>47</v>
      </c>
      <c r="W30" s="465"/>
      <c r="X30" s="447"/>
      <c r="Y30" s="447"/>
      <c r="Z30" s="447"/>
      <c r="AA30" s="447"/>
      <c r="AB30" s="447"/>
      <c r="AC30" s="447"/>
      <c r="AD30" s="447"/>
    </row>
    <row r="31">
      <c r="A31" s="442">
        <v>28.0</v>
      </c>
      <c r="B31" s="459" t="s">
        <v>838</v>
      </c>
      <c r="C31" s="460" t="s">
        <v>153</v>
      </c>
      <c r="D31" s="461" t="s">
        <v>47</v>
      </c>
      <c r="E31" s="460">
        <v>2015.0</v>
      </c>
      <c r="F31" s="460">
        <v>2015.0</v>
      </c>
      <c r="G31" s="460" t="s">
        <v>713</v>
      </c>
      <c r="H31" s="460">
        <v>7684.0</v>
      </c>
      <c r="I31" s="460" t="s">
        <v>160</v>
      </c>
      <c r="J31" s="460" t="s">
        <v>161</v>
      </c>
      <c r="K31" s="460">
        <v>2015.0</v>
      </c>
      <c r="L31" s="460" t="s">
        <v>162</v>
      </c>
      <c r="M31" s="460" t="s">
        <v>163</v>
      </c>
      <c r="N31" s="459" t="s">
        <v>839</v>
      </c>
      <c r="O31" s="459" t="s">
        <v>840</v>
      </c>
      <c r="P31" s="462" t="s">
        <v>837</v>
      </c>
      <c r="Q31" s="463">
        <v>46217.0</v>
      </c>
      <c r="R31" s="191"/>
      <c r="S31" s="191"/>
      <c r="T31" s="191"/>
      <c r="U31" s="442" t="s">
        <v>75</v>
      </c>
      <c r="V31" s="395" t="s">
        <v>47</v>
      </c>
      <c r="W31" s="465"/>
      <c r="X31" s="447"/>
      <c r="Y31" s="447"/>
      <c r="Z31" s="447"/>
      <c r="AA31" s="447"/>
      <c r="AB31" s="447"/>
      <c r="AC31" s="447"/>
      <c r="AD31" s="447"/>
    </row>
    <row r="32">
      <c r="A32" s="442">
        <v>29.0</v>
      </c>
      <c r="B32" s="461" t="s">
        <v>841</v>
      </c>
      <c r="C32" s="460" t="s">
        <v>153</v>
      </c>
      <c r="D32" s="461" t="s">
        <v>47</v>
      </c>
      <c r="E32" s="460">
        <v>2015.0</v>
      </c>
      <c r="F32" s="460">
        <v>2015.0</v>
      </c>
      <c r="G32" s="467" t="s">
        <v>842</v>
      </c>
      <c r="H32" s="460">
        <v>7684.0</v>
      </c>
      <c r="I32" s="460" t="s">
        <v>160</v>
      </c>
      <c r="J32" s="460" t="s">
        <v>161</v>
      </c>
      <c r="K32" s="460">
        <v>2015.0</v>
      </c>
      <c r="L32" s="460" t="s">
        <v>162</v>
      </c>
      <c r="M32" s="460" t="s">
        <v>163</v>
      </c>
      <c r="N32" s="468" t="s">
        <v>843</v>
      </c>
      <c r="O32" s="459" t="s">
        <v>844</v>
      </c>
      <c r="P32" s="462" t="s">
        <v>845</v>
      </c>
      <c r="Q32" s="463">
        <v>46216.0</v>
      </c>
      <c r="R32" s="191"/>
      <c r="S32" s="191"/>
      <c r="T32" s="191"/>
      <c r="U32" s="442" t="s">
        <v>73</v>
      </c>
      <c r="V32" s="395" t="s">
        <v>47</v>
      </c>
      <c r="W32" s="465"/>
      <c r="X32" s="447"/>
      <c r="Y32" s="447"/>
      <c r="Z32" s="447"/>
      <c r="AA32" s="447"/>
      <c r="AB32" s="447"/>
      <c r="AC32" s="447"/>
      <c r="AD32" s="447"/>
    </row>
    <row r="33">
      <c r="A33" s="469">
        <v>30.0</v>
      </c>
      <c r="B33" s="441" t="s">
        <v>670</v>
      </c>
      <c r="C33" s="442" t="s">
        <v>153</v>
      </c>
      <c r="D33" s="470" t="s">
        <v>124</v>
      </c>
      <c r="E33" s="471">
        <v>2016.0</v>
      </c>
      <c r="F33" s="471">
        <v>2017.0</v>
      </c>
      <c r="G33" s="471" t="s">
        <v>671</v>
      </c>
      <c r="H33" s="471">
        <v>7698.0</v>
      </c>
      <c r="I33" s="442" t="s">
        <v>160</v>
      </c>
      <c r="J33" s="442" t="s">
        <v>508</v>
      </c>
      <c r="K33" s="442">
        <v>2016.0</v>
      </c>
      <c r="L33" s="442" t="s">
        <v>162</v>
      </c>
      <c r="M33" s="471" t="s">
        <v>199</v>
      </c>
      <c r="N33" s="472" t="s">
        <v>672</v>
      </c>
      <c r="O33" s="472" t="s">
        <v>673</v>
      </c>
      <c r="P33" s="473">
        <v>46392.0</v>
      </c>
      <c r="Q33" s="473">
        <v>45662.0</v>
      </c>
      <c r="R33" s="474">
        <v>45462.0</v>
      </c>
      <c r="S33" s="474">
        <v>45462.0</v>
      </c>
      <c r="T33" s="475">
        <v>46027.0</v>
      </c>
      <c r="U33" s="471" t="s">
        <v>123</v>
      </c>
      <c r="V33" s="472" t="s">
        <v>846</v>
      </c>
      <c r="W33" s="138"/>
      <c r="X33" s="138"/>
      <c r="Y33" s="138"/>
      <c r="Z33" s="138"/>
      <c r="AA33" s="138"/>
      <c r="AB33" s="138"/>
      <c r="AC33" s="138"/>
      <c r="AD33" s="138"/>
    </row>
    <row r="34">
      <c r="A34" s="469">
        <v>31.0</v>
      </c>
      <c r="B34" s="441" t="s">
        <v>675</v>
      </c>
      <c r="C34" s="442" t="s">
        <v>153</v>
      </c>
      <c r="D34" s="470" t="s">
        <v>124</v>
      </c>
      <c r="E34" s="471">
        <v>2016.0</v>
      </c>
      <c r="F34" s="471">
        <v>2017.0</v>
      </c>
      <c r="G34" s="471" t="s">
        <v>671</v>
      </c>
      <c r="H34" s="471">
        <v>7698.0</v>
      </c>
      <c r="I34" s="442" t="s">
        <v>160</v>
      </c>
      <c r="J34" s="442" t="s">
        <v>508</v>
      </c>
      <c r="K34" s="442">
        <v>2016.0</v>
      </c>
      <c r="L34" s="442" t="s">
        <v>162</v>
      </c>
      <c r="M34" s="471" t="s">
        <v>199</v>
      </c>
      <c r="N34" s="472" t="s">
        <v>676</v>
      </c>
      <c r="O34" s="472" t="s">
        <v>677</v>
      </c>
      <c r="P34" s="473">
        <v>46392.0</v>
      </c>
      <c r="Q34" s="473">
        <v>45662.0</v>
      </c>
      <c r="R34" s="474">
        <v>45462.0</v>
      </c>
      <c r="S34" s="474">
        <v>45462.0</v>
      </c>
      <c r="T34" s="475">
        <v>46027.0</v>
      </c>
      <c r="U34" s="471" t="s">
        <v>125</v>
      </c>
      <c r="V34" s="472" t="s">
        <v>846</v>
      </c>
      <c r="W34" s="138"/>
      <c r="X34" s="138"/>
      <c r="Y34" s="138"/>
      <c r="Z34" s="138"/>
      <c r="AA34" s="146"/>
      <c r="AB34" s="138"/>
      <c r="AC34" s="138"/>
      <c r="AD34" s="146"/>
    </row>
    <row r="35">
      <c r="G35" s="476"/>
      <c r="N35" s="476"/>
    </row>
    <row r="36">
      <c r="G36" s="476"/>
      <c r="N36" s="476"/>
    </row>
    <row r="37">
      <c r="G37" s="476"/>
      <c r="N37" s="476"/>
    </row>
    <row r="38">
      <c r="G38" s="476"/>
      <c r="N38" s="476"/>
    </row>
    <row r="39">
      <c r="G39" s="476"/>
      <c r="N39" s="476"/>
    </row>
  </sheetData>
  <mergeCells count="24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E10:T10"/>
    <mergeCell ref="V2:V3"/>
    <mergeCell ref="X27:Y27"/>
    <mergeCell ref="O2:O3"/>
    <mergeCell ref="P2:P3"/>
    <mergeCell ref="Q2:Q3"/>
    <mergeCell ref="R2:R3"/>
    <mergeCell ref="S2:S3"/>
    <mergeCell ref="T2:T3"/>
    <mergeCell ref="U2:U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5.38"/>
    <col customWidth="1" min="2" max="2" width="7.0"/>
    <col customWidth="1" min="3" max="4" width="7.5"/>
    <col customWidth="1" min="5" max="5" width="23.25"/>
    <col customWidth="1" min="6" max="12" width="8.63"/>
    <col customWidth="1" min="13" max="13" width="11.13"/>
    <col customWidth="1" min="14" max="17" width="8.63"/>
    <col customWidth="1" min="18" max="18" width="15.5"/>
    <col customWidth="1" min="19" max="19" width="13.88"/>
    <col customWidth="1" min="20" max="20" width="11.63"/>
    <col customWidth="1" min="21" max="21" width="8.63"/>
    <col customWidth="1" min="22" max="22" width="11.75"/>
    <col customWidth="1" min="23" max="23" width="8.63"/>
    <col customWidth="1" min="24" max="24" width="11.0"/>
    <col customWidth="1" min="25" max="25" width="12.5"/>
    <col customWidth="1" min="27" max="27" width="12.5"/>
    <col customWidth="1" min="28" max="28" width="11.13"/>
    <col customWidth="1" min="29" max="29" width="12.5"/>
    <col customWidth="1" min="30" max="30" width="16.25"/>
    <col customWidth="1" min="31" max="31" width="7.13"/>
    <col customWidth="1" min="35" max="35" width="107.63"/>
    <col customWidth="1" min="36" max="36" width="3.5"/>
    <col customWidth="1" min="37" max="37" width="9.0"/>
    <col customWidth="1" min="38" max="38" width="6.5"/>
    <col customWidth="1" min="39" max="39" width="7.25"/>
    <col customWidth="1" min="40" max="40" width="7.88"/>
    <col customWidth="1" min="41" max="41" width="9.63"/>
  </cols>
  <sheetData>
    <row r="1">
      <c r="A1" s="8"/>
      <c r="B1" s="8"/>
      <c r="C1" s="8"/>
      <c r="D1" s="8"/>
      <c r="E1" s="8"/>
      <c r="F1" s="8" t="s">
        <v>7</v>
      </c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>
      <c r="A2" s="8"/>
      <c r="B2" s="8"/>
      <c r="C2" s="8"/>
      <c r="D2" s="8"/>
      <c r="E2" s="8"/>
      <c r="F2" s="8" t="s">
        <v>10</v>
      </c>
      <c r="AI2" s="18">
        <v>1.91755E-5</v>
      </c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>
      <c r="A3" s="20"/>
      <c r="C3" s="21"/>
      <c r="D3" s="21"/>
      <c r="E3" s="21"/>
      <c r="F3" s="21"/>
      <c r="G3" s="21"/>
      <c r="H3" s="21"/>
      <c r="I3" s="23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AA3" s="25"/>
      <c r="AB3" s="25"/>
      <c r="AC3" s="25"/>
      <c r="AD3" s="25"/>
      <c r="AE3" s="25"/>
      <c r="AF3" s="25"/>
      <c r="AG3" s="25"/>
      <c r="AH3" s="25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ht="27.0" customHeight="1">
      <c r="A4" s="27">
        <v>2026.0</v>
      </c>
      <c r="B4" s="30"/>
      <c r="C4" s="21"/>
      <c r="D4" s="21"/>
      <c r="E4" s="21"/>
      <c r="F4" s="21"/>
      <c r="G4" s="21"/>
      <c r="H4" s="21"/>
      <c r="I4" s="23"/>
      <c r="J4" s="21"/>
      <c r="K4" s="21"/>
      <c r="L4" s="21"/>
      <c r="M4" s="21"/>
      <c r="N4" s="21"/>
      <c r="O4" s="21"/>
      <c r="P4" s="21"/>
      <c r="Q4" s="21"/>
      <c r="R4" s="21"/>
      <c r="S4" s="21"/>
      <c r="T4" s="32" t="s">
        <v>49</v>
      </c>
      <c r="U4" s="21"/>
      <c r="V4" s="32" t="s">
        <v>60</v>
      </c>
      <c r="W4" s="21"/>
      <c r="X4" s="32" t="s">
        <v>61</v>
      </c>
      <c r="Y4" s="21"/>
      <c r="Z4" s="32" t="s">
        <v>63</v>
      </c>
      <c r="AA4" s="25"/>
      <c r="AB4" s="32" t="s">
        <v>65</v>
      </c>
      <c r="AC4" s="25"/>
      <c r="AD4" s="32" t="s">
        <v>67</v>
      </c>
      <c r="AE4" s="25"/>
      <c r="AF4" s="25"/>
      <c r="AG4" s="25"/>
      <c r="AH4" s="25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ht="21.0" customHeight="1">
      <c r="A5" s="34"/>
      <c r="B5" s="34"/>
      <c r="C5" s="34"/>
      <c r="D5" s="34"/>
      <c r="E5" s="34"/>
      <c r="F5" s="34"/>
      <c r="G5" s="34"/>
      <c r="H5" s="34"/>
      <c r="I5" s="35"/>
      <c r="J5" s="34"/>
      <c r="K5" s="34"/>
      <c r="L5" s="34"/>
      <c r="M5" s="34"/>
      <c r="N5" s="34"/>
      <c r="O5" s="34"/>
      <c r="P5" s="34"/>
      <c r="Q5" s="34"/>
      <c r="R5" s="34"/>
      <c r="S5" s="34"/>
      <c r="T5" s="36" t="s">
        <v>82</v>
      </c>
      <c r="U5" s="37"/>
      <c r="V5" s="38" t="s">
        <v>90</v>
      </c>
      <c r="W5" s="37"/>
      <c r="X5" s="36" t="s">
        <v>96</v>
      </c>
      <c r="Y5" s="37"/>
      <c r="Z5" s="36" t="s">
        <v>99</v>
      </c>
      <c r="AA5" s="37"/>
      <c r="AB5" s="32"/>
      <c r="AC5" s="32"/>
      <c r="AD5" s="32"/>
      <c r="AE5" s="32"/>
      <c r="AF5" s="40"/>
      <c r="AG5" s="40"/>
      <c r="AH5" s="41" t="s">
        <v>107</v>
      </c>
      <c r="AI5" s="42" t="s">
        <v>112</v>
      </c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ht="21.0" customHeight="1">
      <c r="A6" s="5" t="s">
        <v>2</v>
      </c>
      <c r="B6" s="7" t="s">
        <v>3</v>
      </c>
      <c r="C6" s="7" t="s">
        <v>5</v>
      </c>
      <c r="D6" s="7"/>
      <c r="E6" s="7" t="s">
        <v>4</v>
      </c>
      <c r="F6" s="43" t="s">
        <v>126</v>
      </c>
      <c r="G6" s="7" t="s">
        <v>128</v>
      </c>
      <c r="H6" s="43" t="s">
        <v>130</v>
      </c>
      <c r="I6" s="43" t="s">
        <v>131</v>
      </c>
      <c r="J6" s="45" t="s">
        <v>132</v>
      </c>
      <c r="K6" s="45" t="s">
        <v>136</v>
      </c>
      <c r="L6" s="45" t="s">
        <v>137</v>
      </c>
      <c r="M6" s="45" t="s">
        <v>138</v>
      </c>
      <c r="N6" s="45" t="s">
        <v>139</v>
      </c>
      <c r="O6" s="43" t="s">
        <v>140</v>
      </c>
      <c r="P6" s="43" t="s">
        <v>141</v>
      </c>
      <c r="Q6" s="7" t="s">
        <v>143</v>
      </c>
      <c r="R6" s="7" t="s">
        <v>144</v>
      </c>
      <c r="S6" s="7" t="s">
        <v>146</v>
      </c>
      <c r="T6" s="32" t="s">
        <v>49</v>
      </c>
      <c r="U6" s="32" t="s">
        <v>148</v>
      </c>
      <c r="V6" s="32" t="s">
        <v>60</v>
      </c>
      <c r="W6" s="32" t="s">
        <v>148</v>
      </c>
      <c r="X6" s="32" t="s">
        <v>61</v>
      </c>
      <c r="Y6" s="32" t="s">
        <v>148</v>
      </c>
      <c r="Z6" s="32" t="s">
        <v>63</v>
      </c>
      <c r="AA6" s="40" t="s">
        <v>148</v>
      </c>
      <c r="AB6" s="32" t="s">
        <v>65</v>
      </c>
      <c r="AC6" s="40" t="s">
        <v>148</v>
      </c>
      <c r="AD6" s="32" t="s">
        <v>67</v>
      </c>
      <c r="AE6" s="40" t="s">
        <v>148</v>
      </c>
      <c r="AF6" s="40" t="s">
        <v>151</v>
      </c>
      <c r="AG6" s="40" t="s">
        <v>148</v>
      </c>
      <c r="AH6" s="48"/>
      <c r="AI6" s="48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>
      <c r="A7" s="9">
        <v>1.0</v>
      </c>
      <c r="B7" s="311" t="s">
        <v>6</v>
      </c>
      <c r="C7" s="11" t="s">
        <v>153</v>
      </c>
      <c r="D7" s="11">
        <v>24.0</v>
      </c>
      <c r="E7" s="14" t="s">
        <v>8</v>
      </c>
      <c r="F7" s="11">
        <v>2016.0</v>
      </c>
      <c r="G7" s="11">
        <v>2016.0</v>
      </c>
      <c r="H7" s="11">
        <f>A4-F7</f>
        <v>10</v>
      </c>
      <c r="I7" s="51" t="s">
        <v>158</v>
      </c>
      <c r="J7" s="11">
        <v>7684.0</v>
      </c>
      <c r="K7" s="11" t="s">
        <v>159</v>
      </c>
      <c r="L7" s="11" t="s">
        <v>160</v>
      </c>
      <c r="M7" s="11" t="s">
        <v>161</v>
      </c>
      <c r="N7" s="11">
        <v>2016.0</v>
      </c>
      <c r="O7" s="11">
        <f>A4-N7</f>
        <v>10</v>
      </c>
      <c r="P7" s="11" t="s">
        <v>162</v>
      </c>
      <c r="Q7" s="11" t="s">
        <v>163</v>
      </c>
      <c r="R7" s="52" t="s">
        <v>164</v>
      </c>
      <c r="S7" s="52" t="s">
        <v>165</v>
      </c>
      <c r="T7" s="53">
        <v>46383.0</v>
      </c>
      <c r="U7" s="54" t="str">
        <f t="shared" ref="U7:U86" si="1">IF(TODAY()&gt;=T7,"Habis",
 IF(TODAY()&gt;=T7-7,"Habis dalam 7-1 Hari",
 IF(TODAY()&gt;=T7-21,"Akan Habis",
 "Berlaku")))
</f>
        <v>Berlaku</v>
      </c>
      <c r="V7" s="53">
        <v>46383.0</v>
      </c>
      <c r="W7" s="54" t="str">
        <f t="shared" ref="W7:W86" si="2">IF(TODAY()&gt;=V7,"Habis",
 IF(TODAY()&gt;=V7-7,"Habis dalam 7-1 Hari",
 IF(TODAY()&gt;=V7-50,"Akan Habis",
 "Berlaku")))</f>
        <v>Berlaku</v>
      </c>
      <c r="X7" s="53">
        <v>46271.0</v>
      </c>
      <c r="Y7" s="54" t="str">
        <f t="shared" ref="Y7:Y86" si="3">IF(TODAY()&gt;=X7,"Habis",
 IF(TODAY()&gt;=X7-7,"Habis dalam 7-1 Hari",
 IF(TODAY()&gt;=X7-50,"Akan Habis",
 "Berlaku")))</f>
        <v>Habis</v>
      </c>
      <c r="Z7" s="53">
        <v>46271.0</v>
      </c>
      <c r="AA7" s="54" t="str">
        <f t="shared" ref="AA7:AA86" si="4">IF(TODAY()&gt;=Z7,"Habis",
 IF(TODAY()&gt;=Z7-7,"Habis dalam 7-1 Hari",
 IF(TODAY()&gt;=Z7-21,"Akan Habis",
 "Berlaku")))
</f>
        <v>Habis</v>
      </c>
      <c r="AB7" s="53">
        <f>VLOOKUP(B7,'DATA EXP TERA'!$C$3:$D$85,2,0)</f>
        <v>46225</v>
      </c>
      <c r="AC7" s="54" t="str">
        <f t="shared" ref="AC7:AC86" si="5">IF(TODAY()&gt;=AB7,"Habis",
 IF(TODAY()&gt;=AB7-7,"Habis dalam 7-1 Hari",
 IF(TODAY()&gt;=AB7-65,"Akan Habis",
 "Berlaku")))</f>
        <v>Habis</v>
      </c>
      <c r="AD7" s="315">
        <v>46340.0</v>
      </c>
      <c r="AE7" s="56" t="str">
        <f t="shared" ref="AE7:AE86" si="6">IF(TODAY()&gt;=AD7,"Habis",
 IF(TODAY()&gt;=AD7-7,"Habis dalam 7-1 Hari",
 IF(TODAY()&gt;=AD7-21,"Akan Habis",
 "Berlaku")))
</f>
        <v>Berlaku</v>
      </c>
      <c r="AF7" s="57" t="s">
        <v>166</v>
      </c>
      <c r="AG7" s="57" t="s">
        <v>167</v>
      </c>
      <c r="AH7" s="54"/>
      <c r="AI7" s="58"/>
      <c r="AJ7" s="59"/>
      <c r="AK7" s="60" t="s">
        <v>168</v>
      </c>
      <c r="AL7" s="61"/>
      <c r="AM7" s="61"/>
      <c r="AN7" s="62"/>
      <c r="AO7" s="63" t="s">
        <v>169</v>
      </c>
      <c r="AP7" s="62"/>
      <c r="AQ7" s="63" t="s">
        <v>170</v>
      </c>
      <c r="AR7" s="62"/>
      <c r="AS7" s="63" t="s">
        <v>171</v>
      </c>
      <c r="AT7" s="62"/>
      <c r="AU7" s="63" t="s">
        <v>172</v>
      </c>
      <c r="AV7" s="62"/>
      <c r="AW7" s="63" t="s">
        <v>173</v>
      </c>
      <c r="AX7" s="62"/>
    </row>
    <row r="8">
      <c r="A8" s="9">
        <f t="shared" ref="A8:A86" si="7">A7+1</f>
        <v>2</v>
      </c>
      <c r="B8" s="311" t="s">
        <v>12</v>
      </c>
      <c r="C8" s="11" t="s">
        <v>153</v>
      </c>
      <c r="D8" s="11">
        <v>24.0</v>
      </c>
      <c r="E8" s="14" t="s">
        <v>8</v>
      </c>
      <c r="F8" s="11">
        <v>2016.0</v>
      </c>
      <c r="G8" s="11">
        <v>2016.0</v>
      </c>
      <c r="H8" s="11">
        <f>A4-F8</f>
        <v>10</v>
      </c>
      <c r="I8" s="51" t="s">
        <v>158</v>
      </c>
      <c r="J8" s="11">
        <v>7684.0</v>
      </c>
      <c r="K8" s="11" t="s">
        <v>159</v>
      </c>
      <c r="L8" s="11" t="s">
        <v>160</v>
      </c>
      <c r="M8" s="11" t="s">
        <v>161</v>
      </c>
      <c r="N8" s="11">
        <v>2016.0</v>
      </c>
      <c r="O8" s="11">
        <f>A4-N8</f>
        <v>10</v>
      </c>
      <c r="P8" s="11" t="s">
        <v>162</v>
      </c>
      <c r="Q8" s="11" t="s">
        <v>163</v>
      </c>
      <c r="R8" s="52" t="s">
        <v>174</v>
      </c>
      <c r="S8" s="52" t="s">
        <v>175</v>
      </c>
      <c r="T8" s="53">
        <v>46383.0</v>
      </c>
      <c r="U8" s="54" t="str">
        <f t="shared" si="1"/>
        <v>Berlaku</v>
      </c>
      <c r="V8" s="317">
        <v>46383.0</v>
      </c>
      <c r="W8" s="54" t="str">
        <f t="shared" si="2"/>
        <v>Berlaku</v>
      </c>
      <c r="X8" s="53">
        <v>46271.0</v>
      </c>
      <c r="Y8" s="54" t="str">
        <f t="shared" si="3"/>
        <v>Habis</v>
      </c>
      <c r="Z8" s="53">
        <v>46271.0</v>
      </c>
      <c r="AA8" s="54" t="str">
        <f t="shared" si="4"/>
        <v>Habis</v>
      </c>
      <c r="AB8" s="53">
        <f>VLOOKUP(B8,'DATA EXP TERA'!$C$3:$D$85,2,0)</f>
        <v>46240</v>
      </c>
      <c r="AC8" s="54" t="str">
        <f t="shared" si="5"/>
        <v>Habis</v>
      </c>
      <c r="AD8" s="315">
        <v>46340.0</v>
      </c>
      <c r="AE8" s="56" t="str">
        <f t="shared" si="6"/>
        <v>Berlaku</v>
      </c>
      <c r="AF8" s="57" t="s">
        <v>166</v>
      </c>
      <c r="AG8" s="57" t="s">
        <v>167</v>
      </c>
      <c r="AH8" s="54"/>
      <c r="AI8" s="58"/>
      <c r="AJ8" s="59"/>
      <c r="AK8" s="66" t="s">
        <v>178</v>
      </c>
      <c r="AL8" s="68" t="s">
        <v>180</v>
      </c>
      <c r="AM8" s="70" t="s">
        <v>181</v>
      </c>
      <c r="AN8" s="62"/>
      <c r="AO8" s="68" t="s">
        <v>182</v>
      </c>
      <c r="AP8" s="68" t="s">
        <v>183</v>
      </c>
      <c r="AQ8" s="68" t="s">
        <v>182</v>
      </c>
      <c r="AR8" s="68" t="s">
        <v>183</v>
      </c>
      <c r="AS8" s="68" t="s">
        <v>182</v>
      </c>
      <c r="AT8" s="68" t="s">
        <v>183</v>
      </c>
      <c r="AU8" s="68" t="s">
        <v>182</v>
      </c>
      <c r="AV8" s="68" t="s">
        <v>183</v>
      </c>
      <c r="AW8" s="68" t="s">
        <v>182</v>
      </c>
      <c r="AX8" s="68" t="s">
        <v>183</v>
      </c>
    </row>
    <row r="9">
      <c r="A9" s="9">
        <f t="shared" si="7"/>
        <v>3</v>
      </c>
      <c r="B9" s="311" t="s">
        <v>14</v>
      </c>
      <c r="C9" s="11" t="s">
        <v>153</v>
      </c>
      <c r="D9" s="11">
        <v>24.0</v>
      </c>
      <c r="E9" s="14" t="s">
        <v>8</v>
      </c>
      <c r="F9" s="11">
        <v>2016.0</v>
      </c>
      <c r="G9" s="11">
        <v>2017.0</v>
      </c>
      <c r="H9" s="11">
        <f>A4-F9</f>
        <v>10</v>
      </c>
      <c r="I9" s="51" t="s">
        <v>184</v>
      </c>
      <c r="J9" s="11">
        <v>7684.0</v>
      </c>
      <c r="K9" s="11" t="s">
        <v>159</v>
      </c>
      <c r="L9" s="11" t="s">
        <v>160</v>
      </c>
      <c r="M9" s="11" t="s">
        <v>161</v>
      </c>
      <c r="N9" s="11">
        <v>2016.0</v>
      </c>
      <c r="O9" s="11">
        <f>A4-N9</f>
        <v>10</v>
      </c>
      <c r="P9" s="11" t="s">
        <v>162</v>
      </c>
      <c r="Q9" s="11" t="s">
        <v>163</v>
      </c>
      <c r="R9" s="52" t="s">
        <v>186</v>
      </c>
      <c r="S9" s="52" t="s">
        <v>187</v>
      </c>
      <c r="T9" s="53">
        <v>46417.0</v>
      </c>
      <c r="U9" s="54" t="str">
        <f t="shared" si="1"/>
        <v>Berlaku</v>
      </c>
      <c r="V9" s="317">
        <v>46417.0</v>
      </c>
      <c r="W9" s="54" t="str">
        <f t="shared" si="2"/>
        <v>Berlaku</v>
      </c>
      <c r="X9" s="53">
        <v>46271.0</v>
      </c>
      <c r="Y9" s="54" t="str">
        <f t="shared" si="3"/>
        <v>Habis</v>
      </c>
      <c r="Z9" s="53">
        <v>46271.0</v>
      </c>
      <c r="AA9" s="54" t="str">
        <f t="shared" si="4"/>
        <v>Habis</v>
      </c>
      <c r="AB9" s="53">
        <f>VLOOKUP(B9,'DATA EXP TERA'!$C$3:$D$85,2,0)</f>
        <v>46409</v>
      </c>
      <c r="AC9" s="54" t="str">
        <f t="shared" si="5"/>
        <v>Berlaku</v>
      </c>
      <c r="AD9" s="315">
        <v>46273.0</v>
      </c>
      <c r="AE9" s="56" t="str">
        <f t="shared" si="6"/>
        <v>Habis</v>
      </c>
      <c r="AF9" s="57" t="s">
        <v>166</v>
      </c>
      <c r="AG9" s="57" t="s">
        <v>167</v>
      </c>
      <c r="AH9" s="54"/>
      <c r="AI9" s="58"/>
      <c r="AJ9" s="59"/>
      <c r="AK9" s="76"/>
      <c r="AL9" s="78" t="s">
        <v>195</v>
      </c>
      <c r="AM9" s="80">
        <v>32.0</v>
      </c>
      <c r="AN9" s="62"/>
      <c r="AO9" s="82"/>
      <c r="AP9" s="84">
        <v>0.0</v>
      </c>
      <c r="AQ9" s="85"/>
      <c r="AR9" s="86">
        <v>0.0</v>
      </c>
      <c r="AS9" s="85"/>
      <c r="AT9" s="85"/>
      <c r="AU9" s="85"/>
      <c r="AV9" s="86">
        <v>0.0</v>
      </c>
      <c r="AW9" s="85"/>
      <c r="AX9" s="86">
        <v>0.0</v>
      </c>
    </row>
    <row r="10">
      <c r="A10" s="9">
        <f t="shared" si="7"/>
        <v>4</v>
      </c>
      <c r="B10" s="311" t="s">
        <v>17</v>
      </c>
      <c r="C10" s="11" t="s">
        <v>153</v>
      </c>
      <c r="D10" s="11">
        <v>24.0</v>
      </c>
      <c r="E10" s="14" t="s">
        <v>8</v>
      </c>
      <c r="F10" s="11">
        <v>2018.0</v>
      </c>
      <c r="G10" s="11">
        <v>2018.0</v>
      </c>
      <c r="H10" s="11">
        <f>A4-F10</f>
        <v>8</v>
      </c>
      <c r="I10" s="51" t="s">
        <v>197</v>
      </c>
      <c r="J10" s="11">
        <v>7698.0</v>
      </c>
      <c r="K10" s="11" t="s">
        <v>159</v>
      </c>
      <c r="L10" s="11" t="s">
        <v>160</v>
      </c>
      <c r="M10" s="11" t="s">
        <v>161</v>
      </c>
      <c r="N10" s="11">
        <v>2018.0</v>
      </c>
      <c r="O10" s="11">
        <f>A4-N10</f>
        <v>8</v>
      </c>
      <c r="P10" s="11" t="s">
        <v>162</v>
      </c>
      <c r="Q10" s="11" t="s">
        <v>199</v>
      </c>
      <c r="R10" s="52" t="s">
        <v>200</v>
      </c>
      <c r="S10" s="52" t="s">
        <v>201</v>
      </c>
      <c r="T10" s="53">
        <v>46903.0</v>
      </c>
      <c r="U10" s="54" t="str">
        <f t="shared" si="1"/>
        <v>Berlaku</v>
      </c>
      <c r="V10" s="317">
        <v>46537.0</v>
      </c>
      <c r="W10" s="54" t="str">
        <f t="shared" si="2"/>
        <v>Berlaku</v>
      </c>
      <c r="X10" s="318">
        <v>46237.0</v>
      </c>
      <c r="Y10" s="54" t="str">
        <f t="shared" si="3"/>
        <v>Habis</v>
      </c>
      <c r="Z10" s="318">
        <v>46237.0</v>
      </c>
      <c r="AA10" s="54" t="str">
        <f t="shared" si="4"/>
        <v>Habis</v>
      </c>
      <c r="AB10" s="53">
        <f>VLOOKUP(B10,'DATA EXP TERA'!$C$3:$D$85,2,0)</f>
        <v>46506</v>
      </c>
      <c r="AC10" s="54" t="str">
        <f t="shared" si="5"/>
        <v>Berlaku</v>
      </c>
      <c r="AD10" s="315">
        <v>46340.0</v>
      </c>
      <c r="AE10" s="56" t="str">
        <f t="shared" si="6"/>
        <v>Berlaku</v>
      </c>
      <c r="AF10" s="96" t="s">
        <v>203</v>
      </c>
      <c r="AG10" s="57" t="s">
        <v>167</v>
      </c>
      <c r="AH10" s="14"/>
      <c r="AI10" s="58"/>
      <c r="AJ10" s="59"/>
      <c r="AK10" s="76"/>
      <c r="AL10" s="68" t="s">
        <v>205</v>
      </c>
      <c r="AM10" s="70">
        <v>24.0</v>
      </c>
      <c r="AN10" s="62"/>
      <c r="AO10" s="99">
        <v>49.0</v>
      </c>
      <c r="AP10" s="84">
        <v>1176.0</v>
      </c>
      <c r="AQ10" s="100">
        <v>47.0</v>
      </c>
      <c r="AR10" s="86">
        <v>1128.0</v>
      </c>
      <c r="AS10" s="101"/>
      <c r="AT10" s="101"/>
      <c r="AU10" s="86">
        <v>5.0</v>
      </c>
      <c r="AV10" s="86">
        <f>AU10*24</f>
        <v>120</v>
      </c>
      <c r="AW10" s="102">
        <v>48.0</v>
      </c>
      <c r="AX10" s="86">
        <v>1152.0</v>
      </c>
    </row>
    <row r="11">
      <c r="A11" s="9">
        <f t="shared" si="7"/>
        <v>5</v>
      </c>
      <c r="B11" s="311" t="s">
        <v>20</v>
      </c>
      <c r="C11" s="11" t="s">
        <v>153</v>
      </c>
      <c r="D11" s="11">
        <v>24.0</v>
      </c>
      <c r="E11" s="14" t="s">
        <v>8</v>
      </c>
      <c r="F11" s="11">
        <v>2018.0</v>
      </c>
      <c r="G11" s="11">
        <v>2018.0</v>
      </c>
      <c r="H11" s="11">
        <f>A4-F11</f>
        <v>8</v>
      </c>
      <c r="I11" s="51" t="s">
        <v>197</v>
      </c>
      <c r="J11" s="11">
        <v>7698.0</v>
      </c>
      <c r="K11" s="11" t="s">
        <v>159</v>
      </c>
      <c r="L11" s="11" t="s">
        <v>160</v>
      </c>
      <c r="M11" s="11" t="s">
        <v>161</v>
      </c>
      <c r="N11" s="11">
        <v>2018.0</v>
      </c>
      <c r="O11" s="11">
        <f>A4-N11</f>
        <v>8</v>
      </c>
      <c r="P11" s="11" t="s">
        <v>162</v>
      </c>
      <c r="Q11" s="11" t="s">
        <v>199</v>
      </c>
      <c r="R11" s="52" t="s">
        <v>210</v>
      </c>
      <c r="S11" s="52" t="s">
        <v>211</v>
      </c>
      <c r="T11" s="53">
        <v>46903.0</v>
      </c>
      <c r="U11" s="54" t="str">
        <f t="shared" si="1"/>
        <v>Berlaku</v>
      </c>
      <c r="V11" s="317">
        <v>46537.0</v>
      </c>
      <c r="W11" s="54" t="str">
        <f t="shared" si="2"/>
        <v>Berlaku</v>
      </c>
      <c r="X11" s="53">
        <v>46257.0</v>
      </c>
      <c r="Y11" s="54" t="str">
        <f t="shared" si="3"/>
        <v>Habis</v>
      </c>
      <c r="Z11" s="53">
        <v>46257.0</v>
      </c>
      <c r="AA11" s="54" t="str">
        <f t="shared" si="4"/>
        <v>Habis</v>
      </c>
      <c r="AB11" s="53">
        <f>VLOOKUP(B11,'DATA EXP TERA'!$C$3:$D$85,2,0)</f>
        <v>46187</v>
      </c>
      <c r="AC11" s="54" t="str">
        <f t="shared" si="5"/>
        <v>Habis</v>
      </c>
      <c r="AD11" s="315">
        <v>46187.0</v>
      </c>
      <c r="AE11" s="56" t="str">
        <f t="shared" si="6"/>
        <v>Habis</v>
      </c>
      <c r="AF11" s="96" t="s">
        <v>203</v>
      </c>
      <c r="AG11" s="57" t="s">
        <v>167</v>
      </c>
      <c r="AH11" s="54"/>
      <c r="AI11" s="58"/>
      <c r="AJ11" s="59"/>
      <c r="AK11" s="76"/>
      <c r="AL11" s="78" t="s">
        <v>221</v>
      </c>
      <c r="AM11" s="80">
        <v>16.0</v>
      </c>
      <c r="AN11" s="62"/>
      <c r="AO11" s="99">
        <v>32.0</v>
      </c>
      <c r="AP11" s="84">
        <f>AM11*AO11</f>
        <v>512</v>
      </c>
      <c r="AQ11" s="100">
        <v>30.0</v>
      </c>
      <c r="AR11" s="86">
        <v>480.0</v>
      </c>
      <c r="AS11" s="85"/>
      <c r="AT11" s="85"/>
      <c r="AU11" s="102">
        <v>1.0</v>
      </c>
      <c r="AV11" s="86">
        <v>16.0</v>
      </c>
      <c r="AW11" s="102">
        <v>27.0</v>
      </c>
      <c r="AX11" s="86">
        <v>432.0</v>
      </c>
    </row>
    <row r="12">
      <c r="A12" s="9">
        <f t="shared" si="7"/>
        <v>6</v>
      </c>
      <c r="B12" s="311" t="s">
        <v>22</v>
      </c>
      <c r="C12" s="11" t="s">
        <v>153</v>
      </c>
      <c r="D12" s="11">
        <v>24.0</v>
      </c>
      <c r="E12" s="14" t="s">
        <v>8</v>
      </c>
      <c r="F12" s="11">
        <v>2018.0</v>
      </c>
      <c r="G12" s="11">
        <v>2018.0</v>
      </c>
      <c r="H12" s="11">
        <f>A4-F12</f>
        <v>8</v>
      </c>
      <c r="I12" s="51" t="s">
        <v>197</v>
      </c>
      <c r="J12" s="11">
        <v>7698.0</v>
      </c>
      <c r="K12" s="11" t="s">
        <v>159</v>
      </c>
      <c r="L12" s="11" t="s">
        <v>160</v>
      </c>
      <c r="M12" s="11" t="s">
        <v>161</v>
      </c>
      <c r="N12" s="11">
        <v>2018.0</v>
      </c>
      <c r="O12" s="11">
        <f>A4-N12</f>
        <v>8</v>
      </c>
      <c r="P12" s="11" t="s">
        <v>162</v>
      </c>
      <c r="Q12" s="11" t="s">
        <v>199</v>
      </c>
      <c r="R12" s="52" t="s">
        <v>226</v>
      </c>
      <c r="S12" s="52" t="s">
        <v>228</v>
      </c>
      <c r="T12" s="53">
        <v>46903.0</v>
      </c>
      <c r="U12" s="54" t="str">
        <f t="shared" si="1"/>
        <v>Berlaku</v>
      </c>
      <c r="V12" s="317">
        <v>46537.0</v>
      </c>
      <c r="W12" s="54" t="str">
        <f t="shared" si="2"/>
        <v>Berlaku</v>
      </c>
      <c r="X12" s="53">
        <v>46257.0</v>
      </c>
      <c r="Y12" s="54" t="str">
        <f t="shared" si="3"/>
        <v>Habis</v>
      </c>
      <c r="Z12" s="53">
        <v>46257.0</v>
      </c>
      <c r="AA12" s="54" t="str">
        <f t="shared" si="4"/>
        <v>Habis</v>
      </c>
      <c r="AB12" s="53">
        <f>VLOOKUP(B12,'DATA EXP TERA'!$C$3:$D$85,2,0)</f>
        <v>46507</v>
      </c>
      <c r="AC12" s="54" t="str">
        <f t="shared" si="5"/>
        <v>Berlaku</v>
      </c>
      <c r="AD12" s="315">
        <v>46340.0</v>
      </c>
      <c r="AE12" s="56" t="str">
        <f t="shared" si="6"/>
        <v>Berlaku</v>
      </c>
      <c r="AF12" s="96" t="s">
        <v>203</v>
      </c>
      <c r="AG12" s="57" t="s">
        <v>167</v>
      </c>
      <c r="AH12" s="54"/>
      <c r="AI12" s="58"/>
      <c r="AJ12" s="59"/>
      <c r="AK12" s="76"/>
      <c r="AL12" s="68" t="s">
        <v>237</v>
      </c>
      <c r="AM12" s="70">
        <v>8.0</v>
      </c>
      <c r="AN12" s="62"/>
      <c r="AO12" s="84">
        <v>4.0</v>
      </c>
      <c r="AP12" s="84">
        <v>32.0</v>
      </c>
      <c r="AQ12" s="86">
        <v>3.0</v>
      </c>
      <c r="AR12" s="86">
        <v>24.0</v>
      </c>
      <c r="AS12" s="86">
        <v>0.0</v>
      </c>
      <c r="AT12" s="86">
        <v>0.0</v>
      </c>
      <c r="AU12" s="86">
        <v>1.0</v>
      </c>
      <c r="AV12" s="86">
        <v>8.0</v>
      </c>
      <c r="AW12" s="86">
        <v>3.0</v>
      </c>
      <c r="AX12" s="86">
        <v>24.0</v>
      </c>
    </row>
    <row r="13">
      <c r="A13" s="9">
        <f t="shared" si="7"/>
        <v>7</v>
      </c>
      <c r="B13" s="311" t="s">
        <v>24</v>
      </c>
      <c r="C13" s="19" t="s">
        <v>240</v>
      </c>
      <c r="D13" s="19">
        <v>16.0</v>
      </c>
      <c r="E13" s="14" t="s">
        <v>8</v>
      </c>
      <c r="F13" s="11">
        <v>2022.0</v>
      </c>
      <c r="G13" s="11">
        <v>2022.0</v>
      </c>
      <c r="H13" s="11">
        <f>A4-F13</f>
        <v>4</v>
      </c>
      <c r="I13" s="51" t="s">
        <v>242</v>
      </c>
      <c r="J13" s="11">
        <v>7684.0</v>
      </c>
      <c r="K13" s="11" t="s">
        <v>243</v>
      </c>
      <c r="L13" s="11" t="s">
        <v>160</v>
      </c>
      <c r="M13" s="11" t="s">
        <v>161</v>
      </c>
      <c r="N13" s="11">
        <v>2022.0</v>
      </c>
      <c r="O13" s="11">
        <f>A4-N13</f>
        <v>4</v>
      </c>
      <c r="P13" s="11" t="s">
        <v>245</v>
      </c>
      <c r="Q13" s="11" t="s">
        <v>163</v>
      </c>
      <c r="R13" s="52" t="s">
        <v>246</v>
      </c>
      <c r="S13" s="52" t="s">
        <v>248</v>
      </c>
      <c r="T13" s="319">
        <v>46730.0</v>
      </c>
      <c r="U13" s="54" t="str">
        <f t="shared" si="1"/>
        <v>Berlaku</v>
      </c>
      <c r="V13" s="320">
        <v>46365.0</v>
      </c>
      <c r="W13" s="54" t="str">
        <f t="shared" si="2"/>
        <v>Berlaku</v>
      </c>
      <c r="X13" s="321">
        <v>46303.0</v>
      </c>
      <c r="Y13" s="54" t="str">
        <f t="shared" si="3"/>
        <v>Akan Habis</v>
      </c>
      <c r="Z13" s="321">
        <v>46303.0</v>
      </c>
      <c r="AA13" s="54" t="str">
        <f t="shared" si="4"/>
        <v>Akan Habis</v>
      </c>
      <c r="AB13" s="53">
        <f>VLOOKUP(B13,'DATA EXP TERA'!$C$3:$D$85,2,0)</f>
        <v>46337</v>
      </c>
      <c r="AC13" s="54" t="str">
        <f t="shared" si="5"/>
        <v>Akan Habis</v>
      </c>
      <c r="AD13" s="315">
        <v>46347.0</v>
      </c>
      <c r="AE13" s="56" t="str">
        <f t="shared" si="6"/>
        <v>Berlaku</v>
      </c>
      <c r="AF13" s="57" t="s">
        <v>166</v>
      </c>
      <c r="AG13" s="57" t="s">
        <v>167</v>
      </c>
      <c r="AH13" s="113"/>
      <c r="AI13" s="115" t="s">
        <v>259</v>
      </c>
      <c r="AJ13" s="59"/>
      <c r="AK13" s="76"/>
      <c r="AL13" s="78" t="s">
        <v>260</v>
      </c>
      <c r="AM13" s="80">
        <v>5.0</v>
      </c>
      <c r="AN13" s="62"/>
      <c r="AO13" s="82"/>
      <c r="AP13" s="82"/>
      <c r="AQ13" s="85"/>
      <c r="AR13" s="85"/>
      <c r="AS13" s="85"/>
      <c r="AT13" s="85"/>
      <c r="AU13" s="85"/>
      <c r="AV13" s="85"/>
      <c r="AW13" s="116"/>
      <c r="AX13" s="116"/>
    </row>
    <row r="14">
      <c r="A14" s="9">
        <f t="shared" si="7"/>
        <v>8</v>
      </c>
      <c r="B14" s="311" t="s">
        <v>26</v>
      </c>
      <c r="C14" s="22" t="s">
        <v>240</v>
      </c>
      <c r="D14" s="22">
        <v>16.0</v>
      </c>
      <c r="E14" s="24" t="s">
        <v>8</v>
      </c>
      <c r="F14" s="9">
        <v>2023.0</v>
      </c>
      <c r="G14" s="9">
        <v>2023.0</v>
      </c>
      <c r="H14" s="11">
        <f>A4-F14</f>
        <v>3</v>
      </c>
      <c r="I14" s="117" t="s">
        <v>265</v>
      </c>
      <c r="J14" s="9">
        <v>6374.0</v>
      </c>
      <c r="K14" s="9" t="s">
        <v>266</v>
      </c>
      <c r="L14" s="9" t="s">
        <v>160</v>
      </c>
      <c r="M14" s="9" t="s">
        <v>267</v>
      </c>
      <c r="N14" s="9">
        <v>2023.0</v>
      </c>
      <c r="O14" s="11">
        <f>A4-N14</f>
        <v>3</v>
      </c>
      <c r="P14" s="9" t="s">
        <v>245</v>
      </c>
      <c r="Q14" s="9" t="s">
        <v>270</v>
      </c>
      <c r="R14" s="118" t="s">
        <v>271</v>
      </c>
      <c r="S14" s="118" t="s">
        <v>273</v>
      </c>
      <c r="T14" s="53">
        <v>47025.0</v>
      </c>
      <c r="U14" s="54" t="str">
        <f t="shared" si="1"/>
        <v>Berlaku</v>
      </c>
      <c r="V14" s="317">
        <v>46294.0</v>
      </c>
      <c r="W14" s="54" t="str">
        <f t="shared" si="2"/>
        <v>Habis</v>
      </c>
      <c r="X14" s="53">
        <v>46271.0</v>
      </c>
      <c r="Y14" s="54" t="str">
        <f t="shared" si="3"/>
        <v>Habis</v>
      </c>
      <c r="Z14" s="53">
        <v>46271.0</v>
      </c>
      <c r="AA14" s="54" t="str">
        <f t="shared" si="4"/>
        <v>Habis</v>
      </c>
      <c r="AB14" s="53">
        <f>VLOOKUP(B14,'DATA EXP TERA'!$C$3:$D$85,2,0)</f>
        <v>46688</v>
      </c>
      <c r="AC14" s="54" t="str">
        <f t="shared" si="5"/>
        <v>Berlaku</v>
      </c>
      <c r="AD14" s="315">
        <v>46281.0</v>
      </c>
      <c r="AE14" s="56" t="str">
        <f t="shared" si="6"/>
        <v>Habis</v>
      </c>
      <c r="AF14" s="57" t="s">
        <v>166</v>
      </c>
      <c r="AG14" s="57" t="s">
        <v>167</v>
      </c>
      <c r="AH14" s="24"/>
      <c r="AI14" s="115" t="s">
        <v>281</v>
      </c>
      <c r="AJ14" s="119"/>
      <c r="AK14" s="76"/>
      <c r="AL14" s="120"/>
      <c r="AM14" s="70" t="s">
        <v>284</v>
      </c>
      <c r="AN14" s="62"/>
      <c r="AO14" s="121"/>
      <c r="AP14" s="121"/>
      <c r="AQ14" s="123"/>
      <c r="AR14" s="123"/>
      <c r="AS14" s="123"/>
      <c r="AT14" s="123"/>
      <c r="AU14" s="123"/>
      <c r="AV14" s="123"/>
      <c r="AW14" s="123"/>
      <c r="AX14" s="123"/>
    </row>
    <row r="15">
      <c r="A15" s="9">
        <f t="shared" si="7"/>
        <v>9</v>
      </c>
      <c r="B15" s="311" t="s">
        <v>28</v>
      </c>
      <c r="C15" s="22" t="s">
        <v>240</v>
      </c>
      <c r="D15" s="22">
        <v>16.0</v>
      </c>
      <c r="E15" s="24" t="s">
        <v>8</v>
      </c>
      <c r="F15" s="9">
        <v>2023.0</v>
      </c>
      <c r="G15" s="9">
        <v>2023.0</v>
      </c>
      <c r="H15" s="11">
        <f>A4-F15</f>
        <v>3</v>
      </c>
      <c r="I15" s="117" t="s">
        <v>265</v>
      </c>
      <c r="J15" s="9">
        <v>6374.0</v>
      </c>
      <c r="K15" s="9" t="s">
        <v>266</v>
      </c>
      <c r="L15" s="9" t="s">
        <v>160</v>
      </c>
      <c r="M15" s="9" t="s">
        <v>267</v>
      </c>
      <c r="N15" s="9">
        <v>2023.0</v>
      </c>
      <c r="O15" s="11">
        <f>A4-N15</f>
        <v>3</v>
      </c>
      <c r="P15" s="9" t="s">
        <v>245</v>
      </c>
      <c r="Q15" s="9" t="s">
        <v>270</v>
      </c>
      <c r="R15" s="118" t="s">
        <v>291</v>
      </c>
      <c r="S15" s="118" t="s">
        <v>292</v>
      </c>
      <c r="T15" s="53">
        <v>47025.0</v>
      </c>
      <c r="U15" s="54" t="str">
        <f t="shared" si="1"/>
        <v>Berlaku</v>
      </c>
      <c r="V15" s="317">
        <v>46294.0</v>
      </c>
      <c r="W15" s="54" t="str">
        <f t="shared" si="2"/>
        <v>Habis</v>
      </c>
      <c r="X15" s="53">
        <v>46271.0</v>
      </c>
      <c r="Y15" s="54" t="str">
        <f t="shared" si="3"/>
        <v>Habis</v>
      </c>
      <c r="Z15" s="53">
        <v>46271.0</v>
      </c>
      <c r="AA15" s="54" t="str">
        <f t="shared" si="4"/>
        <v>Habis</v>
      </c>
      <c r="AB15" s="53">
        <f>VLOOKUP(B15,'DATA EXP TERA'!$C$3:$D$85,2,0)</f>
        <v>46684</v>
      </c>
      <c r="AC15" s="54" t="str">
        <f t="shared" si="5"/>
        <v>Berlaku</v>
      </c>
      <c r="AD15" s="315">
        <v>46281.0</v>
      </c>
      <c r="AE15" s="56" t="str">
        <f t="shared" si="6"/>
        <v>Habis</v>
      </c>
      <c r="AF15" s="57" t="s">
        <v>166</v>
      </c>
      <c r="AG15" s="57" t="s">
        <v>167</v>
      </c>
      <c r="AH15" s="24"/>
      <c r="AI15" s="115" t="s">
        <v>302</v>
      </c>
      <c r="AJ15" s="119"/>
      <c r="AK15" s="129"/>
      <c r="AL15" s="131" t="s">
        <v>304</v>
      </c>
      <c r="AM15" s="61"/>
      <c r="AN15" s="62"/>
      <c r="AO15" s="132">
        <f t="shared" ref="AO15:AR15" si="8">SUM(AO10:AO12)</f>
        <v>85</v>
      </c>
      <c r="AP15" s="132">
        <f t="shared" si="8"/>
        <v>1720</v>
      </c>
      <c r="AQ15" s="132">
        <f t="shared" si="8"/>
        <v>80</v>
      </c>
      <c r="AR15" s="132">
        <f t="shared" si="8"/>
        <v>1632</v>
      </c>
      <c r="AS15" s="132">
        <v>0.0</v>
      </c>
      <c r="AT15" s="132">
        <v>0.0</v>
      </c>
      <c r="AU15" s="132">
        <f>sum(AU10:AU12)</f>
        <v>7</v>
      </c>
      <c r="AV15" s="132">
        <f>SUM(AV10:AV12)</f>
        <v>144</v>
      </c>
      <c r="AW15" s="132">
        <v>78.0</v>
      </c>
      <c r="AX15" s="132">
        <v>1608.0</v>
      </c>
    </row>
    <row r="16">
      <c r="A16" s="9">
        <f t="shared" si="7"/>
        <v>10</v>
      </c>
      <c r="B16" s="52" t="s">
        <v>31</v>
      </c>
      <c r="C16" s="11" t="s">
        <v>153</v>
      </c>
      <c r="D16" s="11">
        <v>24.0</v>
      </c>
      <c r="E16" s="14" t="s">
        <v>8</v>
      </c>
      <c r="F16" s="11">
        <v>2022.0</v>
      </c>
      <c r="G16" s="11">
        <v>2022.0</v>
      </c>
      <c r="H16" s="11">
        <f>A4-F16</f>
        <v>4</v>
      </c>
      <c r="I16" s="51" t="s">
        <v>309</v>
      </c>
      <c r="J16" s="11">
        <v>7684.0</v>
      </c>
      <c r="K16" s="11" t="s">
        <v>243</v>
      </c>
      <c r="L16" s="11" t="s">
        <v>160</v>
      </c>
      <c r="M16" s="11" t="s">
        <v>267</v>
      </c>
      <c r="N16" s="11">
        <v>2022.0</v>
      </c>
      <c r="O16" s="11">
        <f>A4-N16</f>
        <v>4</v>
      </c>
      <c r="P16" s="11" t="s">
        <v>162</v>
      </c>
      <c r="Q16" s="11" t="s">
        <v>163</v>
      </c>
      <c r="R16" s="52" t="s">
        <v>310</v>
      </c>
      <c r="S16" s="52" t="s">
        <v>311</v>
      </c>
      <c r="T16" s="53">
        <v>46713.0</v>
      </c>
      <c r="U16" s="54" t="str">
        <f t="shared" si="1"/>
        <v>Berlaku</v>
      </c>
      <c r="V16" s="317">
        <v>46348.0</v>
      </c>
      <c r="W16" s="54" t="str">
        <f t="shared" si="2"/>
        <v>Berlaku</v>
      </c>
      <c r="X16" s="321">
        <v>46303.0</v>
      </c>
      <c r="Y16" s="54" t="str">
        <f t="shared" si="3"/>
        <v>Akan Habis</v>
      </c>
      <c r="Z16" s="321">
        <v>46303.0</v>
      </c>
      <c r="AA16" s="54" t="str">
        <f t="shared" si="4"/>
        <v>Akan Habis</v>
      </c>
      <c r="AB16" s="53">
        <f>VLOOKUP(B16,'DATA EXP TERA'!$C$3:$D$85,2,0)</f>
        <v>46548</v>
      </c>
      <c r="AC16" s="54" t="str">
        <f t="shared" si="5"/>
        <v>Berlaku</v>
      </c>
      <c r="AD16" s="315">
        <v>46311.0</v>
      </c>
      <c r="AE16" s="56" t="str">
        <f t="shared" si="6"/>
        <v>Akan Habis</v>
      </c>
      <c r="AF16" s="57" t="s">
        <v>166</v>
      </c>
      <c r="AG16" s="57" t="s">
        <v>167</v>
      </c>
      <c r="AH16" s="133"/>
      <c r="AI16" s="115" t="s">
        <v>312</v>
      </c>
      <c r="AJ16" s="59"/>
      <c r="AK16" s="134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2"/>
    </row>
    <row r="17">
      <c r="A17" s="9">
        <f t="shared" si="7"/>
        <v>11</v>
      </c>
      <c r="B17" s="311" t="s">
        <v>33</v>
      </c>
      <c r="C17" s="11" t="s">
        <v>153</v>
      </c>
      <c r="D17" s="11">
        <v>24.0</v>
      </c>
      <c r="E17" s="14" t="s">
        <v>8</v>
      </c>
      <c r="F17" s="11">
        <v>2022.0</v>
      </c>
      <c r="G17" s="11">
        <v>2022.0</v>
      </c>
      <c r="H17" s="11">
        <f>A4-F17</f>
        <v>4</v>
      </c>
      <c r="I17" s="51" t="s">
        <v>309</v>
      </c>
      <c r="J17" s="11">
        <v>7684.0</v>
      </c>
      <c r="K17" s="11" t="s">
        <v>243</v>
      </c>
      <c r="L17" s="11" t="s">
        <v>160</v>
      </c>
      <c r="M17" s="11" t="s">
        <v>267</v>
      </c>
      <c r="N17" s="11">
        <v>2022.0</v>
      </c>
      <c r="O17" s="11">
        <f>A4-N17</f>
        <v>4</v>
      </c>
      <c r="P17" s="11" t="s">
        <v>162</v>
      </c>
      <c r="Q17" s="11" t="s">
        <v>163</v>
      </c>
      <c r="R17" s="52" t="s">
        <v>313</v>
      </c>
      <c r="S17" s="52" t="s">
        <v>314</v>
      </c>
      <c r="T17" s="53">
        <v>46680.0</v>
      </c>
      <c r="U17" s="54" t="str">
        <f t="shared" si="1"/>
        <v>Berlaku</v>
      </c>
      <c r="V17" s="317">
        <v>46315.0</v>
      </c>
      <c r="W17" s="54" t="str">
        <f t="shared" si="2"/>
        <v>Akan Habis</v>
      </c>
      <c r="X17" s="321">
        <v>46303.0</v>
      </c>
      <c r="Y17" s="54" t="str">
        <f t="shared" si="3"/>
        <v>Akan Habis</v>
      </c>
      <c r="Z17" s="321">
        <v>46303.0</v>
      </c>
      <c r="AA17" s="54" t="str">
        <f t="shared" si="4"/>
        <v>Akan Habis</v>
      </c>
      <c r="AB17" s="53">
        <f>VLOOKUP(B17,'DATA EXP TERA'!$C$3:$D$85,2,0)</f>
        <v>46402</v>
      </c>
      <c r="AC17" s="54" t="str">
        <f t="shared" si="5"/>
        <v>Berlaku</v>
      </c>
      <c r="AD17" s="315">
        <v>46311.0</v>
      </c>
      <c r="AE17" s="56" t="str">
        <f t="shared" si="6"/>
        <v>Akan Habis</v>
      </c>
      <c r="AF17" s="57" t="s">
        <v>166</v>
      </c>
      <c r="AG17" s="57" t="s">
        <v>167</v>
      </c>
      <c r="AH17" s="133"/>
      <c r="AI17" s="115" t="s">
        <v>315</v>
      </c>
      <c r="AJ17" s="59"/>
      <c r="AK17" s="135" t="s">
        <v>316</v>
      </c>
      <c r="AL17" s="78" t="s">
        <v>195</v>
      </c>
      <c r="AM17" s="80">
        <v>24.0</v>
      </c>
      <c r="AN17" s="62"/>
      <c r="AO17" s="82"/>
      <c r="AP17" s="82"/>
      <c r="AQ17" s="136"/>
      <c r="AR17" s="85"/>
      <c r="AS17" s="85"/>
      <c r="AT17" s="85"/>
      <c r="AU17" s="85"/>
      <c r="AV17" s="85"/>
      <c r="AW17" s="85"/>
      <c r="AX17" s="85"/>
    </row>
    <row r="18">
      <c r="A18" s="9">
        <f t="shared" si="7"/>
        <v>12</v>
      </c>
      <c r="B18" s="311" t="s">
        <v>35</v>
      </c>
      <c r="C18" s="11" t="s">
        <v>153</v>
      </c>
      <c r="D18" s="11">
        <v>24.0</v>
      </c>
      <c r="E18" s="26" t="s">
        <v>36</v>
      </c>
      <c r="F18" s="19">
        <v>2022.0</v>
      </c>
      <c r="G18" s="19">
        <v>2022.0</v>
      </c>
      <c r="H18" s="11">
        <f>A4-F18</f>
        <v>4</v>
      </c>
      <c r="I18" s="137" t="s">
        <v>317</v>
      </c>
      <c r="J18" s="19">
        <v>7960.0</v>
      </c>
      <c r="K18" s="11" t="s">
        <v>243</v>
      </c>
      <c r="L18" s="11" t="s">
        <v>160</v>
      </c>
      <c r="M18" s="11" t="s">
        <v>267</v>
      </c>
      <c r="N18" s="11">
        <v>2012.0</v>
      </c>
      <c r="O18" s="11">
        <f>A4-N18</f>
        <v>14</v>
      </c>
      <c r="P18" s="11" t="s">
        <v>162</v>
      </c>
      <c r="Q18" s="19" t="s">
        <v>163</v>
      </c>
      <c r="R18" s="115" t="s">
        <v>318</v>
      </c>
      <c r="S18" s="115" t="s">
        <v>319</v>
      </c>
      <c r="T18" s="322">
        <v>46708.0</v>
      </c>
      <c r="U18" s="54" t="str">
        <f t="shared" si="1"/>
        <v>Berlaku</v>
      </c>
      <c r="V18" s="323">
        <v>46343.0</v>
      </c>
      <c r="W18" s="54" t="str">
        <f t="shared" si="2"/>
        <v>Akan Habis</v>
      </c>
      <c r="X18" s="324">
        <v>46352.0</v>
      </c>
      <c r="Y18" s="54" t="str">
        <f t="shared" si="3"/>
        <v>Berlaku</v>
      </c>
      <c r="Z18" s="324">
        <v>46352.0</v>
      </c>
      <c r="AA18" s="54" t="str">
        <f t="shared" si="4"/>
        <v>Berlaku</v>
      </c>
      <c r="AB18" s="53">
        <f>VLOOKUP(B18,'DATA EXP TERA'!$C$3:$D$85,2,0)</f>
        <v>46339</v>
      </c>
      <c r="AC18" s="54" t="str">
        <f t="shared" si="5"/>
        <v>Akan Habis</v>
      </c>
      <c r="AD18" s="315">
        <v>46340.0</v>
      </c>
      <c r="AE18" s="56" t="str">
        <f t="shared" si="6"/>
        <v>Berlaku</v>
      </c>
      <c r="AF18" s="57" t="s">
        <v>166</v>
      </c>
      <c r="AG18" s="57" t="s">
        <v>167</v>
      </c>
      <c r="AH18" s="26"/>
      <c r="AI18" s="58"/>
      <c r="AJ18" s="138"/>
      <c r="AK18" s="76"/>
      <c r="AL18" s="78" t="s">
        <v>221</v>
      </c>
      <c r="AM18" s="70">
        <v>8.0</v>
      </c>
      <c r="AN18" s="62"/>
      <c r="AO18" s="82"/>
      <c r="AP18" s="82"/>
      <c r="AQ18" s="136"/>
      <c r="AR18" s="85"/>
      <c r="AS18" s="85"/>
      <c r="AT18" s="85"/>
      <c r="AU18" s="85"/>
      <c r="AV18" s="85"/>
      <c r="AW18" s="85"/>
      <c r="AX18" s="85"/>
    </row>
    <row r="19">
      <c r="A19" s="9">
        <f t="shared" si="7"/>
        <v>13</v>
      </c>
      <c r="B19" s="311" t="s">
        <v>38</v>
      </c>
      <c r="C19" s="9" t="s">
        <v>153</v>
      </c>
      <c r="D19" s="9">
        <v>24.0</v>
      </c>
      <c r="E19" s="29" t="s">
        <v>39</v>
      </c>
      <c r="F19" s="22">
        <v>2023.0</v>
      </c>
      <c r="G19" s="22">
        <v>2023.0</v>
      </c>
      <c r="H19" s="11">
        <f>A4-F19</f>
        <v>3</v>
      </c>
      <c r="I19" s="139" t="s">
        <v>309</v>
      </c>
      <c r="J19" s="19">
        <v>7685.0</v>
      </c>
      <c r="K19" s="11" t="s">
        <v>243</v>
      </c>
      <c r="L19" s="9" t="s">
        <v>160</v>
      </c>
      <c r="M19" s="11" t="s">
        <v>161</v>
      </c>
      <c r="N19" s="9">
        <v>2023.0</v>
      </c>
      <c r="O19" s="11">
        <f>A4-N19</f>
        <v>3</v>
      </c>
      <c r="P19" s="9" t="s">
        <v>162</v>
      </c>
      <c r="Q19" s="22" t="s">
        <v>163</v>
      </c>
      <c r="R19" s="140" t="s">
        <v>320</v>
      </c>
      <c r="S19" s="140" t="s">
        <v>321</v>
      </c>
      <c r="T19" s="325">
        <v>46913.0</v>
      </c>
      <c r="U19" s="54" t="str">
        <f t="shared" si="1"/>
        <v>Berlaku</v>
      </c>
      <c r="V19" s="324">
        <v>46547.0</v>
      </c>
      <c r="W19" s="54" t="str">
        <f t="shared" si="2"/>
        <v>Berlaku</v>
      </c>
      <c r="X19" s="323">
        <v>46258.0</v>
      </c>
      <c r="Y19" s="54" t="str">
        <f t="shared" si="3"/>
        <v>Habis</v>
      </c>
      <c r="Z19" s="323">
        <v>46258.0</v>
      </c>
      <c r="AA19" s="54" t="str">
        <f t="shared" si="4"/>
        <v>Habis</v>
      </c>
      <c r="AB19" s="53">
        <f>VLOOKUP(B19,'DATA EXP TERA'!$C$3:$D$85,2,0)</f>
        <v>46669</v>
      </c>
      <c r="AC19" s="54" t="str">
        <f t="shared" si="5"/>
        <v>Berlaku</v>
      </c>
      <c r="AD19" s="315">
        <v>46258.0</v>
      </c>
      <c r="AE19" s="56" t="str">
        <f t="shared" si="6"/>
        <v>Habis</v>
      </c>
      <c r="AF19" s="96" t="s">
        <v>322</v>
      </c>
      <c r="AG19" s="57" t="s">
        <v>167</v>
      </c>
      <c r="AH19" s="141"/>
      <c r="AI19" s="115" t="s">
        <v>323</v>
      </c>
      <c r="AJ19" s="138"/>
      <c r="AK19" s="76"/>
      <c r="AL19" s="142" t="s">
        <v>237</v>
      </c>
      <c r="AM19" s="80">
        <v>5.0</v>
      </c>
      <c r="AN19" s="62"/>
      <c r="AO19" s="121"/>
      <c r="AP19" s="121"/>
      <c r="AQ19" s="143"/>
      <c r="AR19" s="123"/>
      <c r="AS19" s="123"/>
      <c r="AT19" s="123"/>
      <c r="AU19" s="123"/>
      <c r="AV19" s="123"/>
      <c r="AW19" s="123"/>
      <c r="AX19" s="123"/>
    </row>
    <row r="20">
      <c r="A20" s="9">
        <f t="shared" si="7"/>
        <v>14</v>
      </c>
      <c r="B20" s="311" t="s">
        <v>41</v>
      </c>
      <c r="C20" s="22" t="s">
        <v>324</v>
      </c>
      <c r="D20" s="22">
        <v>8.0</v>
      </c>
      <c r="E20" s="29" t="s">
        <v>39</v>
      </c>
      <c r="F20" s="22">
        <v>2022.0</v>
      </c>
      <c r="G20" s="22">
        <v>2023.0</v>
      </c>
      <c r="H20" s="11">
        <f>A4-F20</f>
        <v>4</v>
      </c>
      <c r="I20" s="139" t="s">
        <v>325</v>
      </c>
      <c r="J20" s="22">
        <v>7684.0</v>
      </c>
      <c r="K20" s="11" t="s">
        <v>243</v>
      </c>
      <c r="L20" s="9" t="s">
        <v>160</v>
      </c>
      <c r="M20" s="11" t="s">
        <v>161</v>
      </c>
      <c r="N20" s="9">
        <v>2023.0</v>
      </c>
      <c r="O20" s="11">
        <f>A4-N20</f>
        <v>3</v>
      </c>
      <c r="P20" s="22" t="s">
        <v>245</v>
      </c>
      <c r="Q20" s="22" t="s">
        <v>163</v>
      </c>
      <c r="R20" s="140" t="s">
        <v>326</v>
      </c>
      <c r="S20" s="140" t="s">
        <v>327</v>
      </c>
      <c r="T20" s="326">
        <v>46981.0</v>
      </c>
      <c r="U20" s="54" t="str">
        <f t="shared" si="1"/>
        <v>Berlaku</v>
      </c>
      <c r="V20" s="323">
        <v>46250.0</v>
      </c>
      <c r="W20" s="54" t="str">
        <f t="shared" si="2"/>
        <v>Habis</v>
      </c>
      <c r="X20" s="323">
        <v>46258.0</v>
      </c>
      <c r="Y20" s="54" t="str">
        <f t="shared" si="3"/>
        <v>Habis</v>
      </c>
      <c r="Z20" s="323">
        <v>46258.0</v>
      </c>
      <c r="AA20" s="54" t="str">
        <f t="shared" si="4"/>
        <v>Habis</v>
      </c>
      <c r="AB20" s="53">
        <f>VLOOKUP(B20,'DATA EXP TERA'!$C$3:$D$85,2,0)</f>
        <v>46684</v>
      </c>
      <c r="AC20" s="54" t="str">
        <f t="shared" si="5"/>
        <v>Berlaku</v>
      </c>
      <c r="AD20" s="315">
        <v>46340.0</v>
      </c>
      <c r="AE20" s="56" t="str">
        <f t="shared" si="6"/>
        <v>Berlaku</v>
      </c>
      <c r="AF20" s="96" t="s">
        <v>322</v>
      </c>
      <c r="AG20" s="57" t="s">
        <v>167</v>
      </c>
      <c r="AH20" s="141"/>
      <c r="AI20" s="115" t="s">
        <v>328</v>
      </c>
      <c r="AJ20" s="138"/>
      <c r="AK20" s="129"/>
      <c r="AL20" s="131" t="s">
        <v>304</v>
      </c>
      <c r="AM20" s="61"/>
      <c r="AN20" s="61"/>
      <c r="AO20" s="144">
        <v>0.0</v>
      </c>
      <c r="AP20" s="144">
        <v>0.0</v>
      </c>
      <c r="AQ20" s="144">
        <v>0.0</v>
      </c>
      <c r="AR20" s="144">
        <v>0.0</v>
      </c>
      <c r="AS20" s="144">
        <v>0.0</v>
      </c>
      <c r="AT20" s="144">
        <v>0.0</v>
      </c>
      <c r="AU20" s="144">
        <v>0.0</v>
      </c>
      <c r="AV20" s="144">
        <v>0.0</v>
      </c>
      <c r="AW20" s="144">
        <v>0.0</v>
      </c>
      <c r="AX20" s="144">
        <v>0.0</v>
      </c>
    </row>
    <row r="21">
      <c r="A21" s="9">
        <f t="shared" si="7"/>
        <v>15</v>
      </c>
      <c r="B21" s="311" t="s">
        <v>44</v>
      </c>
      <c r="C21" s="22" t="s">
        <v>240</v>
      </c>
      <c r="D21" s="22">
        <v>16.0</v>
      </c>
      <c r="E21" s="29" t="s">
        <v>39</v>
      </c>
      <c r="F21" s="22">
        <v>2018.0</v>
      </c>
      <c r="G21" s="22">
        <v>2018.0</v>
      </c>
      <c r="H21" s="11">
        <f>A4-F21</f>
        <v>8</v>
      </c>
      <c r="I21" s="139" t="s">
        <v>329</v>
      </c>
      <c r="J21" s="22">
        <v>7698.0</v>
      </c>
      <c r="K21" s="11" t="s">
        <v>159</v>
      </c>
      <c r="L21" s="9" t="s">
        <v>316</v>
      </c>
      <c r="M21" s="11" t="s">
        <v>161</v>
      </c>
      <c r="N21" s="9">
        <v>2018.0</v>
      </c>
      <c r="O21" s="11">
        <f>A4-N21</f>
        <v>8</v>
      </c>
      <c r="P21" s="22" t="s">
        <v>245</v>
      </c>
      <c r="Q21" s="22" t="s">
        <v>199</v>
      </c>
      <c r="R21" s="140" t="s">
        <v>330</v>
      </c>
      <c r="S21" s="140" t="s">
        <v>331</v>
      </c>
      <c r="T21" s="325">
        <v>46877.0</v>
      </c>
      <c r="U21" s="54" t="str">
        <f t="shared" si="1"/>
        <v>Berlaku</v>
      </c>
      <c r="V21" s="324">
        <v>46511.0</v>
      </c>
      <c r="W21" s="54" t="str">
        <f t="shared" si="2"/>
        <v>Berlaku</v>
      </c>
      <c r="X21" s="324">
        <v>46259.0</v>
      </c>
      <c r="Y21" s="54" t="str">
        <f t="shared" si="3"/>
        <v>Habis</v>
      </c>
      <c r="Z21" s="324">
        <v>46259.0</v>
      </c>
      <c r="AA21" s="54" t="str">
        <f t="shared" si="4"/>
        <v>Habis</v>
      </c>
      <c r="AB21" s="53">
        <f>VLOOKUP(B21,'DATA EXP TERA'!$C$3:$D$85,2,0)</f>
        <v>46234</v>
      </c>
      <c r="AC21" s="54" t="str">
        <f t="shared" si="5"/>
        <v>Habis</v>
      </c>
      <c r="AD21" s="315">
        <v>46340.0</v>
      </c>
      <c r="AE21" s="56" t="str">
        <f t="shared" si="6"/>
        <v>Berlaku</v>
      </c>
      <c r="AF21" s="96" t="s">
        <v>322</v>
      </c>
      <c r="AG21" s="57" t="s">
        <v>167</v>
      </c>
      <c r="AH21" s="145"/>
      <c r="AI21" s="58"/>
      <c r="AJ21" s="146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</row>
    <row r="22">
      <c r="A22" s="9">
        <f t="shared" si="7"/>
        <v>16</v>
      </c>
      <c r="B22" s="311" t="s">
        <v>46</v>
      </c>
      <c r="C22" s="11" t="s">
        <v>153</v>
      </c>
      <c r="D22" s="11">
        <v>24.0</v>
      </c>
      <c r="E22" s="14" t="s">
        <v>47</v>
      </c>
      <c r="F22" s="11">
        <v>2022.0</v>
      </c>
      <c r="G22" s="11">
        <v>2022.0</v>
      </c>
      <c r="H22" s="11">
        <f>A4-F22</f>
        <v>4</v>
      </c>
      <c r="I22" s="51" t="s">
        <v>309</v>
      </c>
      <c r="J22" s="11">
        <v>7684.0</v>
      </c>
      <c r="K22" s="11" t="s">
        <v>243</v>
      </c>
      <c r="L22" s="11" t="s">
        <v>160</v>
      </c>
      <c r="M22" s="11" t="s">
        <v>332</v>
      </c>
      <c r="N22" s="11">
        <v>2012.0</v>
      </c>
      <c r="O22" s="11">
        <f>A4-N22</f>
        <v>14</v>
      </c>
      <c r="P22" s="11" t="s">
        <v>162</v>
      </c>
      <c r="Q22" s="11" t="s">
        <v>163</v>
      </c>
      <c r="R22" s="52" t="s">
        <v>333</v>
      </c>
      <c r="S22" s="52" t="s">
        <v>334</v>
      </c>
      <c r="T22" s="321">
        <v>46672.0</v>
      </c>
      <c r="U22" s="54" t="str">
        <f t="shared" si="1"/>
        <v>Berlaku</v>
      </c>
      <c r="V22" s="317">
        <v>46307.0</v>
      </c>
      <c r="W22" s="54" t="str">
        <f t="shared" si="2"/>
        <v>Akan Habis</v>
      </c>
      <c r="X22" s="320">
        <v>46315.0</v>
      </c>
      <c r="Y22" s="54" t="str">
        <f t="shared" si="3"/>
        <v>Akan Habis</v>
      </c>
      <c r="Z22" s="320">
        <v>46315.0</v>
      </c>
      <c r="AA22" s="54" t="str">
        <f t="shared" si="4"/>
        <v>Akan Habis</v>
      </c>
      <c r="AB22" s="53">
        <f>VLOOKUP(B22,'DATA EXP TERA'!$C$3:$D$85,2,0)</f>
        <v>46437</v>
      </c>
      <c r="AC22" s="54" t="str">
        <f t="shared" si="5"/>
        <v>Berlaku</v>
      </c>
      <c r="AD22" s="315">
        <v>46340.0</v>
      </c>
      <c r="AE22" s="56" t="str">
        <f t="shared" si="6"/>
        <v>Berlaku</v>
      </c>
      <c r="AF22" s="57" t="s">
        <v>166</v>
      </c>
      <c r="AG22" s="57" t="s">
        <v>167</v>
      </c>
      <c r="AH22" s="147"/>
      <c r="AI22" s="115" t="s">
        <v>335</v>
      </c>
      <c r="AJ22" s="146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</row>
    <row r="23">
      <c r="A23" s="9">
        <f t="shared" si="7"/>
        <v>17</v>
      </c>
      <c r="B23" s="311" t="s">
        <v>51</v>
      </c>
      <c r="C23" s="11" t="s">
        <v>153</v>
      </c>
      <c r="D23" s="11">
        <v>24.0</v>
      </c>
      <c r="E23" s="14" t="s">
        <v>47</v>
      </c>
      <c r="F23" s="11">
        <v>2023.0</v>
      </c>
      <c r="G23" s="11">
        <v>2023.0</v>
      </c>
      <c r="H23" s="11">
        <f>A4-F23</f>
        <v>3</v>
      </c>
      <c r="I23" s="117" t="s">
        <v>336</v>
      </c>
      <c r="J23" s="11">
        <v>6374.0</v>
      </c>
      <c r="K23" s="11" t="s">
        <v>266</v>
      </c>
      <c r="L23" s="11" t="s">
        <v>160</v>
      </c>
      <c r="M23" s="11" t="s">
        <v>332</v>
      </c>
      <c r="N23" s="11">
        <v>2012.0</v>
      </c>
      <c r="O23" s="11">
        <f>A4-N23</f>
        <v>14</v>
      </c>
      <c r="P23" s="11" t="s">
        <v>162</v>
      </c>
      <c r="Q23" s="11" t="s">
        <v>270</v>
      </c>
      <c r="R23" s="52" t="s">
        <v>337</v>
      </c>
      <c r="S23" s="52" t="s">
        <v>338</v>
      </c>
      <c r="T23" s="318">
        <v>46875.0</v>
      </c>
      <c r="U23" s="54" t="str">
        <f t="shared" si="1"/>
        <v>Berlaku</v>
      </c>
      <c r="V23" s="320">
        <v>46509.0</v>
      </c>
      <c r="W23" s="54" t="str">
        <f t="shared" si="2"/>
        <v>Berlaku</v>
      </c>
      <c r="X23" s="323">
        <v>46185.0</v>
      </c>
      <c r="Y23" s="54" t="str">
        <f t="shared" si="3"/>
        <v>Habis</v>
      </c>
      <c r="Z23" s="53">
        <v>46189.0</v>
      </c>
      <c r="AA23" s="54" t="str">
        <f t="shared" si="4"/>
        <v>Habis</v>
      </c>
      <c r="AB23" s="53">
        <f>VLOOKUP(B23,'DATA EXP TERA'!$C$3:$D$85,2,0)</f>
        <v>46586</v>
      </c>
      <c r="AC23" s="54" t="str">
        <f t="shared" si="5"/>
        <v>Berlaku</v>
      </c>
      <c r="AD23" s="315">
        <v>46340.0</v>
      </c>
      <c r="AE23" s="56" t="str">
        <f t="shared" si="6"/>
        <v>Berlaku</v>
      </c>
      <c r="AF23" s="57" t="s">
        <v>166</v>
      </c>
      <c r="AG23" s="57" t="s">
        <v>167</v>
      </c>
      <c r="AH23" s="14"/>
      <c r="AI23" s="115" t="s">
        <v>339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</row>
    <row r="24">
      <c r="A24" s="9">
        <f t="shared" si="7"/>
        <v>18</v>
      </c>
      <c r="B24" s="311" t="s">
        <v>53</v>
      </c>
      <c r="C24" s="11" t="s">
        <v>153</v>
      </c>
      <c r="D24" s="11">
        <v>24.0</v>
      </c>
      <c r="E24" s="14" t="s">
        <v>47</v>
      </c>
      <c r="F24" s="11">
        <v>2023.0</v>
      </c>
      <c r="G24" s="11">
        <v>2023.0</v>
      </c>
      <c r="H24" s="11">
        <f>A4-F24</f>
        <v>3</v>
      </c>
      <c r="I24" s="117" t="s">
        <v>336</v>
      </c>
      <c r="J24" s="11">
        <v>6374.0</v>
      </c>
      <c r="K24" s="11" t="s">
        <v>266</v>
      </c>
      <c r="L24" s="11" t="s">
        <v>160</v>
      </c>
      <c r="M24" s="11" t="s">
        <v>161</v>
      </c>
      <c r="N24" s="11">
        <v>2013.0</v>
      </c>
      <c r="O24" s="11">
        <f>A4-N24</f>
        <v>13</v>
      </c>
      <c r="P24" s="11" t="s">
        <v>162</v>
      </c>
      <c r="Q24" s="11" t="s">
        <v>270</v>
      </c>
      <c r="R24" s="52" t="s">
        <v>340</v>
      </c>
      <c r="S24" s="52" t="s">
        <v>341</v>
      </c>
      <c r="T24" s="321">
        <v>47114.0</v>
      </c>
      <c r="U24" s="54" t="str">
        <f t="shared" si="1"/>
        <v>Berlaku</v>
      </c>
      <c r="V24" s="317">
        <v>46383.0</v>
      </c>
      <c r="W24" s="54" t="str">
        <f t="shared" si="2"/>
        <v>Berlaku</v>
      </c>
      <c r="X24" s="324">
        <v>46331.0</v>
      </c>
      <c r="Y24" s="54" t="str">
        <f t="shared" si="3"/>
        <v>Akan Habis</v>
      </c>
      <c r="Z24" s="324">
        <v>46331.0</v>
      </c>
      <c r="AA24" s="54" t="str">
        <f t="shared" si="4"/>
        <v>Berlaku</v>
      </c>
      <c r="AB24" s="53">
        <v>46884.0</v>
      </c>
      <c r="AC24" s="54" t="str">
        <f t="shared" si="5"/>
        <v>Berlaku</v>
      </c>
      <c r="AD24" s="315">
        <v>46360.0</v>
      </c>
      <c r="AE24" s="56" t="str">
        <f t="shared" si="6"/>
        <v>Berlaku</v>
      </c>
      <c r="AF24" s="57" t="s">
        <v>166</v>
      </c>
      <c r="AG24" s="57" t="s">
        <v>167</v>
      </c>
      <c r="AH24" s="14"/>
      <c r="AI24" s="115" t="s">
        <v>342</v>
      </c>
      <c r="AJ24" s="59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</row>
    <row r="25">
      <c r="A25" s="9">
        <f t="shared" si="7"/>
        <v>19</v>
      </c>
      <c r="B25" s="311" t="s">
        <v>54</v>
      </c>
      <c r="C25" s="11" t="s">
        <v>153</v>
      </c>
      <c r="D25" s="11">
        <v>24.0</v>
      </c>
      <c r="E25" s="14" t="s">
        <v>47</v>
      </c>
      <c r="F25" s="11">
        <v>2023.0</v>
      </c>
      <c r="G25" s="11">
        <v>2023.0</v>
      </c>
      <c r="H25" s="11">
        <f>A4-F25</f>
        <v>3</v>
      </c>
      <c r="I25" s="117" t="s">
        <v>336</v>
      </c>
      <c r="J25" s="11">
        <v>6374.0</v>
      </c>
      <c r="K25" s="11" t="s">
        <v>266</v>
      </c>
      <c r="L25" s="11" t="s">
        <v>160</v>
      </c>
      <c r="M25" s="11" t="s">
        <v>161</v>
      </c>
      <c r="N25" s="11">
        <v>2013.0</v>
      </c>
      <c r="O25" s="11">
        <f>A4-N25</f>
        <v>13</v>
      </c>
      <c r="P25" s="11" t="s">
        <v>162</v>
      </c>
      <c r="Q25" s="11" t="s">
        <v>270</v>
      </c>
      <c r="R25" s="52" t="s">
        <v>343</v>
      </c>
      <c r="S25" s="52" t="s">
        <v>344</v>
      </c>
      <c r="T25" s="321">
        <v>47114.0</v>
      </c>
      <c r="U25" s="54" t="str">
        <f t="shared" si="1"/>
        <v>Berlaku</v>
      </c>
      <c r="V25" s="317">
        <v>46383.0</v>
      </c>
      <c r="W25" s="54" t="str">
        <f t="shared" si="2"/>
        <v>Berlaku</v>
      </c>
      <c r="X25" s="324">
        <v>46331.0</v>
      </c>
      <c r="Y25" s="54" t="str">
        <f t="shared" si="3"/>
        <v>Akan Habis</v>
      </c>
      <c r="Z25" s="324">
        <v>46331.0</v>
      </c>
      <c r="AA25" s="54" t="str">
        <f t="shared" si="4"/>
        <v>Berlaku</v>
      </c>
      <c r="AB25" s="53">
        <f>VLOOKUP(B25,'DATA EXP TERA'!$C$3:$D$85,2,0)</f>
        <v>46180</v>
      </c>
      <c r="AC25" s="54" t="str">
        <f t="shared" si="5"/>
        <v>Habis</v>
      </c>
      <c r="AD25" s="315">
        <v>46360.0</v>
      </c>
      <c r="AE25" s="56" t="str">
        <f t="shared" si="6"/>
        <v>Berlaku</v>
      </c>
      <c r="AF25" s="57" t="s">
        <v>166</v>
      </c>
      <c r="AG25" s="57" t="s">
        <v>167</v>
      </c>
      <c r="AH25" s="14"/>
      <c r="AI25" s="115" t="s">
        <v>345</v>
      </c>
      <c r="AJ25" s="59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6"/>
      <c r="AW25" s="146"/>
      <c r="AX25" s="146"/>
    </row>
    <row r="26">
      <c r="A26" s="9">
        <f t="shared" si="7"/>
        <v>20</v>
      </c>
      <c r="B26" s="311" t="s">
        <v>55</v>
      </c>
      <c r="C26" s="9" t="s">
        <v>153</v>
      </c>
      <c r="D26" s="9">
        <v>24.0</v>
      </c>
      <c r="E26" s="24" t="s">
        <v>47</v>
      </c>
      <c r="F26" s="9">
        <v>2024.0</v>
      </c>
      <c r="G26" s="9">
        <v>2024.0</v>
      </c>
      <c r="H26" s="11">
        <f>A4-F26</f>
        <v>2</v>
      </c>
      <c r="I26" s="117" t="s">
        <v>336</v>
      </c>
      <c r="J26" s="9">
        <v>6374.0</v>
      </c>
      <c r="K26" s="11" t="s">
        <v>266</v>
      </c>
      <c r="L26" s="9" t="s">
        <v>160</v>
      </c>
      <c r="M26" s="11" t="s">
        <v>161</v>
      </c>
      <c r="N26" s="9">
        <v>2014.0</v>
      </c>
      <c r="O26" s="11">
        <f>A4-N26</f>
        <v>12</v>
      </c>
      <c r="P26" s="9" t="s">
        <v>162</v>
      </c>
      <c r="Q26" s="9" t="s">
        <v>270</v>
      </c>
      <c r="R26" s="118" t="s">
        <v>346</v>
      </c>
      <c r="S26" s="118" t="s">
        <v>347</v>
      </c>
      <c r="T26" s="319">
        <v>47429.0</v>
      </c>
      <c r="U26" s="54" t="str">
        <f t="shared" si="1"/>
        <v>Berlaku</v>
      </c>
      <c r="V26" s="320">
        <v>46333.0</v>
      </c>
      <c r="W26" s="54" t="str">
        <f t="shared" si="2"/>
        <v>Akan Habis</v>
      </c>
      <c r="X26" s="324">
        <v>46331.0</v>
      </c>
      <c r="Y26" s="54" t="str">
        <f t="shared" si="3"/>
        <v>Akan Habis</v>
      </c>
      <c r="Z26" s="324">
        <v>46331.0</v>
      </c>
      <c r="AA26" s="54" t="str">
        <f t="shared" si="4"/>
        <v>Berlaku</v>
      </c>
      <c r="AB26" s="53">
        <f>VLOOKUP(B26,'DATA EXP TERA'!$C$3:$D$85,2,0)</f>
        <v>46351</v>
      </c>
      <c r="AC26" s="54" t="str">
        <f t="shared" si="5"/>
        <v>Akan Habis</v>
      </c>
      <c r="AD26" s="315">
        <v>46340.0</v>
      </c>
      <c r="AE26" s="56" t="str">
        <f t="shared" si="6"/>
        <v>Berlaku</v>
      </c>
      <c r="AF26" s="57" t="s">
        <v>166</v>
      </c>
      <c r="AG26" s="57" t="s">
        <v>167</v>
      </c>
      <c r="AH26" s="24"/>
      <c r="AI26" s="115" t="s">
        <v>348</v>
      </c>
      <c r="AJ26" s="59"/>
      <c r="AK26" s="59"/>
      <c r="AL26" s="59"/>
      <c r="AM26" s="59"/>
      <c r="AN26" s="59"/>
      <c r="AO26" s="59"/>
      <c r="AP26" s="59"/>
      <c r="AQ26" s="148"/>
      <c r="AR26" s="148"/>
      <c r="AS26" s="59"/>
      <c r="AT26" s="59"/>
      <c r="AU26" s="59"/>
      <c r="AV26" s="59"/>
      <c r="AW26" s="59"/>
      <c r="AX26" s="59"/>
    </row>
    <row r="27">
      <c r="A27" s="9">
        <f t="shared" si="7"/>
        <v>21</v>
      </c>
      <c r="B27" s="311" t="s">
        <v>56</v>
      </c>
      <c r="C27" s="9" t="s">
        <v>153</v>
      </c>
      <c r="D27" s="9">
        <v>24.0</v>
      </c>
      <c r="E27" s="24" t="s">
        <v>47</v>
      </c>
      <c r="F27" s="9">
        <v>2024.0</v>
      </c>
      <c r="G27" s="9">
        <v>2024.0</v>
      </c>
      <c r="H27" s="11">
        <f>A4-F27</f>
        <v>2</v>
      </c>
      <c r="I27" s="117" t="s">
        <v>336</v>
      </c>
      <c r="J27" s="9">
        <v>6374.0</v>
      </c>
      <c r="K27" s="11" t="s">
        <v>266</v>
      </c>
      <c r="L27" s="9" t="s">
        <v>160</v>
      </c>
      <c r="M27" s="11" t="s">
        <v>161</v>
      </c>
      <c r="N27" s="9">
        <v>2014.0</v>
      </c>
      <c r="O27" s="11">
        <f>A4-N27</f>
        <v>12</v>
      </c>
      <c r="P27" s="9" t="s">
        <v>162</v>
      </c>
      <c r="Q27" s="9" t="s">
        <v>270</v>
      </c>
      <c r="R27" s="118" t="s">
        <v>349</v>
      </c>
      <c r="S27" s="118" t="s">
        <v>350</v>
      </c>
      <c r="T27" s="53">
        <v>47475.0</v>
      </c>
      <c r="U27" s="54" t="str">
        <f t="shared" si="1"/>
        <v>Berlaku</v>
      </c>
      <c r="V27" s="317">
        <v>46379.0</v>
      </c>
      <c r="W27" s="54" t="str">
        <f t="shared" si="2"/>
        <v>Berlaku</v>
      </c>
      <c r="X27" s="323">
        <v>46183.0</v>
      </c>
      <c r="Y27" s="54" t="str">
        <f t="shared" si="3"/>
        <v>Habis</v>
      </c>
      <c r="Z27" s="53">
        <v>46183.0</v>
      </c>
      <c r="AA27" s="54" t="str">
        <f t="shared" si="4"/>
        <v>Habis</v>
      </c>
      <c r="AB27" s="53">
        <f>VLOOKUP(B27,'DATA EXP TERA'!$C$3:$D$85,2,0)</f>
        <v>46429</v>
      </c>
      <c r="AC27" s="54" t="str">
        <f t="shared" si="5"/>
        <v>Berlaku</v>
      </c>
      <c r="AD27" s="315">
        <v>46340.0</v>
      </c>
      <c r="AE27" s="56" t="str">
        <f t="shared" si="6"/>
        <v>Berlaku</v>
      </c>
      <c r="AF27" s="57" t="s">
        <v>166</v>
      </c>
      <c r="AG27" s="57" t="s">
        <v>167</v>
      </c>
      <c r="AH27" s="24"/>
      <c r="AI27" s="115" t="s">
        <v>355</v>
      </c>
      <c r="AJ27" s="59"/>
      <c r="AK27" s="59"/>
      <c r="AL27" s="59"/>
      <c r="AM27" s="59"/>
      <c r="AN27" s="59"/>
      <c r="AO27" s="59"/>
      <c r="AP27" s="59"/>
      <c r="AQ27" s="148"/>
      <c r="AR27" s="148"/>
      <c r="AS27" s="59"/>
      <c r="AT27" s="59"/>
      <c r="AU27" s="59"/>
      <c r="AV27" s="59"/>
      <c r="AW27" s="59"/>
      <c r="AX27" s="59"/>
    </row>
    <row r="28">
      <c r="A28" s="9">
        <f t="shared" si="7"/>
        <v>22</v>
      </c>
      <c r="B28" s="311" t="s">
        <v>57</v>
      </c>
      <c r="C28" s="9" t="s">
        <v>153</v>
      </c>
      <c r="D28" s="9">
        <v>24.0</v>
      </c>
      <c r="E28" s="24" t="s">
        <v>47</v>
      </c>
      <c r="F28" s="9">
        <v>2024.0</v>
      </c>
      <c r="G28" s="9">
        <v>2024.0</v>
      </c>
      <c r="H28" s="11">
        <f>A4-F28</f>
        <v>2</v>
      </c>
      <c r="I28" s="117" t="s">
        <v>336</v>
      </c>
      <c r="J28" s="9">
        <v>6374.0</v>
      </c>
      <c r="K28" s="11" t="s">
        <v>266</v>
      </c>
      <c r="L28" s="9" t="s">
        <v>160</v>
      </c>
      <c r="M28" s="11" t="s">
        <v>161</v>
      </c>
      <c r="N28" s="9">
        <v>2014.0</v>
      </c>
      <c r="O28" s="11">
        <f>A4-N28</f>
        <v>12</v>
      </c>
      <c r="P28" s="9" t="s">
        <v>162</v>
      </c>
      <c r="Q28" s="9" t="s">
        <v>270</v>
      </c>
      <c r="R28" s="118" t="s">
        <v>356</v>
      </c>
      <c r="S28" s="39" t="s">
        <v>357</v>
      </c>
      <c r="T28" s="53">
        <v>47475.0</v>
      </c>
      <c r="U28" s="54" t="str">
        <f t="shared" si="1"/>
        <v>Berlaku</v>
      </c>
      <c r="V28" s="317">
        <v>46379.0</v>
      </c>
      <c r="W28" s="54" t="str">
        <f t="shared" si="2"/>
        <v>Berlaku</v>
      </c>
      <c r="X28" s="323">
        <v>46183.0</v>
      </c>
      <c r="Y28" s="54" t="str">
        <f t="shared" si="3"/>
        <v>Habis</v>
      </c>
      <c r="Z28" s="53">
        <v>46183.0</v>
      </c>
      <c r="AA28" s="54" t="str">
        <f t="shared" si="4"/>
        <v>Habis</v>
      </c>
      <c r="AB28" s="53">
        <f>VLOOKUP(B28,'DATA EXP TERA'!$C$3:$D$85,2,0)</f>
        <v>46430</v>
      </c>
      <c r="AC28" s="54" t="str">
        <f t="shared" si="5"/>
        <v>Berlaku</v>
      </c>
      <c r="AD28" s="315">
        <v>46340.0</v>
      </c>
      <c r="AE28" s="56" t="str">
        <f t="shared" si="6"/>
        <v>Berlaku</v>
      </c>
      <c r="AF28" s="57" t="s">
        <v>166</v>
      </c>
      <c r="AG28" s="57" t="s">
        <v>167</v>
      </c>
      <c r="AH28" s="24"/>
      <c r="AI28" s="115" t="s">
        <v>360</v>
      </c>
      <c r="AJ28" s="59"/>
      <c r="AK28" s="59"/>
      <c r="AL28" s="59"/>
      <c r="AM28" s="59"/>
      <c r="AN28" s="59"/>
      <c r="AO28" s="59"/>
      <c r="AP28" s="59"/>
      <c r="AQ28" s="148"/>
      <c r="AR28" s="148"/>
      <c r="AS28" s="59"/>
      <c r="AT28" s="59"/>
      <c r="AU28" s="59"/>
      <c r="AV28" s="59"/>
      <c r="AW28" s="59"/>
      <c r="AX28" s="59"/>
    </row>
    <row r="29">
      <c r="A29" s="9">
        <f t="shared" si="7"/>
        <v>23</v>
      </c>
      <c r="B29" s="311" t="s">
        <v>58</v>
      </c>
      <c r="C29" s="9" t="s">
        <v>153</v>
      </c>
      <c r="D29" s="9">
        <v>24.0</v>
      </c>
      <c r="E29" s="24" t="s">
        <v>47</v>
      </c>
      <c r="F29" s="9">
        <v>2024.0</v>
      </c>
      <c r="G29" s="9">
        <v>2024.0</v>
      </c>
      <c r="H29" s="11">
        <f>A4-F29</f>
        <v>2</v>
      </c>
      <c r="I29" s="117" t="s">
        <v>336</v>
      </c>
      <c r="J29" s="9">
        <v>6374.0</v>
      </c>
      <c r="K29" s="11" t="s">
        <v>266</v>
      </c>
      <c r="L29" s="9" t="s">
        <v>160</v>
      </c>
      <c r="M29" s="11" t="s">
        <v>161</v>
      </c>
      <c r="N29" s="9">
        <v>2014.0</v>
      </c>
      <c r="O29" s="11">
        <f>A4-N29</f>
        <v>12</v>
      </c>
      <c r="P29" s="9" t="s">
        <v>162</v>
      </c>
      <c r="Q29" s="9" t="s">
        <v>270</v>
      </c>
      <c r="R29" s="118" t="s">
        <v>361</v>
      </c>
      <c r="S29" s="118" t="s">
        <v>362</v>
      </c>
      <c r="T29" s="53">
        <v>47475.0</v>
      </c>
      <c r="U29" s="54" t="str">
        <f t="shared" si="1"/>
        <v>Berlaku</v>
      </c>
      <c r="V29" s="317">
        <v>46379.0</v>
      </c>
      <c r="W29" s="54" t="str">
        <f t="shared" si="2"/>
        <v>Berlaku</v>
      </c>
      <c r="X29" s="324">
        <v>46332.0</v>
      </c>
      <c r="Y29" s="54" t="str">
        <f t="shared" si="3"/>
        <v>Akan Habis</v>
      </c>
      <c r="Z29" s="324">
        <v>46332.0</v>
      </c>
      <c r="AA29" s="54" t="str">
        <f t="shared" si="4"/>
        <v>Berlaku</v>
      </c>
      <c r="AB29" s="53">
        <f>VLOOKUP(B29,'DATA EXP TERA'!$C$3:$D$85,2,0)</f>
        <v>46452</v>
      </c>
      <c r="AC29" s="54" t="str">
        <f t="shared" si="5"/>
        <v>Berlaku</v>
      </c>
      <c r="AD29" s="315">
        <v>46340.0</v>
      </c>
      <c r="AE29" s="56" t="str">
        <f t="shared" si="6"/>
        <v>Berlaku</v>
      </c>
      <c r="AF29" s="57" t="s">
        <v>166</v>
      </c>
      <c r="AG29" s="57" t="s">
        <v>167</v>
      </c>
      <c r="AH29" s="24"/>
      <c r="AI29" s="115" t="s">
        <v>363</v>
      </c>
      <c r="AJ29" s="59"/>
      <c r="AK29" s="59"/>
      <c r="AL29" s="59"/>
      <c r="AM29" s="59"/>
      <c r="AN29" s="59"/>
      <c r="AO29" s="59"/>
      <c r="AP29" s="59"/>
      <c r="AQ29" s="148"/>
      <c r="AR29" s="148"/>
      <c r="AS29" s="59"/>
      <c r="AT29" s="59"/>
      <c r="AU29" s="59"/>
      <c r="AV29" s="59"/>
      <c r="AW29" s="59"/>
      <c r="AX29" s="59"/>
    </row>
    <row r="30">
      <c r="A30" s="9">
        <f t="shared" si="7"/>
        <v>24</v>
      </c>
      <c r="B30" s="118" t="s">
        <v>59</v>
      </c>
      <c r="C30" s="9" t="s">
        <v>153</v>
      </c>
      <c r="D30" s="9">
        <v>24.0</v>
      </c>
      <c r="E30" s="24" t="s">
        <v>47</v>
      </c>
      <c r="F30" s="9">
        <v>2025.0</v>
      </c>
      <c r="G30" s="9">
        <v>2025.0</v>
      </c>
      <c r="H30" s="9">
        <f>A4-F30</f>
        <v>1</v>
      </c>
      <c r="I30" s="117" t="s">
        <v>336</v>
      </c>
      <c r="J30" s="9">
        <v>6374.0</v>
      </c>
      <c r="K30" s="11" t="s">
        <v>266</v>
      </c>
      <c r="L30" s="9" t="s">
        <v>160</v>
      </c>
      <c r="M30" s="9" t="s">
        <v>161</v>
      </c>
      <c r="N30" s="9">
        <v>2015.0</v>
      </c>
      <c r="O30" s="9">
        <f>A4-N30</f>
        <v>11</v>
      </c>
      <c r="P30" s="9" t="s">
        <v>162</v>
      </c>
      <c r="Q30" s="9" t="s">
        <v>270</v>
      </c>
      <c r="R30" s="118" t="s">
        <v>364</v>
      </c>
      <c r="S30" s="118" t="s">
        <v>365</v>
      </c>
      <c r="T30" s="53">
        <v>47833.0</v>
      </c>
      <c r="U30" s="153" t="str">
        <f t="shared" si="1"/>
        <v>Berlaku</v>
      </c>
      <c r="V30" s="53">
        <v>46372.0</v>
      </c>
      <c r="W30" s="54" t="str">
        <f t="shared" si="2"/>
        <v>Berlaku</v>
      </c>
      <c r="X30" s="325">
        <v>46332.0</v>
      </c>
      <c r="Y30" s="54" t="str">
        <f t="shared" si="3"/>
        <v>Akan Habis</v>
      </c>
      <c r="Z30" s="325">
        <v>46332.0</v>
      </c>
      <c r="AA30" s="153" t="str">
        <f t="shared" si="4"/>
        <v>Berlaku</v>
      </c>
      <c r="AB30" s="53">
        <v>46814.0</v>
      </c>
      <c r="AC30" s="153" t="str">
        <f t="shared" si="5"/>
        <v>Berlaku</v>
      </c>
      <c r="AD30" s="315">
        <v>46278.0</v>
      </c>
      <c r="AE30" s="154" t="str">
        <f t="shared" si="6"/>
        <v>Habis</v>
      </c>
      <c r="AF30" s="155" t="s">
        <v>166</v>
      </c>
      <c r="AG30" s="155" t="s">
        <v>167</v>
      </c>
      <c r="AH30" s="156"/>
      <c r="AI30" s="29" t="s">
        <v>366</v>
      </c>
      <c r="AJ30" s="119"/>
      <c r="AK30" s="119"/>
      <c r="AL30" s="119"/>
      <c r="AM30" s="119"/>
      <c r="AN30" s="119"/>
      <c r="AO30" s="119"/>
      <c r="AP30" s="119"/>
      <c r="AQ30" s="157"/>
      <c r="AR30" s="157"/>
      <c r="AS30" s="119"/>
      <c r="AT30" s="119"/>
      <c r="AU30" s="119"/>
      <c r="AV30" s="119"/>
      <c r="AW30" s="119"/>
      <c r="AX30" s="119"/>
    </row>
    <row r="31">
      <c r="A31" s="9">
        <f t="shared" si="7"/>
        <v>25</v>
      </c>
      <c r="B31" s="118" t="s">
        <v>62</v>
      </c>
      <c r="C31" s="9" t="s">
        <v>153</v>
      </c>
      <c r="D31" s="9">
        <v>24.0</v>
      </c>
      <c r="E31" s="24" t="s">
        <v>47</v>
      </c>
      <c r="F31" s="9">
        <v>2025.0</v>
      </c>
      <c r="G31" s="9">
        <v>2025.0</v>
      </c>
      <c r="H31" s="9">
        <f>A4-F31</f>
        <v>1</v>
      </c>
      <c r="I31" s="117" t="s">
        <v>336</v>
      </c>
      <c r="J31" s="9">
        <v>6374.0</v>
      </c>
      <c r="K31" s="11" t="s">
        <v>266</v>
      </c>
      <c r="L31" s="9" t="s">
        <v>160</v>
      </c>
      <c r="M31" s="9" t="s">
        <v>161</v>
      </c>
      <c r="N31" s="9">
        <v>2015.0</v>
      </c>
      <c r="O31" s="9">
        <f>A4-N31</f>
        <v>11</v>
      </c>
      <c r="P31" s="9" t="s">
        <v>162</v>
      </c>
      <c r="Q31" s="9" t="s">
        <v>270</v>
      </c>
      <c r="R31" s="118" t="s">
        <v>367</v>
      </c>
      <c r="S31" s="118" t="s">
        <v>368</v>
      </c>
      <c r="T31" s="53">
        <v>47833.0</v>
      </c>
      <c r="U31" s="153" t="str">
        <f t="shared" si="1"/>
        <v>Berlaku</v>
      </c>
      <c r="V31" s="53">
        <v>46372.0</v>
      </c>
      <c r="W31" s="54" t="str">
        <f t="shared" si="2"/>
        <v>Berlaku</v>
      </c>
      <c r="X31" s="325">
        <v>46332.0</v>
      </c>
      <c r="Y31" s="54" t="str">
        <f t="shared" si="3"/>
        <v>Akan Habis</v>
      </c>
      <c r="Z31" s="325">
        <v>46332.0</v>
      </c>
      <c r="AA31" s="153" t="str">
        <f t="shared" si="4"/>
        <v>Berlaku</v>
      </c>
      <c r="AB31" s="53">
        <v>46816.0</v>
      </c>
      <c r="AC31" s="153" t="str">
        <f t="shared" si="5"/>
        <v>Berlaku</v>
      </c>
      <c r="AD31" s="315">
        <v>46278.0</v>
      </c>
      <c r="AE31" s="154" t="str">
        <f t="shared" si="6"/>
        <v>Habis</v>
      </c>
      <c r="AF31" s="155" t="s">
        <v>166</v>
      </c>
      <c r="AG31" s="155" t="s">
        <v>167</v>
      </c>
      <c r="AH31" s="156"/>
      <c r="AI31" s="29" t="s">
        <v>369</v>
      </c>
      <c r="AJ31" s="119"/>
      <c r="AK31" s="119"/>
      <c r="AL31" s="119"/>
      <c r="AM31" s="119"/>
      <c r="AN31" s="119"/>
      <c r="AO31" s="119"/>
      <c r="AP31" s="119"/>
      <c r="AQ31" s="157"/>
      <c r="AR31" s="157"/>
      <c r="AS31" s="119"/>
      <c r="AT31" s="119"/>
      <c r="AU31" s="119"/>
      <c r="AV31" s="119"/>
      <c r="AW31" s="119"/>
      <c r="AX31" s="119"/>
    </row>
    <row r="32">
      <c r="A32" s="9">
        <f t="shared" si="7"/>
        <v>26</v>
      </c>
      <c r="B32" s="118" t="s">
        <v>64</v>
      </c>
      <c r="C32" s="9" t="s">
        <v>153</v>
      </c>
      <c r="D32" s="9">
        <v>24.0</v>
      </c>
      <c r="E32" s="24" t="s">
        <v>47</v>
      </c>
      <c r="F32" s="9">
        <v>2025.0</v>
      </c>
      <c r="G32" s="9">
        <v>2025.0</v>
      </c>
      <c r="H32" s="9">
        <f>A4-F32</f>
        <v>1</v>
      </c>
      <c r="I32" s="117" t="s">
        <v>336</v>
      </c>
      <c r="J32" s="9">
        <v>6374.0</v>
      </c>
      <c r="K32" s="9" t="s">
        <v>266</v>
      </c>
      <c r="L32" s="9" t="s">
        <v>160</v>
      </c>
      <c r="M32" s="9" t="s">
        <v>161</v>
      </c>
      <c r="N32" s="9">
        <v>2015.0</v>
      </c>
      <c r="O32" s="9">
        <f>A4-N32</f>
        <v>11</v>
      </c>
      <c r="P32" s="9" t="s">
        <v>162</v>
      </c>
      <c r="Q32" s="9" t="s">
        <v>270</v>
      </c>
      <c r="R32" s="118" t="s">
        <v>370</v>
      </c>
      <c r="S32" s="118" t="s">
        <v>371</v>
      </c>
      <c r="T32" s="53">
        <v>47833.0</v>
      </c>
      <c r="U32" s="153" t="str">
        <f t="shared" si="1"/>
        <v>Berlaku</v>
      </c>
      <c r="V32" s="53">
        <v>46372.0</v>
      </c>
      <c r="W32" s="54" t="str">
        <f t="shared" si="2"/>
        <v>Berlaku</v>
      </c>
      <c r="X32" s="324">
        <v>46332.0</v>
      </c>
      <c r="Y32" s="54" t="str">
        <f t="shared" si="3"/>
        <v>Akan Habis</v>
      </c>
      <c r="Z32" s="324">
        <v>46332.0</v>
      </c>
      <c r="AA32" s="153" t="str">
        <f t="shared" si="4"/>
        <v>Berlaku</v>
      </c>
      <c r="AB32" s="53">
        <v>46817.0</v>
      </c>
      <c r="AC32" s="153" t="str">
        <f t="shared" si="5"/>
        <v>Berlaku</v>
      </c>
      <c r="AD32" s="315">
        <v>46278.0</v>
      </c>
      <c r="AE32" s="154" t="str">
        <f t="shared" si="6"/>
        <v>Habis</v>
      </c>
      <c r="AF32" s="155" t="s">
        <v>166</v>
      </c>
      <c r="AG32" s="155" t="s">
        <v>167</v>
      </c>
      <c r="AH32" s="156"/>
      <c r="AI32" s="29" t="s">
        <v>372</v>
      </c>
      <c r="AJ32" s="119"/>
      <c r="AK32" s="119"/>
      <c r="AL32" s="119"/>
      <c r="AM32" s="119"/>
      <c r="AN32" s="119"/>
      <c r="AO32" s="119"/>
      <c r="AP32" s="119"/>
      <c r="AQ32" s="157"/>
      <c r="AR32" s="157"/>
      <c r="AS32" s="119"/>
      <c r="AT32" s="119"/>
      <c r="AU32" s="119"/>
      <c r="AV32" s="119"/>
      <c r="AW32" s="119"/>
      <c r="AX32" s="119"/>
    </row>
    <row r="33">
      <c r="A33" s="9">
        <f t="shared" si="7"/>
        <v>27</v>
      </c>
      <c r="B33" s="311" t="s">
        <v>66</v>
      </c>
      <c r="C33" s="11" t="s">
        <v>153</v>
      </c>
      <c r="D33" s="11">
        <v>24.0</v>
      </c>
      <c r="E33" s="14" t="s">
        <v>47</v>
      </c>
      <c r="F33" s="11">
        <v>2025.0</v>
      </c>
      <c r="G33" s="11">
        <v>2025.0</v>
      </c>
      <c r="H33" s="11">
        <f>A4-F33</f>
        <v>1</v>
      </c>
      <c r="I33" s="51" t="s">
        <v>373</v>
      </c>
      <c r="J33" s="11">
        <v>6374.0</v>
      </c>
      <c r="K33" s="11" t="s">
        <v>266</v>
      </c>
      <c r="L33" s="11" t="s">
        <v>160</v>
      </c>
      <c r="M33" s="11" t="s">
        <v>161</v>
      </c>
      <c r="N33" s="11">
        <v>2015.0</v>
      </c>
      <c r="O33" s="11">
        <f>A4-N33</f>
        <v>11</v>
      </c>
      <c r="P33" s="11" t="s">
        <v>162</v>
      </c>
      <c r="Q33" s="11" t="s">
        <v>270</v>
      </c>
      <c r="R33" s="52" t="s">
        <v>374</v>
      </c>
      <c r="S33" s="52" t="s">
        <v>375</v>
      </c>
      <c r="T33" s="321">
        <v>47625.0</v>
      </c>
      <c r="U33" s="54" t="str">
        <f t="shared" si="1"/>
        <v>Berlaku</v>
      </c>
      <c r="V33" s="317">
        <v>46529.0</v>
      </c>
      <c r="W33" s="54" t="str">
        <f t="shared" si="2"/>
        <v>Berlaku</v>
      </c>
      <c r="X33" s="320">
        <v>46331.0</v>
      </c>
      <c r="Y33" s="54" t="str">
        <f t="shared" si="3"/>
        <v>Akan Habis</v>
      </c>
      <c r="Z33" s="320">
        <v>46331.0</v>
      </c>
      <c r="AA33" s="54" t="str">
        <f t="shared" si="4"/>
        <v>Berlaku</v>
      </c>
      <c r="AB33" s="53">
        <f>VLOOKUP(B33,'DATA EXP TERA'!$C$3:$D$85,2,0)</f>
        <v>46571</v>
      </c>
      <c r="AC33" s="54" t="str">
        <f t="shared" si="5"/>
        <v>Berlaku</v>
      </c>
      <c r="AD33" s="315">
        <v>46340.0</v>
      </c>
      <c r="AE33" s="56" t="str">
        <f t="shared" si="6"/>
        <v>Berlaku</v>
      </c>
      <c r="AF33" s="57" t="s">
        <v>166</v>
      </c>
      <c r="AG33" s="57" t="s">
        <v>167</v>
      </c>
      <c r="AH33" s="14"/>
      <c r="AI33" s="158" t="s">
        <v>376</v>
      </c>
      <c r="AJ33" s="59"/>
      <c r="AK33" s="59"/>
      <c r="AL33" s="59"/>
      <c r="AM33" s="59"/>
      <c r="AN33" s="59"/>
      <c r="AO33" s="59"/>
      <c r="AP33" s="59"/>
      <c r="AQ33" s="148"/>
      <c r="AR33" s="148"/>
      <c r="AS33" s="59"/>
      <c r="AT33" s="59"/>
      <c r="AU33" s="59"/>
      <c r="AV33" s="59"/>
      <c r="AW33" s="59"/>
      <c r="AX33" s="59"/>
    </row>
    <row r="34">
      <c r="A34" s="9">
        <f t="shared" si="7"/>
        <v>28</v>
      </c>
      <c r="B34" s="311" t="s">
        <v>68</v>
      </c>
      <c r="C34" s="11" t="s">
        <v>153</v>
      </c>
      <c r="D34" s="11">
        <v>24.0</v>
      </c>
      <c r="E34" s="14" t="s">
        <v>47</v>
      </c>
      <c r="F34" s="11">
        <v>2025.0</v>
      </c>
      <c r="G34" s="11">
        <v>2025.0</v>
      </c>
      <c r="H34" s="11">
        <f>A4-F34</f>
        <v>1</v>
      </c>
      <c r="I34" s="51" t="s">
        <v>373</v>
      </c>
      <c r="J34" s="11">
        <v>6374.0</v>
      </c>
      <c r="K34" s="11" t="s">
        <v>266</v>
      </c>
      <c r="L34" s="11" t="s">
        <v>160</v>
      </c>
      <c r="M34" s="11" t="s">
        <v>161</v>
      </c>
      <c r="N34" s="11">
        <v>2015.0</v>
      </c>
      <c r="O34" s="11">
        <f>A4-N34</f>
        <v>11</v>
      </c>
      <c r="P34" s="11" t="s">
        <v>162</v>
      </c>
      <c r="Q34" s="11" t="s">
        <v>270</v>
      </c>
      <c r="R34" s="52" t="s">
        <v>377</v>
      </c>
      <c r="S34" s="52" t="s">
        <v>378</v>
      </c>
      <c r="T34" s="321">
        <v>47625.0</v>
      </c>
      <c r="U34" s="54" t="str">
        <f t="shared" si="1"/>
        <v>Berlaku</v>
      </c>
      <c r="V34" s="317">
        <v>46529.0</v>
      </c>
      <c r="W34" s="54" t="str">
        <f t="shared" si="2"/>
        <v>Berlaku</v>
      </c>
      <c r="X34" s="324">
        <v>46180.0</v>
      </c>
      <c r="Y34" s="54" t="str">
        <f t="shared" si="3"/>
        <v>Habis</v>
      </c>
      <c r="Z34" s="324">
        <v>46180.0</v>
      </c>
      <c r="AA34" s="54" t="str">
        <f t="shared" si="4"/>
        <v>Habis</v>
      </c>
      <c r="AB34" s="53">
        <f>VLOOKUP(B34,'DATA EXP TERA'!$C$3:$D$85,2,0)</f>
        <v>46575</v>
      </c>
      <c r="AC34" s="54" t="str">
        <f t="shared" si="5"/>
        <v>Berlaku</v>
      </c>
      <c r="AD34" s="315">
        <v>46340.0</v>
      </c>
      <c r="AE34" s="56" t="str">
        <f t="shared" si="6"/>
        <v>Berlaku</v>
      </c>
      <c r="AF34" s="57" t="s">
        <v>166</v>
      </c>
      <c r="AG34" s="57" t="s">
        <v>167</v>
      </c>
      <c r="AH34" s="14"/>
      <c r="AI34" s="158" t="s">
        <v>379</v>
      </c>
      <c r="AJ34" s="59"/>
      <c r="AK34" s="59"/>
      <c r="AL34" s="59"/>
      <c r="AM34" s="59"/>
      <c r="AN34" s="59"/>
      <c r="AO34" s="59"/>
      <c r="AP34" s="59"/>
      <c r="AQ34" s="148"/>
      <c r="AR34" s="148"/>
      <c r="AS34" s="59"/>
      <c r="AT34" s="59"/>
      <c r="AU34" s="59"/>
      <c r="AV34" s="59"/>
      <c r="AW34" s="59"/>
      <c r="AX34" s="59"/>
    </row>
    <row r="35">
      <c r="A35" s="9">
        <f t="shared" si="7"/>
        <v>29</v>
      </c>
      <c r="B35" s="311" t="s">
        <v>69</v>
      </c>
      <c r="C35" s="11" t="s">
        <v>153</v>
      </c>
      <c r="D35" s="11">
        <v>24.0</v>
      </c>
      <c r="E35" s="14" t="s">
        <v>47</v>
      </c>
      <c r="F35" s="11">
        <v>2025.0</v>
      </c>
      <c r="G35" s="11">
        <v>2025.0</v>
      </c>
      <c r="H35" s="11">
        <f>A4-F35</f>
        <v>1</v>
      </c>
      <c r="I35" s="51" t="s">
        <v>373</v>
      </c>
      <c r="J35" s="11">
        <v>6374.0</v>
      </c>
      <c r="K35" s="11" t="s">
        <v>266</v>
      </c>
      <c r="L35" s="11" t="s">
        <v>160</v>
      </c>
      <c r="M35" s="11" t="s">
        <v>161</v>
      </c>
      <c r="N35" s="11">
        <v>2015.0</v>
      </c>
      <c r="O35" s="11">
        <f>A4-N35</f>
        <v>11</v>
      </c>
      <c r="P35" s="11" t="s">
        <v>162</v>
      </c>
      <c r="Q35" s="11" t="s">
        <v>270</v>
      </c>
      <c r="R35" s="14" t="s">
        <v>380</v>
      </c>
      <c r="S35" s="52" t="s">
        <v>381</v>
      </c>
      <c r="T35" s="321">
        <v>47625.0</v>
      </c>
      <c r="U35" s="54" t="str">
        <f t="shared" si="1"/>
        <v>Berlaku</v>
      </c>
      <c r="V35" s="317">
        <v>46529.0</v>
      </c>
      <c r="W35" s="54" t="str">
        <f t="shared" si="2"/>
        <v>Berlaku</v>
      </c>
      <c r="X35" s="320">
        <v>46331.0</v>
      </c>
      <c r="Y35" s="54" t="str">
        <f t="shared" si="3"/>
        <v>Akan Habis</v>
      </c>
      <c r="Z35" s="320">
        <v>46331.0</v>
      </c>
      <c r="AA35" s="54" t="str">
        <f t="shared" si="4"/>
        <v>Berlaku</v>
      </c>
      <c r="AB35" s="53">
        <f>VLOOKUP(B35,'DATA EXP TERA'!$C$3:$D$85,2,0)</f>
        <v>46570</v>
      </c>
      <c r="AC35" s="54" t="str">
        <f t="shared" si="5"/>
        <v>Berlaku</v>
      </c>
      <c r="AD35" s="315">
        <v>46340.0</v>
      </c>
      <c r="AE35" s="56" t="str">
        <f t="shared" si="6"/>
        <v>Berlaku</v>
      </c>
      <c r="AF35" s="57" t="s">
        <v>166</v>
      </c>
      <c r="AG35" s="57" t="s">
        <v>167</v>
      </c>
      <c r="AH35" s="14"/>
      <c r="AI35" s="158" t="s">
        <v>382</v>
      </c>
      <c r="AJ35" s="59"/>
      <c r="AK35" s="59"/>
      <c r="AL35" s="59"/>
      <c r="AM35" s="59"/>
      <c r="AN35" s="59"/>
      <c r="AO35" s="59"/>
      <c r="AP35" s="59"/>
      <c r="AQ35" s="148"/>
      <c r="AR35" s="148"/>
      <c r="AS35" s="59"/>
      <c r="AT35" s="138"/>
      <c r="AU35" s="138"/>
      <c r="AV35" s="138"/>
      <c r="AW35" s="138"/>
      <c r="AX35" s="138"/>
    </row>
    <row r="36">
      <c r="A36" s="9">
        <f t="shared" si="7"/>
        <v>30</v>
      </c>
      <c r="B36" s="311" t="s">
        <v>70</v>
      </c>
      <c r="C36" s="11" t="s">
        <v>153</v>
      </c>
      <c r="D36" s="11">
        <v>24.0</v>
      </c>
      <c r="E36" s="14" t="s">
        <v>47</v>
      </c>
      <c r="F36" s="11">
        <v>2025.0</v>
      </c>
      <c r="G36" s="11">
        <v>2025.0</v>
      </c>
      <c r="H36" s="11">
        <f>A4-F36</f>
        <v>1</v>
      </c>
      <c r="I36" s="51" t="s">
        <v>373</v>
      </c>
      <c r="J36" s="11">
        <v>6374.0</v>
      </c>
      <c r="K36" s="11" t="s">
        <v>266</v>
      </c>
      <c r="L36" s="11" t="s">
        <v>160</v>
      </c>
      <c r="M36" s="11" t="s">
        <v>161</v>
      </c>
      <c r="N36" s="11">
        <v>2015.0</v>
      </c>
      <c r="O36" s="11">
        <f>A4-N36</f>
        <v>11</v>
      </c>
      <c r="P36" s="11" t="s">
        <v>162</v>
      </c>
      <c r="Q36" s="11" t="s">
        <v>270</v>
      </c>
      <c r="R36" s="14">
        <v>4.00963001792246E14</v>
      </c>
      <c r="S36" s="52" t="s">
        <v>383</v>
      </c>
      <c r="T36" s="321">
        <v>47716.0</v>
      </c>
      <c r="U36" s="54" t="str">
        <f t="shared" si="1"/>
        <v>Berlaku</v>
      </c>
      <c r="V36" s="317">
        <v>46255.0</v>
      </c>
      <c r="W36" s="54" t="str">
        <f t="shared" si="2"/>
        <v>Habis</v>
      </c>
      <c r="X36" s="324">
        <v>46311.0</v>
      </c>
      <c r="Y36" s="54" t="str">
        <f t="shared" si="3"/>
        <v>Akan Habis</v>
      </c>
      <c r="Z36" s="324">
        <v>46311.0</v>
      </c>
      <c r="AA36" s="54" t="str">
        <f t="shared" si="4"/>
        <v>Akan Habis</v>
      </c>
      <c r="AB36" s="53">
        <f>VLOOKUP(B36,'DATA EXP TERA'!$C$3:$D$85,2,0)</f>
        <v>46688</v>
      </c>
      <c r="AC36" s="54" t="str">
        <f t="shared" si="5"/>
        <v>Berlaku</v>
      </c>
      <c r="AD36" s="315">
        <v>46332.0</v>
      </c>
      <c r="AE36" s="56" t="str">
        <f t="shared" si="6"/>
        <v>Berlaku</v>
      </c>
      <c r="AF36" s="57" t="s">
        <v>166</v>
      </c>
      <c r="AG36" s="57" t="s">
        <v>167</v>
      </c>
      <c r="AH36" s="14"/>
      <c r="AI36" s="158" t="s">
        <v>384</v>
      </c>
      <c r="AJ36" s="59"/>
      <c r="AK36" s="59"/>
      <c r="AL36" s="59"/>
      <c r="AM36" s="59"/>
      <c r="AN36" s="59"/>
      <c r="AO36" s="59"/>
      <c r="AP36" s="59"/>
      <c r="AQ36" s="148"/>
      <c r="AR36" s="148"/>
      <c r="AS36" s="59"/>
      <c r="AT36" s="138"/>
      <c r="AU36" s="138"/>
      <c r="AV36" s="138"/>
      <c r="AW36" s="138"/>
      <c r="AX36" s="138"/>
    </row>
    <row r="37">
      <c r="A37" s="9">
        <f t="shared" si="7"/>
        <v>31</v>
      </c>
      <c r="B37" s="311" t="s">
        <v>71</v>
      </c>
      <c r="C37" s="11" t="s">
        <v>153</v>
      </c>
      <c r="D37" s="11">
        <v>24.0</v>
      </c>
      <c r="E37" s="14" t="s">
        <v>47</v>
      </c>
      <c r="F37" s="11">
        <v>2025.0</v>
      </c>
      <c r="G37" s="11">
        <v>2025.0</v>
      </c>
      <c r="H37" s="11">
        <f t="shared" ref="H37:H41" si="9">$A$4-F37</f>
        <v>1</v>
      </c>
      <c r="I37" s="51" t="s">
        <v>373</v>
      </c>
      <c r="J37" s="11">
        <v>6374.0</v>
      </c>
      <c r="K37" s="11" t="s">
        <v>266</v>
      </c>
      <c r="L37" s="11" t="s">
        <v>160</v>
      </c>
      <c r="M37" s="11" t="s">
        <v>161</v>
      </c>
      <c r="N37" s="11">
        <v>2014.0</v>
      </c>
      <c r="O37" s="11">
        <f t="shared" ref="O37:O41" si="10">$A$4-N37</f>
        <v>12</v>
      </c>
      <c r="P37" s="46" t="s">
        <v>162</v>
      </c>
      <c r="Q37" s="11" t="s">
        <v>270</v>
      </c>
      <c r="R37" s="14" t="s">
        <v>385</v>
      </c>
      <c r="S37" s="52" t="s">
        <v>386</v>
      </c>
      <c r="T37" s="321">
        <v>47779.0</v>
      </c>
      <c r="U37" s="54" t="str">
        <f t="shared" si="1"/>
        <v>Berlaku</v>
      </c>
      <c r="V37" s="321">
        <v>46318.0</v>
      </c>
      <c r="W37" s="54" t="str">
        <f t="shared" si="2"/>
        <v>Akan Habis</v>
      </c>
      <c r="X37" s="324">
        <v>46337.0</v>
      </c>
      <c r="Y37" s="54" t="str">
        <f t="shared" si="3"/>
        <v>Akan Habis</v>
      </c>
      <c r="Z37" s="324">
        <v>46337.0</v>
      </c>
      <c r="AA37" s="54" t="str">
        <f t="shared" si="4"/>
        <v>Berlaku</v>
      </c>
      <c r="AB37" s="53">
        <v>46719.0</v>
      </c>
      <c r="AC37" s="54" t="str">
        <f t="shared" si="5"/>
        <v>Berlaku</v>
      </c>
      <c r="AD37" s="315">
        <v>46190.0</v>
      </c>
      <c r="AE37" s="56" t="str">
        <f t="shared" si="6"/>
        <v>Habis</v>
      </c>
      <c r="AF37" s="57" t="s">
        <v>166</v>
      </c>
      <c r="AG37" s="57" t="s">
        <v>167</v>
      </c>
      <c r="AH37" s="14"/>
      <c r="AI37" s="158" t="s">
        <v>389</v>
      </c>
      <c r="AJ37" s="59"/>
      <c r="AK37" s="59"/>
      <c r="AL37" s="59"/>
      <c r="AM37" s="59"/>
      <c r="AN37" s="59"/>
      <c r="AO37" s="59"/>
      <c r="AP37" s="59"/>
      <c r="AQ37" s="148"/>
      <c r="AR37" s="148"/>
      <c r="AS37" s="59"/>
      <c r="AT37" s="138"/>
      <c r="AU37" s="138"/>
      <c r="AV37" s="138"/>
      <c r="AW37" s="138"/>
      <c r="AX37" s="138"/>
    </row>
    <row r="38">
      <c r="A38" s="9">
        <f t="shared" si="7"/>
        <v>32</v>
      </c>
      <c r="B38" s="311" t="s">
        <v>72</v>
      </c>
      <c r="C38" s="11" t="s">
        <v>153</v>
      </c>
      <c r="D38" s="11">
        <v>24.0</v>
      </c>
      <c r="E38" s="14" t="s">
        <v>47</v>
      </c>
      <c r="F38" s="11">
        <v>2025.0</v>
      </c>
      <c r="G38" s="11">
        <v>2025.0</v>
      </c>
      <c r="H38" s="11">
        <f t="shared" si="9"/>
        <v>1</v>
      </c>
      <c r="I38" s="51" t="s">
        <v>373</v>
      </c>
      <c r="J38" s="11">
        <v>6374.0</v>
      </c>
      <c r="K38" s="11" t="s">
        <v>266</v>
      </c>
      <c r="L38" s="11" t="s">
        <v>160</v>
      </c>
      <c r="M38" s="11" t="s">
        <v>161</v>
      </c>
      <c r="N38" s="11">
        <v>2015.0</v>
      </c>
      <c r="O38" s="11">
        <f t="shared" si="10"/>
        <v>11</v>
      </c>
      <c r="P38" s="46" t="s">
        <v>162</v>
      </c>
      <c r="Q38" s="11" t="s">
        <v>270</v>
      </c>
      <c r="R38" s="14" t="s">
        <v>390</v>
      </c>
      <c r="S38" s="52" t="s">
        <v>391</v>
      </c>
      <c r="T38" s="321">
        <v>47779.0</v>
      </c>
      <c r="U38" s="54" t="str">
        <f t="shared" si="1"/>
        <v>Berlaku</v>
      </c>
      <c r="V38" s="321">
        <v>46318.0</v>
      </c>
      <c r="W38" s="54" t="str">
        <f t="shared" si="2"/>
        <v>Akan Habis</v>
      </c>
      <c r="X38" s="324">
        <v>46337.0</v>
      </c>
      <c r="Y38" s="54" t="str">
        <f t="shared" si="3"/>
        <v>Akan Habis</v>
      </c>
      <c r="Z38" s="324">
        <v>46337.0</v>
      </c>
      <c r="AA38" s="54" t="str">
        <f t="shared" si="4"/>
        <v>Berlaku</v>
      </c>
      <c r="AB38" s="53">
        <v>46717.0</v>
      </c>
      <c r="AC38" s="54" t="str">
        <f t="shared" si="5"/>
        <v>Berlaku</v>
      </c>
      <c r="AD38" s="315">
        <v>46190.0</v>
      </c>
      <c r="AE38" s="56" t="str">
        <f t="shared" si="6"/>
        <v>Habis</v>
      </c>
      <c r="AF38" s="57" t="s">
        <v>166</v>
      </c>
      <c r="AG38" s="57" t="s">
        <v>167</v>
      </c>
      <c r="AH38" s="14"/>
      <c r="AI38" s="158" t="s">
        <v>392</v>
      </c>
      <c r="AJ38" s="59"/>
      <c r="AK38" s="59"/>
      <c r="AL38" s="59"/>
      <c r="AM38" s="59"/>
      <c r="AN38" s="59"/>
      <c r="AO38" s="59"/>
      <c r="AP38" s="59"/>
      <c r="AQ38" s="148"/>
      <c r="AR38" s="148"/>
      <c r="AS38" s="59"/>
      <c r="AT38" s="138"/>
      <c r="AU38" s="138"/>
      <c r="AV38" s="138"/>
      <c r="AW38" s="138"/>
      <c r="AX38" s="138"/>
    </row>
    <row r="39">
      <c r="A39" s="9">
        <f t="shared" si="7"/>
        <v>33</v>
      </c>
      <c r="B39" s="311" t="s">
        <v>73</v>
      </c>
      <c r="C39" s="11" t="s">
        <v>153</v>
      </c>
      <c r="D39" s="11">
        <v>24.0</v>
      </c>
      <c r="E39" s="14" t="s">
        <v>47</v>
      </c>
      <c r="F39" s="11">
        <v>2025.0</v>
      </c>
      <c r="G39" s="11">
        <v>2025.0</v>
      </c>
      <c r="H39" s="11">
        <f t="shared" si="9"/>
        <v>1</v>
      </c>
      <c r="I39" s="51" t="s">
        <v>373</v>
      </c>
      <c r="J39" s="11">
        <v>6374.0</v>
      </c>
      <c r="K39" s="11" t="s">
        <v>266</v>
      </c>
      <c r="L39" s="11" t="s">
        <v>160</v>
      </c>
      <c r="M39" s="11" t="s">
        <v>161</v>
      </c>
      <c r="N39" s="11">
        <v>2015.0</v>
      </c>
      <c r="O39" s="11">
        <f t="shared" si="10"/>
        <v>11</v>
      </c>
      <c r="P39" s="46" t="s">
        <v>162</v>
      </c>
      <c r="Q39" s="11" t="s">
        <v>270</v>
      </c>
      <c r="R39" s="14" t="s">
        <v>393</v>
      </c>
      <c r="S39" s="52" t="s">
        <v>394</v>
      </c>
      <c r="T39" s="321">
        <v>47779.0</v>
      </c>
      <c r="U39" s="54" t="str">
        <f t="shared" si="1"/>
        <v>Berlaku</v>
      </c>
      <c r="V39" s="321">
        <v>46318.0</v>
      </c>
      <c r="W39" s="54" t="str">
        <f t="shared" si="2"/>
        <v>Akan Habis</v>
      </c>
      <c r="X39" s="324">
        <v>46337.0</v>
      </c>
      <c r="Y39" s="54" t="str">
        <f t="shared" si="3"/>
        <v>Akan Habis</v>
      </c>
      <c r="Z39" s="324">
        <v>46337.0</v>
      </c>
      <c r="AA39" s="54" t="str">
        <f t="shared" si="4"/>
        <v>Berlaku</v>
      </c>
      <c r="AB39" s="53">
        <v>46718.0</v>
      </c>
      <c r="AC39" s="54" t="str">
        <f t="shared" si="5"/>
        <v>Berlaku</v>
      </c>
      <c r="AD39" s="315">
        <v>46190.0</v>
      </c>
      <c r="AE39" s="56" t="str">
        <f t="shared" si="6"/>
        <v>Habis</v>
      </c>
      <c r="AF39" s="57" t="s">
        <v>166</v>
      </c>
      <c r="AG39" s="57" t="s">
        <v>167</v>
      </c>
      <c r="AH39" s="14"/>
      <c r="AI39" s="158" t="s">
        <v>396</v>
      </c>
      <c r="AJ39" s="59"/>
      <c r="AK39" s="59"/>
      <c r="AL39" s="59"/>
      <c r="AM39" s="59"/>
      <c r="AN39" s="59"/>
      <c r="AO39" s="59"/>
      <c r="AP39" s="59"/>
      <c r="AQ39" s="148"/>
      <c r="AR39" s="148"/>
      <c r="AS39" s="59"/>
      <c r="AT39" s="138"/>
      <c r="AU39" s="138"/>
      <c r="AV39" s="138"/>
      <c r="AW39" s="138"/>
      <c r="AX39" s="138"/>
    </row>
    <row r="40">
      <c r="A40" s="9">
        <f t="shared" si="7"/>
        <v>34</v>
      </c>
      <c r="B40" s="311" t="s">
        <v>74</v>
      </c>
      <c r="C40" s="11" t="s">
        <v>153</v>
      </c>
      <c r="D40" s="11">
        <v>24.0</v>
      </c>
      <c r="E40" s="14" t="s">
        <v>47</v>
      </c>
      <c r="F40" s="11">
        <v>2025.0</v>
      </c>
      <c r="G40" s="11">
        <v>2025.0</v>
      </c>
      <c r="H40" s="11">
        <f t="shared" si="9"/>
        <v>1</v>
      </c>
      <c r="I40" s="51" t="s">
        <v>373</v>
      </c>
      <c r="J40" s="11">
        <v>6374.0</v>
      </c>
      <c r="K40" s="11" t="s">
        <v>266</v>
      </c>
      <c r="L40" s="11" t="s">
        <v>160</v>
      </c>
      <c r="M40" s="11" t="s">
        <v>161</v>
      </c>
      <c r="N40" s="11">
        <v>2015.0</v>
      </c>
      <c r="O40" s="11">
        <f t="shared" si="10"/>
        <v>11</v>
      </c>
      <c r="P40" s="46" t="s">
        <v>162</v>
      </c>
      <c r="Q40" s="11" t="s">
        <v>270</v>
      </c>
      <c r="R40" s="14">
        <v>4.009530019504E13</v>
      </c>
      <c r="S40" s="52" t="s">
        <v>397</v>
      </c>
      <c r="T40" s="321">
        <v>47801.0</v>
      </c>
      <c r="U40" s="54" t="str">
        <f t="shared" si="1"/>
        <v>Berlaku</v>
      </c>
      <c r="V40" s="321">
        <v>46340.0</v>
      </c>
      <c r="W40" s="54" t="str">
        <f t="shared" si="2"/>
        <v>Akan Habis</v>
      </c>
      <c r="X40" s="324">
        <v>46337.0</v>
      </c>
      <c r="Y40" s="54" t="str">
        <f t="shared" si="3"/>
        <v>Akan Habis</v>
      </c>
      <c r="Z40" s="324">
        <v>46337.0</v>
      </c>
      <c r="AA40" s="54" t="str">
        <f t="shared" si="4"/>
        <v>Berlaku</v>
      </c>
      <c r="AB40" s="53">
        <v>46723.0</v>
      </c>
      <c r="AC40" s="54" t="str">
        <f t="shared" si="5"/>
        <v>Berlaku</v>
      </c>
      <c r="AD40" s="315">
        <v>46190.0</v>
      </c>
      <c r="AE40" s="56" t="str">
        <f t="shared" si="6"/>
        <v>Habis</v>
      </c>
      <c r="AF40" s="57" t="s">
        <v>166</v>
      </c>
      <c r="AG40" s="57" t="s">
        <v>167</v>
      </c>
      <c r="AH40" s="14"/>
      <c r="AI40" s="158" t="s">
        <v>398</v>
      </c>
      <c r="AJ40" s="59"/>
      <c r="AK40" s="59"/>
      <c r="AL40" s="59"/>
      <c r="AM40" s="59"/>
      <c r="AN40" s="59"/>
      <c r="AO40" s="59"/>
      <c r="AP40" s="59"/>
      <c r="AQ40" s="148"/>
      <c r="AR40" s="148"/>
      <c r="AS40" s="59"/>
      <c r="AT40" s="138"/>
      <c r="AU40" s="138"/>
      <c r="AV40" s="138"/>
      <c r="AW40" s="138"/>
      <c r="AX40" s="138"/>
    </row>
    <row r="41">
      <c r="A41" s="9">
        <f t="shared" si="7"/>
        <v>35</v>
      </c>
      <c r="B41" s="311" t="s">
        <v>75</v>
      </c>
      <c r="C41" s="11" t="s">
        <v>153</v>
      </c>
      <c r="D41" s="11">
        <v>24.0</v>
      </c>
      <c r="E41" s="14" t="s">
        <v>47</v>
      </c>
      <c r="F41" s="11">
        <v>2025.0</v>
      </c>
      <c r="G41" s="11">
        <v>2025.0</v>
      </c>
      <c r="H41" s="11">
        <f t="shared" si="9"/>
        <v>1</v>
      </c>
      <c r="I41" s="51" t="s">
        <v>373</v>
      </c>
      <c r="J41" s="11">
        <v>6374.0</v>
      </c>
      <c r="K41" s="11" t="s">
        <v>266</v>
      </c>
      <c r="L41" s="11" t="s">
        <v>160</v>
      </c>
      <c r="M41" s="11" t="s">
        <v>161</v>
      </c>
      <c r="N41" s="11">
        <v>2015.0</v>
      </c>
      <c r="O41" s="11">
        <f t="shared" si="10"/>
        <v>11</v>
      </c>
      <c r="P41" s="46" t="s">
        <v>162</v>
      </c>
      <c r="Q41" s="11" t="s">
        <v>270</v>
      </c>
      <c r="R41" s="14" t="s">
        <v>399</v>
      </c>
      <c r="S41" s="52" t="s">
        <v>400</v>
      </c>
      <c r="T41" s="321">
        <v>47801.0</v>
      </c>
      <c r="U41" s="54" t="str">
        <f t="shared" si="1"/>
        <v>Berlaku</v>
      </c>
      <c r="V41" s="321">
        <v>46340.0</v>
      </c>
      <c r="W41" s="54" t="str">
        <f t="shared" si="2"/>
        <v>Akan Habis</v>
      </c>
      <c r="X41" s="324">
        <v>46337.0</v>
      </c>
      <c r="Y41" s="54" t="str">
        <f t="shared" si="3"/>
        <v>Akan Habis</v>
      </c>
      <c r="Z41" s="324">
        <v>46337.0</v>
      </c>
      <c r="AA41" s="54" t="str">
        <f t="shared" si="4"/>
        <v>Berlaku</v>
      </c>
      <c r="AB41" s="53">
        <v>46724.0</v>
      </c>
      <c r="AC41" s="54" t="str">
        <f t="shared" si="5"/>
        <v>Berlaku</v>
      </c>
      <c r="AD41" s="315">
        <v>46190.0</v>
      </c>
      <c r="AE41" s="56" t="str">
        <f t="shared" si="6"/>
        <v>Habis</v>
      </c>
      <c r="AF41" s="57" t="s">
        <v>166</v>
      </c>
      <c r="AG41" s="57" t="s">
        <v>167</v>
      </c>
      <c r="AH41" s="14"/>
      <c r="AI41" s="158" t="s">
        <v>401</v>
      </c>
      <c r="AJ41" s="59"/>
      <c r="AK41" s="59"/>
      <c r="AL41" s="59"/>
      <c r="AM41" s="59"/>
      <c r="AN41" s="59"/>
      <c r="AO41" s="59"/>
      <c r="AP41" s="59"/>
      <c r="AQ41" s="148"/>
      <c r="AR41" s="148"/>
      <c r="AS41" s="59"/>
      <c r="AT41" s="138"/>
      <c r="AU41" s="138"/>
      <c r="AV41" s="138"/>
      <c r="AW41" s="138"/>
      <c r="AX41" s="138"/>
    </row>
    <row r="42">
      <c r="A42" s="9">
        <f t="shared" si="7"/>
        <v>36</v>
      </c>
      <c r="B42" s="311" t="s">
        <v>77</v>
      </c>
      <c r="C42" s="19" t="s">
        <v>240</v>
      </c>
      <c r="D42" s="19">
        <v>16.0</v>
      </c>
      <c r="E42" s="14" t="s">
        <v>78</v>
      </c>
      <c r="F42" s="11">
        <v>2022.0</v>
      </c>
      <c r="G42" s="11">
        <v>2023.0</v>
      </c>
      <c r="H42" s="11">
        <f>A4-F42</f>
        <v>4</v>
      </c>
      <c r="I42" s="51" t="s">
        <v>405</v>
      </c>
      <c r="J42" s="11">
        <v>7698.0</v>
      </c>
      <c r="K42" s="11" t="s">
        <v>266</v>
      </c>
      <c r="L42" s="11" t="s">
        <v>160</v>
      </c>
      <c r="M42" s="11" t="s">
        <v>332</v>
      </c>
      <c r="N42" s="11">
        <v>2023.0</v>
      </c>
      <c r="O42" s="11">
        <f>A4-N42</f>
        <v>3</v>
      </c>
      <c r="P42" s="11" t="s">
        <v>245</v>
      </c>
      <c r="Q42" s="11" t="s">
        <v>199</v>
      </c>
      <c r="R42" s="52" t="s">
        <v>406</v>
      </c>
      <c r="S42" s="52" t="s">
        <v>407</v>
      </c>
      <c r="T42" s="53">
        <v>47102.0</v>
      </c>
      <c r="U42" s="54" t="str">
        <f t="shared" si="1"/>
        <v>Berlaku</v>
      </c>
      <c r="V42" s="317">
        <v>46371.0</v>
      </c>
      <c r="W42" s="54" t="str">
        <f t="shared" si="2"/>
        <v>Berlaku</v>
      </c>
      <c r="X42" s="317">
        <v>46183.0</v>
      </c>
      <c r="Y42" s="54" t="str">
        <f t="shared" si="3"/>
        <v>Habis</v>
      </c>
      <c r="Z42" s="317">
        <v>46190.0</v>
      </c>
      <c r="AA42" s="54" t="str">
        <f t="shared" si="4"/>
        <v>Habis</v>
      </c>
      <c r="AB42" s="317">
        <v>46765.0</v>
      </c>
      <c r="AC42" s="54" t="str">
        <f t="shared" si="5"/>
        <v>Berlaku</v>
      </c>
      <c r="AD42" s="315">
        <v>46360.0</v>
      </c>
      <c r="AE42" s="56" t="str">
        <f t="shared" si="6"/>
        <v>Berlaku</v>
      </c>
      <c r="AF42" s="96" t="s">
        <v>203</v>
      </c>
      <c r="AG42" s="57" t="s">
        <v>167</v>
      </c>
      <c r="AH42" s="24"/>
      <c r="AI42" s="115" t="s">
        <v>408</v>
      </c>
      <c r="AJ42" s="59"/>
      <c r="AK42" s="59"/>
      <c r="AL42" s="59"/>
      <c r="AM42" s="59"/>
      <c r="AN42" s="59"/>
      <c r="AO42" s="59"/>
      <c r="AP42" s="59"/>
      <c r="AQ42" s="148"/>
      <c r="AR42" s="148"/>
      <c r="AS42" s="59"/>
      <c r="AT42" s="138"/>
      <c r="AU42" s="138"/>
      <c r="AV42" s="138"/>
      <c r="AW42" s="138"/>
      <c r="AX42" s="138"/>
    </row>
    <row r="43">
      <c r="A43" s="9">
        <f t="shared" si="7"/>
        <v>37</v>
      </c>
      <c r="B43" s="311" t="s">
        <v>79</v>
      </c>
      <c r="C43" s="19" t="s">
        <v>240</v>
      </c>
      <c r="D43" s="19">
        <v>16.0</v>
      </c>
      <c r="E43" s="14" t="s">
        <v>78</v>
      </c>
      <c r="F43" s="11">
        <v>2022.0</v>
      </c>
      <c r="G43" s="11">
        <v>2023.0</v>
      </c>
      <c r="H43" s="11">
        <f>A4-F43</f>
        <v>4</v>
      </c>
      <c r="I43" s="51" t="s">
        <v>405</v>
      </c>
      <c r="J43" s="11">
        <v>7698.0</v>
      </c>
      <c r="K43" s="11" t="s">
        <v>266</v>
      </c>
      <c r="L43" s="11" t="s">
        <v>160</v>
      </c>
      <c r="M43" s="11" t="s">
        <v>332</v>
      </c>
      <c r="N43" s="11">
        <v>2023.0</v>
      </c>
      <c r="O43" s="11">
        <f>A4-N43</f>
        <v>3</v>
      </c>
      <c r="P43" s="11" t="s">
        <v>245</v>
      </c>
      <c r="Q43" s="11" t="s">
        <v>199</v>
      </c>
      <c r="R43" s="52" t="s">
        <v>409</v>
      </c>
      <c r="S43" s="52" t="s">
        <v>410</v>
      </c>
      <c r="T43" s="53">
        <v>47102.0</v>
      </c>
      <c r="U43" s="54" t="str">
        <f t="shared" si="1"/>
        <v>Berlaku</v>
      </c>
      <c r="V43" s="317">
        <v>46371.0</v>
      </c>
      <c r="W43" s="54" t="str">
        <f t="shared" si="2"/>
        <v>Berlaku</v>
      </c>
      <c r="X43" s="317">
        <v>46183.0</v>
      </c>
      <c r="Y43" s="54" t="str">
        <f t="shared" si="3"/>
        <v>Habis</v>
      </c>
      <c r="Z43" s="317">
        <v>46190.0</v>
      </c>
      <c r="AA43" s="54" t="str">
        <f t="shared" si="4"/>
        <v>Habis</v>
      </c>
      <c r="AB43" s="317">
        <v>46765.0</v>
      </c>
      <c r="AC43" s="54" t="str">
        <f t="shared" si="5"/>
        <v>Berlaku</v>
      </c>
      <c r="AD43" s="315">
        <v>46360.0</v>
      </c>
      <c r="AE43" s="56" t="str">
        <f t="shared" si="6"/>
        <v>Berlaku</v>
      </c>
      <c r="AF43" s="96" t="s">
        <v>203</v>
      </c>
      <c r="AG43" s="57" t="s">
        <v>167</v>
      </c>
      <c r="AH43" s="24"/>
      <c r="AI43" s="115" t="s">
        <v>411</v>
      </c>
      <c r="AJ43" s="59"/>
      <c r="AK43" s="59"/>
      <c r="AL43" s="59"/>
      <c r="AM43" s="59"/>
      <c r="AN43" s="59"/>
      <c r="AO43" s="59"/>
      <c r="AP43" s="59"/>
      <c r="AQ43" s="148"/>
      <c r="AR43" s="148"/>
      <c r="AS43" s="59"/>
      <c r="AT43" s="138"/>
      <c r="AU43" s="138"/>
      <c r="AV43" s="138"/>
      <c r="AW43" s="138"/>
      <c r="AX43" s="138"/>
    </row>
    <row r="44">
      <c r="A44" s="9">
        <f t="shared" si="7"/>
        <v>38</v>
      </c>
      <c r="B44" s="311" t="s">
        <v>80</v>
      </c>
      <c r="C44" s="19" t="s">
        <v>240</v>
      </c>
      <c r="D44" s="19">
        <v>16.0</v>
      </c>
      <c r="E44" s="14" t="s">
        <v>78</v>
      </c>
      <c r="F44" s="11">
        <v>2022.0</v>
      </c>
      <c r="G44" s="11">
        <v>2024.0</v>
      </c>
      <c r="H44" s="11">
        <f>A4-F44</f>
        <v>4</v>
      </c>
      <c r="I44" s="51" t="s">
        <v>412</v>
      </c>
      <c r="J44" s="11">
        <v>7698.0</v>
      </c>
      <c r="K44" s="11" t="s">
        <v>266</v>
      </c>
      <c r="L44" s="11" t="s">
        <v>160</v>
      </c>
      <c r="M44" s="11" t="s">
        <v>332</v>
      </c>
      <c r="N44" s="11">
        <v>2024.0</v>
      </c>
      <c r="O44" s="11">
        <f>A4-N44</f>
        <v>2</v>
      </c>
      <c r="P44" s="11" t="s">
        <v>245</v>
      </c>
      <c r="Q44" s="11" t="s">
        <v>199</v>
      </c>
      <c r="R44" s="52" t="s">
        <v>413</v>
      </c>
      <c r="S44" s="52" t="s">
        <v>414</v>
      </c>
      <c r="T44" s="318">
        <v>47213.0</v>
      </c>
      <c r="U44" s="54" t="str">
        <f t="shared" si="1"/>
        <v>Berlaku</v>
      </c>
      <c r="V44" s="320">
        <v>46482.0</v>
      </c>
      <c r="W44" s="54" t="str">
        <f t="shared" si="2"/>
        <v>Berlaku</v>
      </c>
      <c r="X44" s="321">
        <v>46305.0</v>
      </c>
      <c r="Y44" s="54" t="str">
        <f t="shared" si="3"/>
        <v>Akan Habis</v>
      </c>
      <c r="Z44" s="321">
        <v>46305.0</v>
      </c>
      <c r="AA44" s="54" t="str">
        <f t="shared" si="4"/>
        <v>Akan Habis</v>
      </c>
      <c r="AB44" s="324">
        <v>46155.0</v>
      </c>
      <c r="AC44" s="54" t="str">
        <f t="shared" si="5"/>
        <v>Habis</v>
      </c>
      <c r="AD44" s="324">
        <v>46304.0</v>
      </c>
      <c r="AE44" s="56" t="str">
        <f t="shared" si="6"/>
        <v>Akan Habis</v>
      </c>
      <c r="AF44" s="96" t="s">
        <v>203</v>
      </c>
      <c r="AG44" s="57" t="s">
        <v>167</v>
      </c>
      <c r="AH44" s="14"/>
      <c r="AI44" s="115" t="s">
        <v>415</v>
      </c>
      <c r="AJ44" s="59"/>
      <c r="AK44" s="59"/>
      <c r="AL44" s="59"/>
      <c r="AM44" s="59"/>
      <c r="AN44" s="59"/>
      <c r="AO44" s="59"/>
      <c r="AP44" s="59"/>
      <c r="AQ44" s="148"/>
      <c r="AR44" s="148"/>
      <c r="AS44" s="59"/>
      <c r="AT44" s="59"/>
      <c r="AU44" s="59"/>
      <c r="AV44" s="59"/>
      <c r="AW44" s="59"/>
      <c r="AX44" s="59"/>
    </row>
    <row r="45">
      <c r="A45" s="9">
        <f t="shared" si="7"/>
        <v>39</v>
      </c>
      <c r="B45" s="311" t="s">
        <v>81</v>
      </c>
      <c r="C45" s="11" t="s">
        <v>153</v>
      </c>
      <c r="D45" s="11">
        <v>24.0</v>
      </c>
      <c r="E45" s="14" t="s">
        <v>78</v>
      </c>
      <c r="F45" s="11">
        <v>2023.0</v>
      </c>
      <c r="G45" s="11">
        <v>2024.0</v>
      </c>
      <c r="H45" s="11">
        <f>A4-F45</f>
        <v>3</v>
      </c>
      <c r="I45" s="51" t="s">
        <v>416</v>
      </c>
      <c r="J45" s="11">
        <v>7698.0</v>
      </c>
      <c r="K45" s="11" t="s">
        <v>266</v>
      </c>
      <c r="L45" s="11" t="s">
        <v>160</v>
      </c>
      <c r="M45" s="11" t="s">
        <v>332</v>
      </c>
      <c r="N45" s="11">
        <v>2024.0</v>
      </c>
      <c r="O45" s="11">
        <f>A4-N45</f>
        <v>2</v>
      </c>
      <c r="P45" s="11" t="s">
        <v>162</v>
      </c>
      <c r="Q45" s="11" t="s">
        <v>199</v>
      </c>
      <c r="R45" s="52" t="s">
        <v>417</v>
      </c>
      <c r="S45" s="52" t="s">
        <v>418</v>
      </c>
      <c r="T45" s="318">
        <v>47213.0</v>
      </c>
      <c r="U45" s="54" t="str">
        <f t="shared" si="1"/>
        <v>Berlaku</v>
      </c>
      <c r="V45" s="320">
        <v>46482.0</v>
      </c>
      <c r="W45" s="54" t="str">
        <f t="shared" si="2"/>
        <v>Berlaku</v>
      </c>
      <c r="X45" s="321">
        <v>46305.0</v>
      </c>
      <c r="Y45" s="54" t="str">
        <f t="shared" si="3"/>
        <v>Akan Habis</v>
      </c>
      <c r="Z45" s="321">
        <v>46305.0</v>
      </c>
      <c r="AA45" s="54" t="str">
        <f t="shared" si="4"/>
        <v>Akan Habis</v>
      </c>
      <c r="AB45" s="321">
        <v>46885.0</v>
      </c>
      <c r="AC45" s="54" t="str">
        <f t="shared" si="5"/>
        <v>Berlaku</v>
      </c>
      <c r="AD45" s="324">
        <v>46304.0</v>
      </c>
      <c r="AE45" s="56" t="str">
        <f t="shared" si="6"/>
        <v>Akan Habis</v>
      </c>
      <c r="AF45" s="96" t="s">
        <v>203</v>
      </c>
      <c r="AG45" s="57" t="s">
        <v>167</v>
      </c>
      <c r="AH45" s="14"/>
      <c r="AI45" s="115" t="s">
        <v>419</v>
      </c>
      <c r="AJ45" s="59"/>
      <c r="AK45" s="59"/>
      <c r="AL45" s="59"/>
      <c r="AM45" s="59"/>
      <c r="AN45" s="59"/>
      <c r="AO45" s="59"/>
      <c r="AP45" s="59"/>
      <c r="AQ45" s="148"/>
      <c r="AR45" s="148"/>
      <c r="AS45" s="59"/>
      <c r="AT45" s="59"/>
      <c r="AU45" s="59"/>
      <c r="AV45" s="59"/>
      <c r="AW45" s="59"/>
      <c r="AX45" s="59"/>
    </row>
    <row r="46">
      <c r="A46" s="9">
        <f t="shared" si="7"/>
        <v>40</v>
      </c>
      <c r="B46" s="311" t="s">
        <v>83</v>
      </c>
      <c r="C46" s="11" t="s">
        <v>153</v>
      </c>
      <c r="D46" s="11">
        <v>24.0</v>
      </c>
      <c r="E46" s="14" t="s">
        <v>78</v>
      </c>
      <c r="F46" s="11">
        <v>2023.0</v>
      </c>
      <c r="G46" s="11">
        <v>2024.0</v>
      </c>
      <c r="H46" s="11">
        <f>A4-F46</f>
        <v>3</v>
      </c>
      <c r="I46" s="51" t="s">
        <v>416</v>
      </c>
      <c r="J46" s="11">
        <v>7698.0</v>
      </c>
      <c r="K46" s="11" t="s">
        <v>266</v>
      </c>
      <c r="L46" s="11" t="s">
        <v>160</v>
      </c>
      <c r="M46" s="11" t="s">
        <v>332</v>
      </c>
      <c r="N46" s="11">
        <v>2024.0</v>
      </c>
      <c r="O46" s="11">
        <f>A4-N46</f>
        <v>2</v>
      </c>
      <c r="P46" s="11" t="s">
        <v>162</v>
      </c>
      <c r="Q46" s="11" t="s">
        <v>199</v>
      </c>
      <c r="R46" s="52" t="s">
        <v>420</v>
      </c>
      <c r="S46" s="52" t="s">
        <v>421</v>
      </c>
      <c r="T46" s="321">
        <v>47225.0</v>
      </c>
      <c r="U46" s="54" t="str">
        <f t="shared" si="1"/>
        <v>Berlaku</v>
      </c>
      <c r="V46" s="320">
        <v>46482.0</v>
      </c>
      <c r="W46" s="54" t="str">
        <f t="shared" si="2"/>
        <v>Berlaku</v>
      </c>
      <c r="X46" s="321">
        <v>46317.0</v>
      </c>
      <c r="Y46" s="54" t="str">
        <f t="shared" si="3"/>
        <v>Akan Habis</v>
      </c>
      <c r="Z46" s="321">
        <v>46317.0</v>
      </c>
      <c r="AA46" s="54" t="str">
        <f t="shared" si="4"/>
        <v>Berlaku</v>
      </c>
      <c r="AB46" s="53">
        <f>VLOOKUP(B46,'DATA EXP TERA'!$C$3:$D$85,2,0)</f>
        <v>46218</v>
      </c>
      <c r="AC46" s="54" t="str">
        <f t="shared" si="5"/>
        <v>Habis</v>
      </c>
      <c r="AD46" s="315">
        <v>46340.0</v>
      </c>
      <c r="AE46" s="56" t="str">
        <f t="shared" si="6"/>
        <v>Berlaku</v>
      </c>
      <c r="AF46" s="96" t="s">
        <v>203</v>
      </c>
      <c r="AG46" s="57" t="s">
        <v>167</v>
      </c>
      <c r="AH46" s="14"/>
      <c r="AI46" s="115" t="s">
        <v>422</v>
      </c>
      <c r="AJ46" s="59"/>
      <c r="AK46" s="59"/>
      <c r="AL46" s="59"/>
      <c r="AM46" s="59"/>
      <c r="AN46" s="59"/>
      <c r="AO46" s="59"/>
      <c r="AP46" s="59"/>
      <c r="AQ46" s="148"/>
      <c r="AR46" s="148"/>
      <c r="AS46" s="59"/>
      <c r="AT46" s="59"/>
      <c r="AU46" s="59"/>
      <c r="AV46" s="59"/>
      <c r="AW46" s="59"/>
      <c r="AX46" s="59"/>
    </row>
    <row r="47">
      <c r="A47" s="9">
        <f t="shared" si="7"/>
        <v>41</v>
      </c>
      <c r="B47" s="311" t="s">
        <v>84</v>
      </c>
      <c r="C47" s="19" t="s">
        <v>240</v>
      </c>
      <c r="D47" s="19">
        <v>16.0</v>
      </c>
      <c r="E47" s="14" t="s">
        <v>85</v>
      </c>
      <c r="F47" s="11">
        <v>2022.0</v>
      </c>
      <c r="G47" s="11">
        <v>2023.0</v>
      </c>
      <c r="H47" s="11">
        <f>A4-F47</f>
        <v>4</v>
      </c>
      <c r="I47" s="51" t="s">
        <v>405</v>
      </c>
      <c r="J47" s="11">
        <v>7698.0</v>
      </c>
      <c r="K47" s="11" t="s">
        <v>266</v>
      </c>
      <c r="L47" s="11" t="s">
        <v>160</v>
      </c>
      <c r="M47" s="11" t="s">
        <v>332</v>
      </c>
      <c r="N47" s="11">
        <v>2023.0</v>
      </c>
      <c r="O47" s="11">
        <f>A4-N47</f>
        <v>3</v>
      </c>
      <c r="P47" s="11" t="s">
        <v>245</v>
      </c>
      <c r="Q47" s="11" t="s">
        <v>199</v>
      </c>
      <c r="R47" s="52" t="s">
        <v>423</v>
      </c>
      <c r="S47" s="52" t="s">
        <v>424</v>
      </c>
      <c r="T47" s="53">
        <v>47102.0</v>
      </c>
      <c r="U47" s="54" t="str">
        <f t="shared" si="1"/>
        <v>Berlaku</v>
      </c>
      <c r="V47" s="317">
        <v>46371.0</v>
      </c>
      <c r="W47" s="54" t="str">
        <f t="shared" si="2"/>
        <v>Berlaku</v>
      </c>
      <c r="X47" s="317">
        <v>46183.0</v>
      </c>
      <c r="Y47" s="54" t="str">
        <f t="shared" si="3"/>
        <v>Habis</v>
      </c>
      <c r="Z47" s="317">
        <v>46190.0</v>
      </c>
      <c r="AA47" s="54" t="str">
        <f t="shared" si="4"/>
        <v>Habis</v>
      </c>
      <c r="AB47" s="53">
        <v>46767.0</v>
      </c>
      <c r="AC47" s="54" t="str">
        <f t="shared" si="5"/>
        <v>Berlaku</v>
      </c>
      <c r="AD47" s="315">
        <v>46360.0</v>
      </c>
      <c r="AE47" s="56" t="str">
        <f t="shared" si="6"/>
        <v>Berlaku</v>
      </c>
      <c r="AF47" s="96" t="s">
        <v>203</v>
      </c>
      <c r="AG47" s="57" t="s">
        <v>167</v>
      </c>
      <c r="AH47" s="24"/>
      <c r="AI47" s="115" t="s">
        <v>425</v>
      </c>
      <c r="AJ47" s="59"/>
      <c r="AK47" s="59"/>
      <c r="AL47" s="59"/>
      <c r="AM47" s="59"/>
      <c r="AN47" s="59"/>
      <c r="AO47" s="59"/>
      <c r="AP47" s="59"/>
      <c r="AQ47" s="148"/>
      <c r="AR47" s="148"/>
      <c r="AS47" s="59"/>
      <c r="AT47" s="59"/>
      <c r="AU47" s="59"/>
      <c r="AV47" s="59"/>
      <c r="AW47" s="59"/>
      <c r="AX47" s="59"/>
    </row>
    <row r="48">
      <c r="A48" s="9">
        <f t="shared" si="7"/>
        <v>42</v>
      </c>
      <c r="B48" s="311" t="s">
        <v>86</v>
      </c>
      <c r="C48" s="19" t="s">
        <v>240</v>
      </c>
      <c r="D48" s="19">
        <v>16.0</v>
      </c>
      <c r="E48" s="14" t="s">
        <v>85</v>
      </c>
      <c r="F48" s="11">
        <v>2022.0</v>
      </c>
      <c r="G48" s="11">
        <v>2024.0</v>
      </c>
      <c r="H48" s="11">
        <f>A4-F48</f>
        <v>4</v>
      </c>
      <c r="I48" s="51" t="s">
        <v>412</v>
      </c>
      <c r="J48" s="11">
        <v>7698.0</v>
      </c>
      <c r="K48" s="11" t="s">
        <v>266</v>
      </c>
      <c r="L48" s="11" t="s">
        <v>160</v>
      </c>
      <c r="M48" s="11" t="s">
        <v>332</v>
      </c>
      <c r="N48" s="11">
        <v>2024.0</v>
      </c>
      <c r="O48" s="11">
        <f>A4-N48</f>
        <v>2</v>
      </c>
      <c r="P48" s="11" t="s">
        <v>245</v>
      </c>
      <c r="Q48" s="11" t="s">
        <v>199</v>
      </c>
      <c r="R48" s="52" t="s">
        <v>426</v>
      </c>
      <c r="S48" s="52" t="s">
        <v>427</v>
      </c>
      <c r="T48" s="318">
        <v>47213.0</v>
      </c>
      <c r="U48" s="54" t="str">
        <f t="shared" si="1"/>
        <v>Berlaku</v>
      </c>
      <c r="V48" s="320">
        <v>46482.0</v>
      </c>
      <c r="W48" s="54" t="str">
        <f t="shared" si="2"/>
        <v>Berlaku</v>
      </c>
      <c r="X48" s="321">
        <v>46314.0</v>
      </c>
      <c r="Y48" s="54" t="str">
        <f t="shared" si="3"/>
        <v>Akan Habis</v>
      </c>
      <c r="Z48" s="321">
        <v>46314.0</v>
      </c>
      <c r="AA48" s="54" t="str">
        <f t="shared" si="4"/>
        <v>Akan Habis</v>
      </c>
      <c r="AB48" s="53">
        <f>VLOOKUP(B48,'DATA EXP TERA'!$C$3:$D$85,2,0)</f>
        <v>46157</v>
      </c>
      <c r="AC48" s="54" t="str">
        <f t="shared" si="5"/>
        <v>Habis</v>
      </c>
      <c r="AD48" s="324">
        <v>46304.0</v>
      </c>
      <c r="AE48" s="56" t="str">
        <f t="shared" si="6"/>
        <v>Akan Habis</v>
      </c>
      <c r="AF48" s="96" t="s">
        <v>203</v>
      </c>
      <c r="AG48" s="57" t="s">
        <v>167</v>
      </c>
      <c r="AH48" s="14"/>
      <c r="AI48" s="115" t="s">
        <v>428</v>
      </c>
      <c r="AJ48" s="59"/>
      <c r="AK48" s="59"/>
      <c r="AL48" s="59"/>
      <c r="AM48" s="59"/>
      <c r="AN48" s="59"/>
      <c r="AO48" s="59"/>
      <c r="AP48" s="59"/>
      <c r="AQ48" s="148"/>
      <c r="AR48" s="148"/>
      <c r="AS48" s="59"/>
      <c r="AT48" s="59"/>
      <c r="AU48" s="59"/>
      <c r="AV48" s="59"/>
      <c r="AW48" s="59"/>
      <c r="AX48" s="59"/>
    </row>
    <row r="49">
      <c r="A49" s="9">
        <f t="shared" si="7"/>
        <v>43</v>
      </c>
      <c r="B49" s="311" t="s">
        <v>87</v>
      </c>
      <c r="C49" s="11" t="s">
        <v>153</v>
      </c>
      <c r="D49" s="11">
        <v>24.0</v>
      </c>
      <c r="E49" s="14" t="s">
        <v>85</v>
      </c>
      <c r="F49" s="11">
        <v>2023.0</v>
      </c>
      <c r="G49" s="11">
        <v>2024.0</v>
      </c>
      <c r="H49" s="11">
        <f>A4-F49</f>
        <v>3</v>
      </c>
      <c r="I49" s="51" t="s">
        <v>429</v>
      </c>
      <c r="J49" s="11">
        <v>7698.0</v>
      </c>
      <c r="K49" s="11" t="s">
        <v>266</v>
      </c>
      <c r="L49" s="11" t="s">
        <v>160</v>
      </c>
      <c r="M49" s="11" t="s">
        <v>332</v>
      </c>
      <c r="N49" s="11">
        <v>2023.0</v>
      </c>
      <c r="O49" s="11">
        <f>A4-N49</f>
        <v>3</v>
      </c>
      <c r="P49" s="11" t="s">
        <v>162</v>
      </c>
      <c r="Q49" s="11" t="s">
        <v>199</v>
      </c>
      <c r="R49" s="52" t="s">
        <v>430</v>
      </c>
      <c r="S49" s="52" t="s">
        <v>431</v>
      </c>
      <c r="T49" s="318">
        <v>47184.0</v>
      </c>
      <c r="U49" s="54" t="str">
        <f t="shared" si="1"/>
        <v>Berlaku</v>
      </c>
      <c r="V49" s="320">
        <v>46453.0</v>
      </c>
      <c r="W49" s="54" t="str">
        <f t="shared" si="2"/>
        <v>Berlaku</v>
      </c>
      <c r="X49" s="323">
        <v>46277.0</v>
      </c>
      <c r="Y49" s="54" t="str">
        <f t="shared" si="3"/>
        <v>Habis</v>
      </c>
      <c r="Z49" s="323">
        <v>46277.0</v>
      </c>
      <c r="AA49" s="54" t="str">
        <f t="shared" si="4"/>
        <v>Habis</v>
      </c>
      <c r="AB49" s="323">
        <v>46806.0</v>
      </c>
      <c r="AC49" s="54" t="str">
        <f t="shared" si="5"/>
        <v>Berlaku</v>
      </c>
      <c r="AD49" s="315">
        <v>46266.0</v>
      </c>
      <c r="AE49" s="56" t="str">
        <f t="shared" si="6"/>
        <v>Habis</v>
      </c>
      <c r="AF49" s="96" t="s">
        <v>203</v>
      </c>
      <c r="AG49" s="57" t="s">
        <v>167</v>
      </c>
      <c r="AH49" s="14"/>
      <c r="AI49" s="115" t="s">
        <v>432</v>
      </c>
      <c r="AJ49" s="59"/>
      <c r="AK49" s="59"/>
      <c r="AL49" s="59"/>
      <c r="AM49" s="59"/>
      <c r="AN49" s="59"/>
      <c r="AO49" s="59"/>
      <c r="AP49" s="59"/>
      <c r="AQ49" s="148"/>
      <c r="AR49" s="148"/>
      <c r="AS49" s="59"/>
      <c r="AT49" s="59"/>
      <c r="AU49" s="59"/>
      <c r="AV49" s="59"/>
      <c r="AW49" s="59"/>
      <c r="AX49" s="59"/>
    </row>
    <row r="50">
      <c r="A50" s="9">
        <f t="shared" si="7"/>
        <v>44</v>
      </c>
      <c r="B50" s="311" t="s">
        <v>88</v>
      </c>
      <c r="C50" s="22" t="s">
        <v>324</v>
      </c>
      <c r="D50" s="22">
        <v>8.0</v>
      </c>
      <c r="E50" s="24" t="s">
        <v>85</v>
      </c>
      <c r="F50" s="9">
        <v>2022.0</v>
      </c>
      <c r="G50" s="9">
        <v>2024.0</v>
      </c>
      <c r="H50" s="11">
        <f>A4-F50</f>
        <v>4</v>
      </c>
      <c r="I50" s="117" t="s">
        <v>433</v>
      </c>
      <c r="J50" s="9">
        <v>7698.0</v>
      </c>
      <c r="K50" s="11" t="s">
        <v>266</v>
      </c>
      <c r="L50" s="9" t="s">
        <v>160</v>
      </c>
      <c r="M50" s="9" t="s">
        <v>332</v>
      </c>
      <c r="N50" s="9">
        <v>2024.0</v>
      </c>
      <c r="O50" s="11">
        <f>A4-N50</f>
        <v>2</v>
      </c>
      <c r="P50" s="9" t="s">
        <v>245</v>
      </c>
      <c r="Q50" s="9" t="s">
        <v>199</v>
      </c>
      <c r="R50" s="118" t="s">
        <v>434</v>
      </c>
      <c r="S50" s="118" t="s">
        <v>435</v>
      </c>
      <c r="T50" s="53">
        <v>47253.0</v>
      </c>
      <c r="U50" s="54" t="str">
        <f t="shared" si="1"/>
        <v>Berlaku</v>
      </c>
      <c r="V50" s="317">
        <v>46522.0</v>
      </c>
      <c r="W50" s="54" t="str">
        <f t="shared" si="2"/>
        <v>Berlaku</v>
      </c>
      <c r="X50" s="317">
        <v>46183.0</v>
      </c>
      <c r="Y50" s="54" t="str">
        <f t="shared" si="3"/>
        <v>Habis</v>
      </c>
      <c r="Z50" s="317">
        <v>46190.0</v>
      </c>
      <c r="AA50" s="54" t="str">
        <f t="shared" si="4"/>
        <v>Habis</v>
      </c>
      <c r="AB50" s="53">
        <f>VLOOKUP(B50,'DATA EXP TERA'!$C$3:$D$85,2,0)</f>
        <v>46233</v>
      </c>
      <c r="AC50" s="54" t="str">
        <f t="shared" si="5"/>
        <v>Habis</v>
      </c>
      <c r="AD50" s="315">
        <v>46340.0</v>
      </c>
      <c r="AE50" s="56" t="str">
        <f t="shared" si="6"/>
        <v>Berlaku</v>
      </c>
      <c r="AF50" s="96" t="s">
        <v>203</v>
      </c>
      <c r="AG50" s="57" t="s">
        <v>167</v>
      </c>
      <c r="AH50" s="14"/>
      <c r="AI50" s="115" t="s">
        <v>436</v>
      </c>
      <c r="AJ50" s="59"/>
      <c r="AK50" s="59"/>
      <c r="AL50" s="59"/>
      <c r="AM50" s="59"/>
      <c r="AN50" s="59"/>
      <c r="AO50" s="59"/>
      <c r="AP50" s="59"/>
      <c r="AQ50" s="148"/>
      <c r="AR50" s="148"/>
      <c r="AS50" s="59"/>
      <c r="AT50" s="59"/>
      <c r="AU50" s="59"/>
      <c r="AV50" s="59"/>
      <c r="AW50" s="59"/>
      <c r="AX50" s="59"/>
    </row>
    <row r="51">
      <c r="A51" s="9">
        <f t="shared" si="7"/>
        <v>45</v>
      </c>
      <c r="B51" s="311" t="s">
        <v>89</v>
      </c>
      <c r="C51" s="11" t="s">
        <v>153</v>
      </c>
      <c r="D51" s="11">
        <v>24.0</v>
      </c>
      <c r="E51" s="14" t="s">
        <v>85</v>
      </c>
      <c r="F51" s="11">
        <v>2023.0</v>
      </c>
      <c r="G51" s="11">
        <v>2024.0</v>
      </c>
      <c r="H51" s="11">
        <f>A4-F51</f>
        <v>3</v>
      </c>
      <c r="I51" s="51" t="s">
        <v>416</v>
      </c>
      <c r="J51" s="11">
        <v>7698.0</v>
      </c>
      <c r="K51" s="11" t="s">
        <v>266</v>
      </c>
      <c r="L51" s="11" t="s">
        <v>160</v>
      </c>
      <c r="M51" s="11" t="s">
        <v>332</v>
      </c>
      <c r="N51" s="11">
        <v>2023.0</v>
      </c>
      <c r="O51" s="11">
        <f>A4-N51</f>
        <v>3</v>
      </c>
      <c r="P51" s="11" t="s">
        <v>162</v>
      </c>
      <c r="Q51" s="11" t="s">
        <v>199</v>
      </c>
      <c r="R51" s="52" t="s">
        <v>437</v>
      </c>
      <c r="S51" s="52" t="s">
        <v>438</v>
      </c>
      <c r="T51" s="318">
        <v>47184.0</v>
      </c>
      <c r="U51" s="54" t="str">
        <f t="shared" si="1"/>
        <v>Berlaku</v>
      </c>
      <c r="V51" s="320">
        <v>46453.0</v>
      </c>
      <c r="W51" s="54" t="str">
        <f t="shared" si="2"/>
        <v>Berlaku</v>
      </c>
      <c r="X51" s="323">
        <v>46277.0</v>
      </c>
      <c r="Y51" s="54" t="str">
        <f t="shared" si="3"/>
        <v>Habis</v>
      </c>
      <c r="Z51" s="323">
        <v>46277.0</v>
      </c>
      <c r="AA51" s="54" t="str">
        <f t="shared" si="4"/>
        <v>Habis</v>
      </c>
      <c r="AB51" s="53">
        <f>VLOOKUP(B51,'DATA EXP TERA'!$C$3:$D$85,2,0)</f>
        <v>46451</v>
      </c>
      <c r="AC51" s="54" t="str">
        <f t="shared" si="5"/>
        <v>Berlaku</v>
      </c>
      <c r="AD51" s="315">
        <v>46340.0</v>
      </c>
      <c r="AE51" s="56" t="str">
        <f t="shared" si="6"/>
        <v>Berlaku</v>
      </c>
      <c r="AF51" s="96" t="s">
        <v>203</v>
      </c>
      <c r="AG51" s="57" t="s">
        <v>167</v>
      </c>
      <c r="AH51" s="14"/>
      <c r="AI51" s="115" t="s">
        <v>439</v>
      </c>
      <c r="AJ51" s="59"/>
      <c r="AK51" s="59"/>
      <c r="AL51" s="59"/>
      <c r="AM51" s="59"/>
      <c r="AN51" s="59"/>
      <c r="AO51" s="59"/>
      <c r="AP51" s="59"/>
      <c r="AQ51" s="148"/>
      <c r="AR51" s="148"/>
      <c r="AS51" s="59"/>
      <c r="AT51" s="59"/>
      <c r="AU51" s="59"/>
      <c r="AV51" s="59"/>
      <c r="AW51" s="59"/>
      <c r="AX51" s="59"/>
    </row>
    <row r="52">
      <c r="A52" s="9">
        <f t="shared" si="7"/>
        <v>46</v>
      </c>
      <c r="B52" s="311" t="s">
        <v>91</v>
      </c>
      <c r="C52" s="19" t="s">
        <v>240</v>
      </c>
      <c r="D52" s="19">
        <v>16.0</v>
      </c>
      <c r="E52" s="14" t="s">
        <v>85</v>
      </c>
      <c r="F52" s="11">
        <v>2023.0</v>
      </c>
      <c r="G52" s="11">
        <v>2025.0</v>
      </c>
      <c r="H52" s="11">
        <f>A4-F52</f>
        <v>3</v>
      </c>
      <c r="I52" s="51" t="s">
        <v>440</v>
      </c>
      <c r="J52" s="11">
        <v>7700.0</v>
      </c>
      <c r="K52" s="11" t="s">
        <v>266</v>
      </c>
      <c r="L52" s="11" t="s">
        <v>160</v>
      </c>
      <c r="M52" s="11" t="s">
        <v>332</v>
      </c>
      <c r="N52" s="11">
        <v>2025.0</v>
      </c>
      <c r="O52" s="11">
        <f>A4-N52</f>
        <v>1</v>
      </c>
      <c r="P52" s="11" t="s">
        <v>245</v>
      </c>
      <c r="Q52" s="11" t="s">
        <v>441</v>
      </c>
      <c r="R52" s="52" t="s">
        <v>442</v>
      </c>
      <c r="S52" s="52" t="s">
        <v>443</v>
      </c>
      <c r="T52" s="321">
        <v>47596.0</v>
      </c>
      <c r="U52" s="54" t="str">
        <f t="shared" si="1"/>
        <v>Berlaku</v>
      </c>
      <c r="V52" s="317">
        <v>46500.0</v>
      </c>
      <c r="W52" s="54" t="str">
        <f t="shared" si="2"/>
        <v>Berlaku</v>
      </c>
      <c r="X52" s="317">
        <v>46337.0</v>
      </c>
      <c r="Y52" s="54" t="str">
        <f t="shared" si="3"/>
        <v>Akan Habis</v>
      </c>
      <c r="Z52" s="317">
        <v>46337.0</v>
      </c>
      <c r="AA52" s="54" t="str">
        <f t="shared" si="4"/>
        <v>Berlaku</v>
      </c>
      <c r="AB52" s="53">
        <f>VLOOKUP(B52,'DATA EXP TERA'!$C$3:$D$85,2,0)</f>
        <v>46542</v>
      </c>
      <c r="AC52" s="54" t="str">
        <f t="shared" si="5"/>
        <v>Berlaku</v>
      </c>
      <c r="AD52" s="315">
        <v>46347.0</v>
      </c>
      <c r="AE52" s="56" t="str">
        <f t="shared" si="6"/>
        <v>Berlaku</v>
      </c>
      <c r="AF52" s="96" t="s">
        <v>444</v>
      </c>
      <c r="AG52" s="57" t="s">
        <v>167</v>
      </c>
      <c r="AH52" s="14"/>
      <c r="AI52" s="115" t="s">
        <v>445</v>
      </c>
      <c r="AJ52" s="59"/>
      <c r="AK52" s="59"/>
      <c r="AL52" s="59"/>
      <c r="AM52" s="59"/>
      <c r="AN52" s="59"/>
      <c r="AO52" s="59"/>
      <c r="AP52" s="59"/>
      <c r="AQ52" s="148"/>
      <c r="AR52" s="148"/>
      <c r="AS52" s="59"/>
      <c r="AT52" s="59"/>
      <c r="AU52" s="59"/>
      <c r="AV52" s="59"/>
      <c r="AW52" s="59"/>
      <c r="AX52" s="59"/>
    </row>
    <row r="53">
      <c r="A53" s="9">
        <f t="shared" si="7"/>
        <v>47</v>
      </c>
      <c r="B53" s="311" t="s">
        <v>92</v>
      </c>
      <c r="C53" s="11" t="s">
        <v>240</v>
      </c>
      <c r="D53" s="11">
        <v>16.0</v>
      </c>
      <c r="E53" s="24" t="s">
        <v>85</v>
      </c>
      <c r="F53" s="19">
        <v>2024.0</v>
      </c>
      <c r="G53" s="19">
        <v>2025.0</v>
      </c>
      <c r="H53" s="11">
        <f>A4-F53</f>
        <v>2</v>
      </c>
      <c r="I53" s="137" t="s">
        <v>440</v>
      </c>
      <c r="J53" s="19">
        <v>6600.0</v>
      </c>
      <c r="K53" s="11" t="s">
        <v>266</v>
      </c>
      <c r="L53" s="11" t="s">
        <v>160</v>
      </c>
      <c r="M53" s="11" t="s">
        <v>161</v>
      </c>
      <c r="N53" s="11">
        <v>2025.0</v>
      </c>
      <c r="O53" s="11">
        <f>A4-N53</f>
        <v>1</v>
      </c>
      <c r="P53" s="11" t="s">
        <v>245</v>
      </c>
      <c r="Q53" s="11" t="s">
        <v>441</v>
      </c>
      <c r="R53" s="115" t="s">
        <v>446</v>
      </c>
      <c r="S53" s="115" t="s">
        <v>447</v>
      </c>
      <c r="T53" s="322">
        <v>47720.0</v>
      </c>
      <c r="U53" s="54" t="str">
        <f t="shared" si="1"/>
        <v>Berlaku</v>
      </c>
      <c r="V53" s="323">
        <v>46259.0</v>
      </c>
      <c r="W53" s="54" t="str">
        <f t="shared" si="2"/>
        <v>Habis</v>
      </c>
      <c r="X53" s="323">
        <v>46277.0</v>
      </c>
      <c r="Y53" s="54" t="str">
        <f t="shared" si="3"/>
        <v>Habis</v>
      </c>
      <c r="Z53" s="323">
        <v>46277.0</v>
      </c>
      <c r="AA53" s="54" t="str">
        <f t="shared" si="4"/>
        <v>Habis</v>
      </c>
      <c r="AB53" s="53">
        <f>VLOOKUP(B53,'DATA EXP TERA'!$C$3:$D$85,2,0)</f>
        <v>46668</v>
      </c>
      <c r="AC53" s="54" t="str">
        <f t="shared" si="5"/>
        <v>Berlaku</v>
      </c>
      <c r="AD53" s="315">
        <v>46293.0</v>
      </c>
      <c r="AE53" s="56" t="str">
        <f t="shared" si="6"/>
        <v>Habis</v>
      </c>
      <c r="AF53" s="96" t="s">
        <v>444</v>
      </c>
      <c r="AG53" s="57" t="s">
        <v>167</v>
      </c>
      <c r="AH53" s="163"/>
      <c r="AI53" s="115" t="s">
        <v>448</v>
      </c>
      <c r="AJ53" s="59"/>
      <c r="AK53" s="59"/>
      <c r="AL53" s="59"/>
      <c r="AM53" s="59"/>
      <c r="AN53" s="59"/>
      <c r="AO53" s="59"/>
      <c r="AP53" s="59"/>
      <c r="AQ53" s="148"/>
      <c r="AR53" s="148"/>
      <c r="AS53" s="59"/>
      <c r="AT53" s="59"/>
      <c r="AU53" s="59"/>
      <c r="AV53" s="59"/>
      <c r="AW53" s="59"/>
      <c r="AX53" s="59"/>
    </row>
    <row r="54">
      <c r="A54" s="9">
        <f t="shared" si="7"/>
        <v>48</v>
      </c>
      <c r="B54" s="311" t="s">
        <v>93</v>
      </c>
      <c r="C54" s="19" t="s">
        <v>240</v>
      </c>
      <c r="D54" s="19">
        <v>16.0</v>
      </c>
      <c r="E54" s="26" t="s">
        <v>94</v>
      </c>
      <c r="F54" s="19">
        <v>2022.0</v>
      </c>
      <c r="G54" s="19">
        <v>2022.0</v>
      </c>
      <c r="H54" s="11">
        <f>A4-F54</f>
        <v>4</v>
      </c>
      <c r="I54" s="137" t="s">
        <v>449</v>
      </c>
      <c r="J54" s="19">
        <v>7684.0</v>
      </c>
      <c r="K54" s="11" t="s">
        <v>243</v>
      </c>
      <c r="L54" s="11" t="s">
        <v>160</v>
      </c>
      <c r="M54" s="11" t="s">
        <v>332</v>
      </c>
      <c r="N54" s="11">
        <v>2022.0</v>
      </c>
      <c r="O54" s="11">
        <f>A4-N54</f>
        <v>4</v>
      </c>
      <c r="P54" s="19" t="s">
        <v>245</v>
      </c>
      <c r="Q54" s="19" t="s">
        <v>163</v>
      </c>
      <c r="R54" s="115" t="s">
        <v>450</v>
      </c>
      <c r="S54" s="115" t="s">
        <v>451</v>
      </c>
      <c r="T54" s="327">
        <v>46693.0</v>
      </c>
      <c r="U54" s="54" t="str">
        <f t="shared" si="1"/>
        <v>Berlaku</v>
      </c>
      <c r="V54" s="324">
        <v>46693.0</v>
      </c>
      <c r="W54" s="54" t="str">
        <f t="shared" si="2"/>
        <v>Berlaku</v>
      </c>
      <c r="X54" s="320">
        <v>46274.0</v>
      </c>
      <c r="Y54" s="54" t="str">
        <f t="shared" si="3"/>
        <v>Habis</v>
      </c>
      <c r="Z54" s="320">
        <v>46274.0</v>
      </c>
      <c r="AA54" s="54" t="str">
        <f t="shared" si="4"/>
        <v>Habis</v>
      </c>
      <c r="AB54" s="53">
        <f>VLOOKUP(B54,'DATA EXP TERA'!$C$3:$D$85,2,0)</f>
        <v>46234</v>
      </c>
      <c r="AC54" s="54" t="str">
        <f t="shared" si="5"/>
        <v>Habis</v>
      </c>
      <c r="AD54" s="315">
        <v>46258.0</v>
      </c>
      <c r="AE54" s="56" t="str">
        <f t="shared" si="6"/>
        <v>Habis</v>
      </c>
      <c r="AF54" s="57" t="s">
        <v>166</v>
      </c>
      <c r="AG54" s="57" t="s">
        <v>167</v>
      </c>
      <c r="AH54" s="26"/>
      <c r="AI54" s="115" t="s">
        <v>452</v>
      </c>
      <c r="AJ54" s="59"/>
      <c r="AK54" s="59"/>
      <c r="AL54" s="59"/>
      <c r="AM54" s="59"/>
      <c r="AN54" s="59"/>
      <c r="AO54" s="59"/>
      <c r="AP54" s="59"/>
      <c r="AQ54" s="148"/>
      <c r="AR54" s="148"/>
      <c r="AS54" s="59"/>
      <c r="AT54" s="138"/>
      <c r="AU54" s="138"/>
      <c r="AV54" s="138"/>
      <c r="AW54" s="138"/>
      <c r="AX54" s="138"/>
    </row>
    <row r="55">
      <c r="A55" s="9">
        <f t="shared" si="7"/>
        <v>49</v>
      </c>
      <c r="B55" s="311" t="s">
        <v>95</v>
      </c>
      <c r="C55" s="11" t="s">
        <v>153</v>
      </c>
      <c r="D55" s="11">
        <v>24.0</v>
      </c>
      <c r="E55" s="26" t="s">
        <v>94</v>
      </c>
      <c r="F55" s="19">
        <v>2020.0</v>
      </c>
      <c r="G55" s="19">
        <v>2020.0</v>
      </c>
      <c r="H55" s="11">
        <f>A4-F55</f>
        <v>6</v>
      </c>
      <c r="I55" s="137" t="s">
        <v>453</v>
      </c>
      <c r="J55" s="19">
        <v>7684.0</v>
      </c>
      <c r="K55" s="11" t="s">
        <v>159</v>
      </c>
      <c r="L55" s="11" t="s">
        <v>160</v>
      </c>
      <c r="M55" s="11" t="s">
        <v>161</v>
      </c>
      <c r="N55" s="11">
        <v>2020.0</v>
      </c>
      <c r="O55" s="11">
        <f>A4-N55</f>
        <v>6</v>
      </c>
      <c r="P55" s="11" t="s">
        <v>162</v>
      </c>
      <c r="Q55" s="19" t="s">
        <v>163</v>
      </c>
      <c r="R55" s="115" t="s">
        <v>454</v>
      </c>
      <c r="S55" s="115" t="s">
        <v>455</v>
      </c>
      <c r="T55" s="322">
        <v>47720.0</v>
      </c>
      <c r="U55" s="54" t="str">
        <f t="shared" si="1"/>
        <v>Berlaku</v>
      </c>
      <c r="V55" s="323">
        <v>46259.0</v>
      </c>
      <c r="W55" s="54" t="str">
        <f t="shared" si="2"/>
        <v>Habis</v>
      </c>
      <c r="X55" s="324">
        <v>46238.0</v>
      </c>
      <c r="Y55" s="54" t="str">
        <f t="shared" si="3"/>
        <v>Habis</v>
      </c>
      <c r="Z55" s="324">
        <v>46238.0</v>
      </c>
      <c r="AA55" s="54" t="str">
        <f t="shared" si="4"/>
        <v>Habis</v>
      </c>
      <c r="AB55" s="53">
        <f>VLOOKUP(B55,'DATA EXP TERA'!$C$3:$D$85,2,0)</f>
        <v>46211</v>
      </c>
      <c r="AC55" s="54" t="str">
        <f t="shared" si="5"/>
        <v>Habis</v>
      </c>
      <c r="AD55" s="315">
        <v>46340.0</v>
      </c>
      <c r="AE55" s="56" t="str">
        <f t="shared" si="6"/>
        <v>Berlaku</v>
      </c>
      <c r="AF55" s="57" t="s">
        <v>166</v>
      </c>
      <c r="AG55" s="57" t="s">
        <v>167</v>
      </c>
      <c r="AH55" s="164"/>
      <c r="AI55" s="58"/>
      <c r="AJ55" s="138"/>
      <c r="AK55" s="138"/>
      <c r="AL55" s="138"/>
      <c r="AM55" s="138"/>
      <c r="AN55" s="138"/>
      <c r="AO55" s="138"/>
      <c r="AP55" s="138"/>
      <c r="AQ55" s="138"/>
      <c r="AR55" s="138"/>
      <c r="AS55" s="138"/>
      <c r="AT55" s="138"/>
      <c r="AU55" s="138"/>
      <c r="AV55" s="138"/>
      <c r="AW55" s="138"/>
      <c r="AX55" s="138"/>
    </row>
    <row r="56">
      <c r="A56" s="9">
        <f t="shared" si="7"/>
        <v>50</v>
      </c>
      <c r="B56" s="311" t="s">
        <v>97</v>
      </c>
      <c r="C56" s="11" t="s">
        <v>153</v>
      </c>
      <c r="D56" s="11">
        <v>24.0</v>
      </c>
      <c r="E56" s="26" t="s">
        <v>94</v>
      </c>
      <c r="F56" s="19">
        <v>2020.0</v>
      </c>
      <c r="G56" s="19">
        <v>2020.0</v>
      </c>
      <c r="H56" s="11">
        <f>A4-F56</f>
        <v>6</v>
      </c>
      <c r="I56" s="137" t="s">
        <v>456</v>
      </c>
      <c r="J56" s="19">
        <v>7684.0</v>
      </c>
      <c r="K56" s="11" t="s">
        <v>159</v>
      </c>
      <c r="L56" s="11" t="s">
        <v>160</v>
      </c>
      <c r="M56" s="11" t="s">
        <v>161</v>
      </c>
      <c r="N56" s="11">
        <v>2020.0</v>
      </c>
      <c r="O56" s="11">
        <f>A4-N56</f>
        <v>6</v>
      </c>
      <c r="P56" s="11" t="s">
        <v>162</v>
      </c>
      <c r="Q56" s="19" t="s">
        <v>163</v>
      </c>
      <c r="R56" s="115" t="s">
        <v>457</v>
      </c>
      <c r="S56" s="115" t="s">
        <v>458</v>
      </c>
      <c r="T56" s="322">
        <v>47720.0</v>
      </c>
      <c r="U56" s="54" t="str">
        <f t="shared" si="1"/>
        <v>Berlaku</v>
      </c>
      <c r="V56" s="323">
        <v>46259.0</v>
      </c>
      <c r="W56" s="54" t="str">
        <f t="shared" si="2"/>
        <v>Habis</v>
      </c>
      <c r="X56" s="324">
        <v>46238.0</v>
      </c>
      <c r="Y56" s="54" t="str">
        <f t="shared" si="3"/>
        <v>Habis</v>
      </c>
      <c r="Z56" s="324">
        <v>46238.0</v>
      </c>
      <c r="AA56" s="54" t="str">
        <f t="shared" si="4"/>
        <v>Habis</v>
      </c>
      <c r="AB56" s="53">
        <f>VLOOKUP(B56,'DATA EXP TERA'!$C$3:$D$85,2,0)</f>
        <v>46241</v>
      </c>
      <c r="AC56" s="54" t="str">
        <f t="shared" si="5"/>
        <v>Habis</v>
      </c>
      <c r="AD56" s="315">
        <v>46341.0</v>
      </c>
      <c r="AE56" s="56" t="str">
        <f t="shared" si="6"/>
        <v>Berlaku</v>
      </c>
      <c r="AF56" s="57" t="s">
        <v>166</v>
      </c>
      <c r="AG56" s="57" t="s">
        <v>167</v>
      </c>
      <c r="AH56" s="164"/>
      <c r="AI56" s="58"/>
      <c r="AJ56" s="138"/>
      <c r="AK56" s="138"/>
      <c r="AL56" s="138"/>
      <c r="AM56" s="138"/>
      <c r="AN56" s="138"/>
      <c r="AO56" s="138"/>
      <c r="AP56" s="138"/>
      <c r="AQ56" s="165"/>
      <c r="AR56" s="20"/>
      <c r="AS56" s="138"/>
      <c r="AT56" s="59"/>
      <c r="AU56" s="59"/>
      <c r="AV56" s="59"/>
      <c r="AW56" s="59"/>
      <c r="AX56" s="59"/>
    </row>
    <row r="57">
      <c r="A57" s="9">
        <f t="shared" si="7"/>
        <v>51</v>
      </c>
      <c r="B57" s="381" t="s">
        <v>98</v>
      </c>
      <c r="C57" s="22" t="s">
        <v>240</v>
      </c>
      <c r="D57" s="22">
        <v>16.0</v>
      </c>
      <c r="E57" s="29" t="s">
        <v>100</v>
      </c>
      <c r="F57" s="22">
        <v>2022.0</v>
      </c>
      <c r="G57" s="22">
        <v>2022.0</v>
      </c>
      <c r="H57" s="11">
        <f>A4-F57</f>
        <v>4</v>
      </c>
      <c r="I57" s="139" t="s">
        <v>459</v>
      </c>
      <c r="J57" s="22">
        <v>7698.0</v>
      </c>
      <c r="K57" s="11" t="s">
        <v>266</v>
      </c>
      <c r="L57" s="22" t="s">
        <v>160</v>
      </c>
      <c r="M57" s="11" t="s">
        <v>161</v>
      </c>
      <c r="N57" s="22">
        <v>2022.0</v>
      </c>
      <c r="O57" s="11">
        <f>A4-N57</f>
        <v>4</v>
      </c>
      <c r="P57" s="22" t="s">
        <v>245</v>
      </c>
      <c r="Q57" s="9" t="s">
        <v>199</v>
      </c>
      <c r="R57" s="140" t="s">
        <v>460</v>
      </c>
      <c r="S57" s="140" t="s">
        <v>461</v>
      </c>
      <c r="T57" s="326">
        <v>46705.0</v>
      </c>
      <c r="U57" s="54" t="str">
        <f t="shared" si="1"/>
        <v>Berlaku</v>
      </c>
      <c r="V57" s="323">
        <v>46340.0</v>
      </c>
      <c r="W57" s="54" t="str">
        <f t="shared" si="2"/>
        <v>Akan Habis</v>
      </c>
      <c r="X57" s="324">
        <v>46330.0</v>
      </c>
      <c r="Y57" s="54" t="str">
        <f t="shared" si="3"/>
        <v>Akan Habis</v>
      </c>
      <c r="Z57" s="324">
        <v>46330.0</v>
      </c>
      <c r="AA57" s="54" t="str">
        <f t="shared" si="4"/>
        <v>Berlaku</v>
      </c>
      <c r="AB57" s="53">
        <f>VLOOKUP(B57,'DATA EXP TERA'!$C$3:$D$85,2,0)</f>
        <v>46648</v>
      </c>
      <c r="AC57" s="54" t="str">
        <f t="shared" si="5"/>
        <v>Berlaku</v>
      </c>
      <c r="AD57" s="315">
        <v>46340.0</v>
      </c>
      <c r="AE57" s="56" t="str">
        <f t="shared" si="6"/>
        <v>Berlaku</v>
      </c>
      <c r="AF57" s="57" t="s">
        <v>166</v>
      </c>
      <c r="AG57" s="57" t="s">
        <v>167</v>
      </c>
      <c r="AH57" s="29"/>
      <c r="AI57" s="115" t="s">
        <v>462</v>
      </c>
      <c r="AJ57" s="138"/>
      <c r="AK57" s="138"/>
      <c r="AL57" s="138"/>
      <c r="AM57" s="138"/>
      <c r="AN57" s="138"/>
      <c r="AO57" s="138"/>
      <c r="AP57" s="138"/>
      <c r="AQ57" s="165"/>
      <c r="AR57" s="20"/>
      <c r="AS57" s="138"/>
      <c r="AT57" s="59"/>
      <c r="AU57" s="59"/>
      <c r="AV57" s="59"/>
      <c r="AW57" s="59"/>
      <c r="AX57" s="59"/>
    </row>
    <row r="58">
      <c r="A58" s="9">
        <f t="shared" si="7"/>
        <v>52</v>
      </c>
      <c r="B58" s="381" t="s">
        <v>101</v>
      </c>
      <c r="C58" s="19" t="s">
        <v>240</v>
      </c>
      <c r="D58" s="19">
        <v>16.0</v>
      </c>
      <c r="E58" s="26" t="s">
        <v>100</v>
      </c>
      <c r="F58" s="19">
        <v>2022.0</v>
      </c>
      <c r="G58" s="19">
        <v>2022.0</v>
      </c>
      <c r="H58" s="11">
        <f>A4-F58</f>
        <v>4</v>
      </c>
      <c r="I58" s="139" t="s">
        <v>459</v>
      </c>
      <c r="J58" s="22">
        <v>7698.0</v>
      </c>
      <c r="K58" s="11" t="s">
        <v>266</v>
      </c>
      <c r="L58" s="19" t="s">
        <v>160</v>
      </c>
      <c r="M58" s="11" t="s">
        <v>161</v>
      </c>
      <c r="N58" s="19">
        <v>2022.0</v>
      </c>
      <c r="O58" s="11">
        <f>A4-N58</f>
        <v>4</v>
      </c>
      <c r="P58" s="19" t="s">
        <v>245</v>
      </c>
      <c r="Q58" s="11" t="s">
        <v>199</v>
      </c>
      <c r="R58" s="140" t="s">
        <v>463</v>
      </c>
      <c r="S58" s="140" t="s">
        <v>464</v>
      </c>
      <c r="T58" s="322">
        <v>46706.0</v>
      </c>
      <c r="U58" s="54" t="str">
        <f t="shared" si="1"/>
        <v>Berlaku</v>
      </c>
      <c r="V58" s="323">
        <v>46341.0</v>
      </c>
      <c r="W58" s="54" t="str">
        <f t="shared" si="2"/>
        <v>Akan Habis</v>
      </c>
      <c r="X58" s="324">
        <v>46330.0</v>
      </c>
      <c r="Y58" s="54" t="str">
        <f t="shared" si="3"/>
        <v>Akan Habis</v>
      </c>
      <c r="Z58" s="324">
        <v>46330.0</v>
      </c>
      <c r="AA58" s="54" t="str">
        <f t="shared" si="4"/>
        <v>Berlaku</v>
      </c>
      <c r="AB58" s="53">
        <f>VLOOKUP(B58,'DATA EXP TERA'!$C$3:$D$85,2,0)</f>
        <v>46339</v>
      </c>
      <c r="AC58" s="54" t="str">
        <f t="shared" si="5"/>
        <v>Akan Habis</v>
      </c>
      <c r="AD58" s="315">
        <v>46340.0</v>
      </c>
      <c r="AE58" s="56" t="str">
        <f t="shared" si="6"/>
        <v>Berlaku</v>
      </c>
      <c r="AF58" s="57" t="s">
        <v>166</v>
      </c>
      <c r="AG58" s="57" t="s">
        <v>167</v>
      </c>
      <c r="AH58" s="166"/>
      <c r="AI58" s="115" t="s">
        <v>465</v>
      </c>
      <c r="AJ58" s="138"/>
      <c r="AK58" s="138"/>
      <c r="AL58" s="138"/>
      <c r="AM58" s="138"/>
      <c r="AN58" s="138"/>
      <c r="AO58" s="138"/>
      <c r="AP58" s="138"/>
      <c r="AQ58" s="165"/>
      <c r="AR58" s="20"/>
      <c r="AS58" s="138"/>
      <c r="AT58" s="59"/>
      <c r="AU58" s="59"/>
      <c r="AV58" s="59"/>
      <c r="AW58" s="59"/>
      <c r="AX58" s="59"/>
    </row>
    <row r="59">
      <c r="A59" s="9">
        <f t="shared" si="7"/>
        <v>53</v>
      </c>
      <c r="B59" s="381" t="s">
        <v>102</v>
      </c>
      <c r="C59" s="22" t="s">
        <v>240</v>
      </c>
      <c r="D59" s="22">
        <v>16.0</v>
      </c>
      <c r="E59" s="29" t="s">
        <v>100</v>
      </c>
      <c r="F59" s="22">
        <v>2023.0</v>
      </c>
      <c r="G59" s="22">
        <v>2024.0</v>
      </c>
      <c r="H59" s="11">
        <f>A4-F59</f>
        <v>3</v>
      </c>
      <c r="I59" s="139" t="s">
        <v>466</v>
      </c>
      <c r="J59" s="22">
        <v>7790.0</v>
      </c>
      <c r="K59" s="11" t="s">
        <v>243</v>
      </c>
      <c r="L59" s="22" t="s">
        <v>160</v>
      </c>
      <c r="M59" s="11" t="s">
        <v>161</v>
      </c>
      <c r="N59" s="22">
        <v>2024.0</v>
      </c>
      <c r="O59" s="11">
        <f>A4-N59</f>
        <v>2</v>
      </c>
      <c r="P59" s="22" t="s">
        <v>245</v>
      </c>
      <c r="Q59" s="9" t="s">
        <v>467</v>
      </c>
      <c r="R59" s="140" t="s">
        <v>468</v>
      </c>
      <c r="S59" s="140" t="s">
        <v>469</v>
      </c>
      <c r="T59" s="326">
        <v>47358.0</v>
      </c>
      <c r="U59" s="54" t="str">
        <f t="shared" si="1"/>
        <v>Berlaku</v>
      </c>
      <c r="V59" s="323">
        <v>46262.0</v>
      </c>
      <c r="W59" s="54" t="str">
        <f t="shared" si="2"/>
        <v>Habis</v>
      </c>
      <c r="X59" s="324">
        <v>46301.0</v>
      </c>
      <c r="Y59" s="54" t="str">
        <f t="shared" si="3"/>
        <v>Habis dalam 7-1 Hari</v>
      </c>
      <c r="Z59" s="324">
        <v>46301.0</v>
      </c>
      <c r="AA59" s="54" t="str">
        <f t="shared" si="4"/>
        <v>Habis dalam 7-1 Hari</v>
      </c>
      <c r="AB59" s="53">
        <f>VLOOKUP(B59,'DATA EXP TERA'!$C$3:$D$85,2,0)</f>
        <v>46318</v>
      </c>
      <c r="AC59" s="54" t="str">
        <f t="shared" si="5"/>
        <v>Akan Habis</v>
      </c>
      <c r="AD59" s="315">
        <v>46293.0</v>
      </c>
      <c r="AE59" s="56" t="str">
        <f t="shared" si="6"/>
        <v>Habis</v>
      </c>
      <c r="AF59" s="57" t="s">
        <v>166</v>
      </c>
      <c r="AG59" s="57" t="s">
        <v>167</v>
      </c>
      <c r="AH59" s="167"/>
      <c r="AI59" s="115" t="s">
        <v>470</v>
      </c>
      <c r="AJ59" s="138"/>
      <c r="AK59" s="138"/>
      <c r="AL59" s="138"/>
      <c r="AM59" s="138"/>
      <c r="AN59" s="138"/>
      <c r="AO59" s="138"/>
      <c r="AP59" s="138"/>
      <c r="AQ59" s="165"/>
      <c r="AR59" s="20"/>
      <c r="AS59" s="138"/>
      <c r="AT59" s="59"/>
      <c r="AU59" s="59"/>
      <c r="AV59" s="59"/>
      <c r="AW59" s="59"/>
      <c r="AX59" s="59"/>
    </row>
    <row r="60">
      <c r="A60" s="9">
        <f t="shared" si="7"/>
        <v>54</v>
      </c>
      <c r="B60" s="311" t="s">
        <v>103</v>
      </c>
      <c r="C60" s="11" t="s">
        <v>153</v>
      </c>
      <c r="D60" s="11">
        <v>24.0</v>
      </c>
      <c r="E60" s="14" t="s">
        <v>100</v>
      </c>
      <c r="F60" s="11">
        <v>2022.0</v>
      </c>
      <c r="G60" s="11">
        <v>2022.0</v>
      </c>
      <c r="H60" s="11">
        <f>A4-F60</f>
        <v>4</v>
      </c>
      <c r="I60" s="51" t="s">
        <v>471</v>
      </c>
      <c r="J60" s="11">
        <v>7698.0</v>
      </c>
      <c r="K60" s="11" t="s">
        <v>266</v>
      </c>
      <c r="L60" s="11" t="s">
        <v>160</v>
      </c>
      <c r="M60" s="11" t="s">
        <v>332</v>
      </c>
      <c r="N60" s="11">
        <v>2012.0</v>
      </c>
      <c r="O60" s="11">
        <f>A4-N60</f>
        <v>14</v>
      </c>
      <c r="P60" s="11" t="s">
        <v>162</v>
      </c>
      <c r="Q60" s="11" t="s">
        <v>199</v>
      </c>
      <c r="R60" s="52" t="s">
        <v>472</v>
      </c>
      <c r="S60" s="52" t="s">
        <v>473</v>
      </c>
      <c r="T60" s="53">
        <v>46659.0</v>
      </c>
      <c r="U60" s="54" t="str">
        <f t="shared" si="1"/>
        <v>Berlaku</v>
      </c>
      <c r="V60" s="317">
        <v>46294.0</v>
      </c>
      <c r="W60" s="54" t="str">
        <f t="shared" si="2"/>
        <v>Habis</v>
      </c>
      <c r="X60" s="324">
        <v>46330.0</v>
      </c>
      <c r="Y60" s="54" t="str">
        <f t="shared" si="3"/>
        <v>Akan Habis</v>
      </c>
      <c r="Z60" s="324">
        <v>46330.0</v>
      </c>
      <c r="AA60" s="54" t="str">
        <f t="shared" si="4"/>
        <v>Berlaku</v>
      </c>
      <c r="AB60" s="53">
        <f>VLOOKUP(B60,'DATA EXP TERA'!$C$3:$D$85,2,0)</f>
        <v>46694</v>
      </c>
      <c r="AC60" s="54" t="str">
        <f t="shared" si="5"/>
        <v>Berlaku</v>
      </c>
      <c r="AD60" s="315">
        <v>46332.0</v>
      </c>
      <c r="AE60" s="56" t="str">
        <f t="shared" si="6"/>
        <v>Berlaku</v>
      </c>
      <c r="AF60" s="57" t="s">
        <v>166</v>
      </c>
      <c r="AG60" s="57" t="s">
        <v>167</v>
      </c>
      <c r="AH60" s="14"/>
      <c r="AI60" s="115" t="s">
        <v>474</v>
      </c>
      <c r="AJ60" s="146"/>
      <c r="AK60" s="146"/>
      <c r="AL60" s="146"/>
      <c r="AM60" s="146"/>
      <c r="AN60" s="146"/>
      <c r="AO60" s="146"/>
      <c r="AP60" s="146"/>
      <c r="AQ60" s="168"/>
      <c r="AR60" s="169"/>
      <c r="AS60" s="146"/>
      <c r="AT60" s="138"/>
      <c r="AU60" s="138"/>
      <c r="AV60" s="138"/>
      <c r="AW60" s="138"/>
      <c r="AX60" s="138"/>
    </row>
    <row r="61">
      <c r="A61" s="9">
        <f t="shared" si="7"/>
        <v>55</v>
      </c>
      <c r="B61" s="311" t="s">
        <v>104</v>
      </c>
      <c r="C61" s="19" t="s">
        <v>240</v>
      </c>
      <c r="D61" s="19">
        <v>16.0</v>
      </c>
      <c r="E61" s="26" t="s">
        <v>105</v>
      </c>
      <c r="F61" s="11">
        <v>2023.0</v>
      </c>
      <c r="G61" s="11">
        <v>2023.0</v>
      </c>
      <c r="H61" s="11">
        <f>A4-F61</f>
        <v>3</v>
      </c>
      <c r="I61" s="51" t="s">
        <v>466</v>
      </c>
      <c r="J61" s="11">
        <v>7790.0</v>
      </c>
      <c r="K61" s="11" t="s">
        <v>243</v>
      </c>
      <c r="L61" s="11" t="s">
        <v>160</v>
      </c>
      <c r="M61" s="11" t="s">
        <v>332</v>
      </c>
      <c r="N61" s="11">
        <v>2023.0</v>
      </c>
      <c r="O61" s="11">
        <f>A4-N61</f>
        <v>3</v>
      </c>
      <c r="P61" s="19" t="s">
        <v>245</v>
      </c>
      <c r="Q61" s="11" t="s">
        <v>467</v>
      </c>
      <c r="R61" s="52" t="s">
        <v>475</v>
      </c>
      <c r="S61" s="52" t="s">
        <v>476</v>
      </c>
      <c r="T61" s="53">
        <v>46924.0</v>
      </c>
      <c r="U61" s="54" t="str">
        <f t="shared" si="1"/>
        <v>Berlaku</v>
      </c>
      <c r="V61" s="317">
        <v>46193.0</v>
      </c>
      <c r="W61" s="54" t="str">
        <f t="shared" si="2"/>
        <v>Habis</v>
      </c>
      <c r="X61" s="320">
        <v>46346.0</v>
      </c>
      <c r="Y61" s="54" t="str">
        <f t="shared" si="3"/>
        <v>Berlaku</v>
      </c>
      <c r="Z61" s="320">
        <v>46346.0</v>
      </c>
      <c r="AA61" s="54" t="str">
        <f t="shared" si="4"/>
        <v>Berlaku</v>
      </c>
      <c r="AB61" s="53">
        <f>VLOOKUP(B61,'DATA EXP TERA'!$C$3:$D$85,2,0)</f>
        <v>46199</v>
      </c>
      <c r="AC61" s="54" t="str">
        <f t="shared" si="5"/>
        <v>Habis</v>
      </c>
      <c r="AD61" s="315">
        <v>46340.0</v>
      </c>
      <c r="AE61" s="56" t="str">
        <f t="shared" si="6"/>
        <v>Berlaku</v>
      </c>
      <c r="AF61" s="57" t="s">
        <v>166</v>
      </c>
      <c r="AG61" s="57" t="s">
        <v>167</v>
      </c>
      <c r="AH61" s="24"/>
      <c r="AI61" s="115" t="s">
        <v>478</v>
      </c>
      <c r="AJ61" s="146"/>
      <c r="AK61" s="146"/>
      <c r="AL61" s="146"/>
      <c r="AM61" s="146"/>
      <c r="AN61" s="146"/>
      <c r="AO61" s="146"/>
      <c r="AP61" s="146"/>
      <c r="AQ61" s="168"/>
      <c r="AR61" s="169"/>
      <c r="AS61" s="146"/>
      <c r="AT61" s="138"/>
      <c r="AU61" s="138"/>
      <c r="AV61" s="138"/>
      <c r="AW61" s="138"/>
      <c r="AX61" s="138"/>
    </row>
    <row r="62">
      <c r="A62" s="9">
        <f t="shared" si="7"/>
        <v>56</v>
      </c>
      <c r="B62" s="311" t="s">
        <v>106</v>
      </c>
      <c r="C62" s="11" t="s">
        <v>153</v>
      </c>
      <c r="D62" s="11">
        <v>24.0</v>
      </c>
      <c r="E62" s="26" t="s">
        <v>105</v>
      </c>
      <c r="F62" s="22">
        <v>2022.0</v>
      </c>
      <c r="G62" s="22">
        <v>2023.0</v>
      </c>
      <c r="H62" s="11">
        <f>A4-F62</f>
        <v>4</v>
      </c>
      <c r="I62" s="139" t="s">
        <v>479</v>
      </c>
      <c r="J62" s="22">
        <v>7790.0</v>
      </c>
      <c r="K62" s="11" t="s">
        <v>243</v>
      </c>
      <c r="L62" s="11" t="s">
        <v>160</v>
      </c>
      <c r="M62" s="11" t="s">
        <v>267</v>
      </c>
      <c r="N62" s="11">
        <v>2012.0</v>
      </c>
      <c r="O62" s="11">
        <f>A4-N62</f>
        <v>14</v>
      </c>
      <c r="P62" s="11" t="s">
        <v>162</v>
      </c>
      <c r="Q62" s="19" t="s">
        <v>467</v>
      </c>
      <c r="R62" s="115" t="s">
        <v>481</v>
      </c>
      <c r="S62" s="115" t="s">
        <v>482</v>
      </c>
      <c r="T62" s="322">
        <v>46782.0</v>
      </c>
      <c r="U62" s="54" t="str">
        <f t="shared" si="1"/>
        <v>Berlaku</v>
      </c>
      <c r="V62" s="323">
        <v>46417.0</v>
      </c>
      <c r="W62" s="54" t="str">
        <f t="shared" si="2"/>
        <v>Berlaku</v>
      </c>
      <c r="X62" s="323">
        <v>46267.0</v>
      </c>
      <c r="Y62" s="54" t="str">
        <f t="shared" si="3"/>
        <v>Habis</v>
      </c>
      <c r="Z62" s="323">
        <v>46267.0</v>
      </c>
      <c r="AA62" s="54" t="str">
        <f t="shared" si="4"/>
        <v>Habis</v>
      </c>
      <c r="AB62" s="53">
        <f>VLOOKUP(B62,'DATA EXP TERA'!$C$3:$D$85,2,0)</f>
        <v>46438</v>
      </c>
      <c r="AC62" s="54" t="str">
        <f t="shared" si="5"/>
        <v>Berlaku</v>
      </c>
      <c r="AD62" s="315">
        <v>46340.0</v>
      </c>
      <c r="AE62" s="56" t="str">
        <f t="shared" si="6"/>
        <v>Berlaku</v>
      </c>
      <c r="AF62" s="57" t="s">
        <v>166</v>
      </c>
      <c r="AG62" s="57" t="s">
        <v>167</v>
      </c>
      <c r="AH62" s="175"/>
      <c r="AI62" s="115" t="s">
        <v>484</v>
      </c>
      <c r="AJ62" s="177"/>
      <c r="AK62" s="177"/>
      <c r="AL62" s="177"/>
      <c r="AM62" s="177"/>
      <c r="AN62" s="177"/>
      <c r="AO62" s="177"/>
      <c r="AP62" s="177"/>
      <c r="AQ62" s="165"/>
      <c r="AR62" s="165"/>
      <c r="AS62" s="177"/>
      <c r="AT62" s="138"/>
      <c r="AU62" s="138"/>
      <c r="AV62" s="138"/>
      <c r="AW62" s="138"/>
      <c r="AX62" s="138"/>
    </row>
    <row r="63">
      <c r="A63" s="9">
        <f t="shared" si="7"/>
        <v>57</v>
      </c>
      <c r="B63" s="311" t="s">
        <v>108</v>
      </c>
      <c r="C63" s="11" t="s">
        <v>240</v>
      </c>
      <c r="D63" s="11">
        <v>16.0</v>
      </c>
      <c r="E63" s="14" t="s">
        <v>109</v>
      </c>
      <c r="F63" s="11">
        <v>2023.0</v>
      </c>
      <c r="G63" s="11">
        <v>2023.0</v>
      </c>
      <c r="H63" s="11">
        <f>A4-F63</f>
        <v>3</v>
      </c>
      <c r="I63" s="51" t="s">
        <v>486</v>
      </c>
      <c r="J63" s="11">
        <v>7684.0</v>
      </c>
      <c r="K63" s="11" t="s">
        <v>243</v>
      </c>
      <c r="L63" s="11" t="s">
        <v>160</v>
      </c>
      <c r="M63" s="11" t="s">
        <v>332</v>
      </c>
      <c r="N63" s="11">
        <v>2023.0</v>
      </c>
      <c r="O63" s="11">
        <f>A4-N63</f>
        <v>3</v>
      </c>
      <c r="P63" s="11" t="s">
        <v>245</v>
      </c>
      <c r="Q63" s="11" t="s">
        <v>163</v>
      </c>
      <c r="R63" s="52" t="s">
        <v>487</v>
      </c>
      <c r="S63" s="52" t="s">
        <v>488</v>
      </c>
      <c r="T63" s="53">
        <v>47071.0</v>
      </c>
      <c r="U63" s="54" t="str">
        <f t="shared" si="1"/>
        <v>Berlaku</v>
      </c>
      <c r="V63" s="317">
        <v>46340.0</v>
      </c>
      <c r="W63" s="54" t="str">
        <f t="shared" si="2"/>
        <v>Akan Habis</v>
      </c>
      <c r="X63" s="320">
        <v>46333.0</v>
      </c>
      <c r="Y63" s="54" t="str">
        <f t="shared" si="3"/>
        <v>Akan Habis</v>
      </c>
      <c r="Z63" s="320">
        <v>46333.0</v>
      </c>
      <c r="AA63" s="54" t="str">
        <f t="shared" si="4"/>
        <v>Berlaku</v>
      </c>
      <c r="AB63" s="53">
        <f>VLOOKUP(B63,'DATA EXP TERA'!$C$3:$D$85,2,0)</f>
        <v>46711</v>
      </c>
      <c r="AC63" s="54" t="str">
        <f t="shared" si="5"/>
        <v>Berlaku</v>
      </c>
      <c r="AD63" s="315">
        <v>46340.0</v>
      </c>
      <c r="AE63" s="56" t="str">
        <f t="shared" si="6"/>
        <v>Berlaku</v>
      </c>
      <c r="AF63" s="57" t="s">
        <v>166</v>
      </c>
      <c r="AG63" s="57" t="s">
        <v>167</v>
      </c>
      <c r="AH63" s="14"/>
      <c r="AI63" s="115" t="s">
        <v>491</v>
      </c>
      <c r="AJ63" s="177"/>
      <c r="AK63" s="177"/>
      <c r="AL63" s="177"/>
      <c r="AM63" s="177"/>
      <c r="AN63" s="177"/>
      <c r="AO63" s="177"/>
      <c r="AP63" s="177"/>
      <c r="AQ63" s="165"/>
      <c r="AR63" s="165"/>
      <c r="AS63" s="177"/>
      <c r="AT63" s="138"/>
      <c r="AU63" s="138"/>
      <c r="AV63" s="138"/>
      <c r="AW63" s="138"/>
      <c r="AX63" s="138"/>
    </row>
    <row r="64">
      <c r="A64" s="9">
        <f t="shared" si="7"/>
        <v>58</v>
      </c>
      <c r="B64" s="311" t="s">
        <v>110</v>
      </c>
      <c r="C64" s="11" t="s">
        <v>240</v>
      </c>
      <c r="D64" s="11">
        <v>16.0</v>
      </c>
      <c r="E64" s="14" t="s">
        <v>109</v>
      </c>
      <c r="F64" s="11">
        <v>2023.0</v>
      </c>
      <c r="G64" s="11">
        <v>2023.0</v>
      </c>
      <c r="H64" s="11">
        <f>A4-F64</f>
        <v>3</v>
      </c>
      <c r="I64" s="51" t="s">
        <v>486</v>
      </c>
      <c r="J64" s="11">
        <v>7684.0</v>
      </c>
      <c r="K64" s="11" t="s">
        <v>243</v>
      </c>
      <c r="L64" s="11" t="s">
        <v>160</v>
      </c>
      <c r="M64" s="11" t="s">
        <v>332</v>
      </c>
      <c r="N64" s="11">
        <v>2023.0</v>
      </c>
      <c r="O64" s="11">
        <f>A4-N64</f>
        <v>3</v>
      </c>
      <c r="P64" s="11" t="s">
        <v>245</v>
      </c>
      <c r="Q64" s="11" t="s">
        <v>163</v>
      </c>
      <c r="R64" s="52" t="s">
        <v>494</v>
      </c>
      <c r="S64" s="52" t="s">
        <v>495</v>
      </c>
      <c r="T64" s="53">
        <v>47071.0</v>
      </c>
      <c r="U64" s="54" t="str">
        <f t="shared" si="1"/>
        <v>Berlaku</v>
      </c>
      <c r="V64" s="317">
        <v>46340.0</v>
      </c>
      <c r="W64" s="54" t="str">
        <f t="shared" si="2"/>
        <v>Akan Habis</v>
      </c>
      <c r="X64" s="320">
        <v>46333.0</v>
      </c>
      <c r="Y64" s="54" t="str">
        <f t="shared" si="3"/>
        <v>Akan Habis</v>
      </c>
      <c r="Z64" s="320">
        <v>46333.0</v>
      </c>
      <c r="AA64" s="54" t="str">
        <f t="shared" si="4"/>
        <v>Berlaku</v>
      </c>
      <c r="AB64" s="53">
        <f>VLOOKUP(B64,'DATA EXP TERA'!$C$3:$D$85,2,0)</f>
        <v>46526</v>
      </c>
      <c r="AC64" s="54" t="str">
        <f t="shared" si="5"/>
        <v>Berlaku</v>
      </c>
      <c r="AD64" s="315">
        <v>46340.0</v>
      </c>
      <c r="AE64" s="56" t="str">
        <f t="shared" si="6"/>
        <v>Berlaku</v>
      </c>
      <c r="AF64" s="57" t="s">
        <v>166</v>
      </c>
      <c r="AG64" s="57" t="s">
        <v>167</v>
      </c>
      <c r="AH64" s="14"/>
      <c r="AI64" s="115" t="s">
        <v>505</v>
      </c>
      <c r="AJ64" s="192"/>
      <c r="AK64" s="138"/>
      <c r="AL64" s="138"/>
      <c r="AM64" s="138"/>
      <c r="AN64" s="138"/>
      <c r="AO64" s="138"/>
      <c r="AP64" s="138"/>
      <c r="AQ64" s="138"/>
      <c r="AR64" s="138"/>
      <c r="AS64" s="138"/>
      <c r="AT64" s="138"/>
      <c r="AU64" s="138"/>
      <c r="AV64" s="138"/>
      <c r="AW64" s="138"/>
      <c r="AX64" s="138"/>
    </row>
    <row r="65">
      <c r="A65" s="9">
        <f t="shared" si="7"/>
        <v>59</v>
      </c>
      <c r="B65" s="311" t="s">
        <v>111</v>
      </c>
      <c r="C65" s="11" t="s">
        <v>240</v>
      </c>
      <c r="D65" s="11">
        <v>16.0</v>
      </c>
      <c r="E65" s="14" t="s">
        <v>109</v>
      </c>
      <c r="F65" s="11">
        <v>2023.0</v>
      </c>
      <c r="G65" s="11">
        <v>2023.0</v>
      </c>
      <c r="H65" s="11">
        <f>A4-F65</f>
        <v>3</v>
      </c>
      <c r="I65" s="51" t="s">
        <v>486</v>
      </c>
      <c r="J65" s="11">
        <v>7684.0</v>
      </c>
      <c r="K65" s="11" t="s">
        <v>243</v>
      </c>
      <c r="L65" s="11" t="s">
        <v>160</v>
      </c>
      <c r="M65" s="11" t="s">
        <v>332</v>
      </c>
      <c r="N65" s="11">
        <v>2023.0</v>
      </c>
      <c r="O65" s="11">
        <f>A4-N65</f>
        <v>3</v>
      </c>
      <c r="P65" s="11" t="s">
        <v>245</v>
      </c>
      <c r="Q65" s="11" t="s">
        <v>163</v>
      </c>
      <c r="R65" s="52" t="s">
        <v>506</v>
      </c>
      <c r="S65" s="52" t="s">
        <v>507</v>
      </c>
      <c r="T65" s="53">
        <v>47071.0</v>
      </c>
      <c r="U65" s="54" t="str">
        <f t="shared" si="1"/>
        <v>Berlaku</v>
      </c>
      <c r="V65" s="317">
        <v>46340.0</v>
      </c>
      <c r="W65" s="54" t="str">
        <f t="shared" si="2"/>
        <v>Akan Habis</v>
      </c>
      <c r="X65" s="320">
        <v>46333.0</v>
      </c>
      <c r="Y65" s="54" t="str">
        <f t="shared" si="3"/>
        <v>Akan Habis</v>
      </c>
      <c r="Z65" s="320">
        <v>46333.0</v>
      </c>
      <c r="AA65" s="54" t="str">
        <f t="shared" si="4"/>
        <v>Berlaku</v>
      </c>
      <c r="AB65" s="53">
        <f>VLOOKUP(B65,'DATA EXP TERA'!$C$3:$D$85,2,0)</f>
        <v>46711</v>
      </c>
      <c r="AC65" s="54" t="str">
        <f t="shared" si="5"/>
        <v>Berlaku</v>
      </c>
      <c r="AD65" s="315">
        <v>46340.0</v>
      </c>
      <c r="AE65" s="56" t="str">
        <f t="shared" si="6"/>
        <v>Berlaku</v>
      </c>
      <c r="AF65" s="57" t="s">
        <v>166</v>
      </c>
      <c r="AG65" s="57" t="s">
        <v>167</v>
      </c>
      <c r="AH65" s="14"/>
      <c r="AI65" s="115" t="s">
        <v>512</v>
      </c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46"/>
      <c r="AU65" s="146"/>
      <c r="AV65" s="146"/>
      <c r="AW65" s="146"/>
      <c r="AX65" s="146"/>
    </row>
    <row r="66">
      <c r="A66" s="9">
        <f t="shared" si="7"/>
        <v>60</v>
      </c>
      <c r="B66" s="311" t="s">
        <v>113</v>
      </c>
      <c r="C66" s="9" t="s">
        <v>153</v>
      </c>
      <c r="D66" s="9">
        <v>24.0</v>
      </c>
      <c r="E66" s="24" t="s">
        <v>109</v>
      </c>
      <c r="F66" s="9">
        <v>2023.0</v>
      </c>
      <c r="G66" s="9">
        <v>2023.0</v>
      </c>
      <c r="H66" s="11">
        <f>A4-F66</f>
        <v>3</v>
      </c>
      <c r="I66" s="117" t="s">
        <v>513</v>
      </c>
      <c r="J66" s="9">
        <v>7684.0</v>
      </c>
      <c r="K66" s="11" t="s">
        <v>243</v>
      </c>
      <c r="L66" s="9" t="s">
        <v>160</v>
      </c>
      <c r="M66" s="9" t="s">
        <v>332</v>
      </c>
      <c r="N66" s="9">
        <v>2023.0</v>
      </c>
      <c r="O66" s="11">
        <f>A4-N66</f>
        <v>3</v>
      </c>
      <c r="P66" s="9" t="s">
        <v>162</v>
      </c>
      <c r="Q66" s="9" t="s">
        <v>163</v>
      </c>
      <c r="R66" s="118" t="s">
        <v>514</v>
      </c>
      <c r="S66" s="118" t="s">
        <v>515</v>
      </c>
      <c r="T66" s="53">
        <v>47115.0</v>
      </c>
      <c r="U66" s="54" t="str">
        <f t="shared" si="1"/>
        <v>Berlaku</v>
      </c>
      <c r="V66" s="317">
        <v>46384.0</v>
      </c>
      <c r="W66" s="54" t="str">
        <f t="shared" si="2"/>
        <v>Berlaku</v>
      </c>
      <c r="X66" s="317">
        <v>46211.0</v>
      </c>
      <c r="Y66" s="54" t="str">
        <f t="shared" si="3"/>
        <v>Habis</v>
      </c>
      <c r="Z66" s="317">
        <v>46211.0</v>
      </c>
      <c r="AA66" s="54" t="str">
        <f t="shared" si="4"/>
        <v>Habis</v>
      </c>
      <c r="AB66" s="53">
        <v>46771.0</v>
      </c>
      <c r="AC66" s="54" t="str">
        <f t="shared" si="5"/>
        <v>Berlaku</v>
      </c>
      <c r="AD66" s="315">
        <v>46210.0</v>
      </c>
      <c r="AE66" s="56" t="str">
        <f t="shared" si="6"/>
        <v>Habis</v>
      </c>
      <c r="AF66" s="57" t="s">
        <v>166</v>
      </c>
      <c r="AG66" s="57" t="s">
        <v>167</v>
      </c>
      <c r="AH66" s="200"/>
      <c r="AI66" s="115" t="s">
        <v>520</v>
      </c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46"/>
      <c r="AU66" s="146"/>
      <c r="AV66" s="146"/>
      <c r="AW66" s="146"/>
      <c r="AX66" s="146"/>
    </row>
    <row r="67">
      <c r="A67" s="9">
        <f t="shared" si="7"/>
        <v>61</v>
      </c>
      <c r="B67" s="311" t="s">
        <v>114</v>
      </c>
      <c r="C67" s="9" t="s">
        <v>153</v>
      </c>
      <c r="D67" s="9">
        <v>24.0</v>
      </c>
      <c r="E67" s="24" t="s">
        <v>109</v>
      </c>
      <c r="F67" s="9">
        <v>2023.0</v>
      </c>
      <c r="G67" s="9">
        <v>2024.0</v>
      </c>
      <c r="H67" s="11">
        <f>A4-F67</f>
        <v>3</v>
      </c>
      <c r="I67" s="117" t="s">
        <v>521</v>
      </c>
      <c r="J67" s="9">
        <v>7684.0</v>
      </c>
      <c r="K67" s="11" t="s">
        <v>243</v>
      </c>
      <c r="L67" s="9" t="s">
        <v>160</v>
      </c>
      <c r="M67" s="9" t="s">
        <v>332</v>
      </c>
      <c r="N67" s="9">
        <v>2023.0</v>
      </c>
      <c r="O67" s="11">
        <f>A4-N67</f>
        <v>3</v>
      </c>
      <c r="P67" s="9" t="s">
        <v>162</v>
      </c>
      <c r="Q67" s="9" t="s">
        <v>163</v>
      </c>
      <c r="R67" s="118" t="s">
        <v>523</v>
      </c>
      <c r="S67" s="118" t="s">
        <v>524</v>
      </c>
      <c r="T67" s="53">
        <v>47133.0</v>
      </c>
      <c r="U67" s="54" t="str">
        <f t="shared" si="1"/>
        <v>Berlaku</v>
      </c>
      <c r="V67" s="317">
        <v>46402.0</v>
      </c>
      <c r="W67" s="54" t="str">
        <f t="shared" si="2"/>
        <v>Berlaku</v>
      </c>
      <c r="X67" s="317">
        <v>46211.0</v>
      </c>
      <c r="Y67" s="54" t="str">
        <f t="shared" si="3"/>
        <v>Habis</v>
      </c>
      <c r="Z67" s="317">
        <v>46211.0</v>
      </c>
      <c r="AA67" s="54" t="str">
        <f t="shared" si="4"/>
        <v>Habis</v>
      </c>
      <c r="AB67" s="317">
        <v>46401.0</v>
      </c>
      <c r="AC67" s="54" t="str">
        <f t="shared" si="5"/>
        <v>Berlaku</v>
      </c>
      <c r="AD67" s="315">
        <v>46210.0</v>
      </c>
      <c r="AE67" s="56" t="str">
        <f t="shared" si="6"/>
        <v>Habis</v>
      </c>
      <c r="AF67" s="57" t="s">
        <v>166</v>
      </c>
      <c r="AG67" s="57" t="s">
        <v>167</v>
      </c>
      <c r="AH67" s="200"/>
      <c r="AI67" s="115" t="s">
        <v>531</v>
      </c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</row>
    <row r="68">
      <c r="A68" s="9">
        <f t="shared" si="7"/>
        <v>62</v>
      </c>
      <c r="B68" s="52" t="s">
        <v>115</v>
      </c>
      <c r="C68" s="22" t="s">
        <v>240</v>
      </c>
      <c r="D68" s="22">
        <v>16.0</v>
      </c>
      <c r="E68" s="14" t="s">
        <v>116</v>
      </c>
      <c r="F68" s="11">
        <v>2018.0</v>
      </c>
      <c r="G68" s="11">
        <v>2018.0</v>
      </c>
      <c r="H68" s="11">
        <f>A4-F68</f>
        <v>8</v>
      </c>
      <c r="I68" s="51" t="s">
        <v>534</v>
      </c>
      <c r="J68" s="11">
        <v>7790.0</v>
      </c>
      <c r="K68" s="11" t="s">
        <v>159</v>
      </c>
      <c r="L68" s="11" t="s">
        <v>316</v>
      </c>
      <c r="M68" s="11" t="s">
        <v>161</v>
      </c>
      <c r="N68" s="11">
        <v>2018.0</v>
      </c>
      <c r="O68" s="11">
        <f>A4-N68</f>
        <v>8</v>
      </c>
      <c r="P68" s="11" t="s">
        <v>245</v>
      </c>
      <c r="Q68" s="11" t="s">
        <v>467</v>
      </c>
      <c r="R68" s="52" t="s">
        <v>535</v>
      </c>
      <c r="S68" s="52" t="s">
        <v>536</v>
      </c>
      <c r="T68" s="319">
        <v>46999.0</v>
      </c>
      <c r="U68" s="54" t="str">
        <f t="shared" si="1"/>
        <v>Berlaku</v>
      </c>
      <c r="V68" s="320">
        <v>46268.0</v>
      </c>
      <c r="W68" s="54" t="str">
        <f t="shared" si="2"/>
        <v>Habis</v>
      </c>
      <c r="X68" s="323">
        <v>46268.0</v>
      </c>
      <c r="Y68" s="54" t="str">
        <f t="shared" si="3"/>
        <v>Habis</v>
      </c>
      <c r="Z68" s="323">
        <v>46268.0</v>
      </c>
      <c r="AA68" s="54" t="str">
        <f t="shared" si="4"/>
        <v>Habis</v>
      </c>
      <c r="AB68" s="53">
        <f>VLOOKUP(B68,'DATA EXP TERA'!$C$3:$D$85,2,0)</f>
        <v>46648</v>
      </c>
      <c r="AC68" s="54" t="str">
        <f t="shared" si="5"/>
        <v>Berlaku</v>
      </c>
      <c r="AD68" s="315">
        <v>46340.0</v>
      </c>
      <c r="AE68" s="56" t="str">
        <f t="shared" si="6"/>
        <v>Berlaku</v>
      </c>
      <c r="AF68" s="57" t="s">
        <v>166</v>
      </c>
      <c r="AG68" s="57" t="s">
        <v>167</v>
      </c>
      <c r="AH68" s="213"/>
      <c r="AI68" s="115" t="s">
        <v>544</v>
      </c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177"/>
      <c r="AU68" s="177"/>
      <c r="AV68" s="177"/>
      <c r="AW68" s="177"/>
      <c r="AX68" s="177"/>
    </row>
    <row r="69">
      <c r="A69" s="9">
        <f t="shared" si="7"/>
        <v>63</v>
      </c>
      <c r="B69" s="311" t="s">
        <v>117</v>
      </c>
      <c r="C69" s="9" t="s">
        <v>240</v>
      </c>
      <c r="D69" s="9">
        <v>16.0</v>
      </c>
      <c r="E69" s="24" t="s">
        <v>118</v>
      </c>
      <c r="F69" s="9">
        <v>2023.0</v>
      </c>
      <c r="G69" s="9">
        <v>2024.0</v>
      </c>
      <c r="H69" s="11">
        <f>A4-F69</f>
        <v>3</v>
      </c>
      <c r="I69" s="117" t="s">
        <v>486</v>
      </c>
      <c r="J69" s="9">
        <v>7684.0</v>
      </c>
      <c r="K69" s="11" t="s">
        <v>243</v>
      </c>
      <c r="L69" s="9" t="s">
        <v>160</v>
      </c>
      <c r="M69" s="9" t="s">
        <v>332</v>
      </c>
      <c r="N69" s="9">
        <v>2023.0</v>
      </c>
      <c r="O69" s="11">
        <f>A4-N69</f>
        <v>3</v>
      </c>
      <c r="P69" s="9" t="s">
        <v>245</v>
      </c>
      <c r="Q69" s="9" t="s">
        <v>163</v>
      </c>
      <c r="R69" s="118" t="s">
        <v>548</v>
      </c>
      <c r="S69" s="118" t="s">
        <v>549</v>
      </c>
      <c r="T69" s="53">
        <v>47199.0</v>
      </c>
      <c r="U69" s="54" t="str">
        <f t="shared" si="1"/>
        <v>Berlaku</v>
      </c>
      <c r="V69" s="317">
        <v>46468.0</v>
      </c>
      <c r="W69" s="54" t="str">
        <f t="shared" si="2"/>
        <v>Berlaku</v>
      </c>
      <c r="X69" s="317">
        <v>46304.0</v>
      </c>
      <c r="Y69" s="54" t="str">
        <f t="shared" si="3"/>
        <v>Akan Habis</v>
      </c>
      <c r="Z69" s="317">
        <v>46304.0</v>
      </c>
      <c r="AA69" s="54" t="str">
        <f t="shared" si="4"/>
        <v>Akan Habis</v>
      </c>
      <c r="AB69" s="53">
        <f>VLOOKUP(B69,'DATA EXP TERA'!$C$3:$D$85,2,0)</f>
        <v>46493</v>
      </c>
      <c r="AC69" s="54" t="str">
        <f t="shared" si="5"/>
        <v>Berlaku</v>
      </c>
      <c r="AD69" s="324">
        <v>46304.0</v>
      </c>
      <c r="AE69" s="56" t="str">
        <f t="shared" si="6"/>
        <v>Akan Habis</v>
      </c>
      <c r="AF69" s="96" t="s">
        <v>322</v>
      </c>
      <c r="AG69" s="57" t="s">
        <v>167</v>
      </c>
      <c r="AH69" s="24"/>
      <c r="AI69" s="115" t="s">
        <v>556</v>
      </c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177"/>
      <c r="AU69" s="177"/>
      <c r="AV69" s="177"/>
      <c r="AW69" s="177"/>
      <c r="AX69" s="177"/>
    </row>
    <row r="70">
      <c r="A70" s="9">
        <f t="shared" si="7"/>
        <v>64</v>
      </c>
      <c r="B70" s="311" t="s">
        <v>119</v>
      </c>
      <c r="C70" s="9" t="s">
        <v>240</v>
      </c>
      <c r="D70" s="9">
        <v>16.0</v>
      </c>
      <c r="E70" s="24" t="s">
        <v>118</v>
      </c>
      <c r="F70" s="9">
        <v>2024.0</v>
      </c>
      <c r="G70" s="9">
        <v>2024.0</v>
      </c>
      <c r="H70" s="11">
        <f>A4-F70</f>
        <v>2</v>
      </c>
      <c r="I70" s="117" t="s">
        <v>486</v>
      </c>
      <c r="J70" s="9">
        <v>7684.0</v>
      </c>
      <c r="K70" s="11" t="s">
        <v>243</v>
      </c>
      <c r="L70" s="9" t="s">
        <v>160</v>
      </c>
      <c r="M70" s="9" t="s">
        <v>267</v>
      </c>
      <c r="N70" s="9">
        <v>2024.0</v>
      </c>
      <c r="O70" s="11">
        <f>A4-N70</f>
        <v>2</v>
      </c>
      <c r="P70" s="9" t="s">
        <v>245</v>
      </c>
      <c r="Q70" s="9" t="s">
        <v>163</v>
      </c>
      <c r="R70" s="118" t="s">
        <v>557</v>
      </c>
      <c r="S70" s="118" t="s">
        <v>558</v>
      </c>
      <c r="T70" s="53">
        <v>47360.0</v>
      </c>
      <c r="U70" s="54" t="str">
        <f t="shared" si="1"/>
        <v>Berlaku</v>
      </c>
      <c r="V70" s="317">
        <v>46264.0</v>
      </c>
      <c r="W70" s="54" t="str">
        <f t="shared" si="2"/>
        <v>Habis</v>
      </c>
      <c r="X70" s="317">
        <v>46268.0</v>
      </c>
      <c r="Y70" s="54" t="str">
        <f t="shared" si="3"/>
        <v>Habis</v>
      </c>
      <c r="Z70" s="317">
        <v>46267.0</v>
      </c>
      <c r="AA70" s="54" t="str">
        <f t="shared" si="4"/>
        <v>Habis</v>
      </c>
      <c r="AB70" s="53">
        <f>VLOOKUP(B70,'DATA EXP TERA'!$C$3:$D$85,2,0)</f>
        <v>46277</v>
      </c>
      <c r="AC70" s="54" t="str">
        <f t="shared" si="5"/>
        <v>Habis</v>
      </c>
      <c r="AD70" s="315">
        <v>46340.0</v>
      </c>
      <c r="AE70" s="56" t="str">
        <f t="shared" si="6"/>
        <v>Berlaku</v>
      </c>
      <c r="AF70" s="96" t="s">
        <v>322</v>
      </c>
      <c r="AG70" s="57" t="s">
        <v>167</v>
      </c>
      <c r="AH70" s="200"/>
      <c r="AI70" s="115" t="s">
        <v>564</v>
      </c>
      <c r="AJ70" s="177"/>
      <c r="AK70" s="177"/>
      <c r="AL70" s="177"/>
      <c r="AM70" s="177"/>
      <c r="AN70" s="177"/>
      <c r="AO70" s="177"/>
      <c r="AP70" s="177"/>
      <c r="AQ70" s="165"/>
      <c r="AR70" s="165"/>
      <c r="AS70" s="177"/>
      <c r="AT70" s="146"/>
      <c r="AU70" s="146"/>
      <c r="AV70" s="146"/>
      <c r="AW70" s="146"/>
      <c r="AX70" s="146"/>
    </row>
    <row r="71">
      <c r="A71" s="9">
        <f t="shared" si="7"/>
        <v>65</v>
      </c>
      <c r="B71" s="311" t="s">
        <v>120</v>
      </c>
      <c r="C71" s="22" t="s">
        <v>324</v>
      </c>
      <c r="D71" s="22">
        <v>8.0</v>
      </c>
      <c r="E71" s="24" t="s">
        <v>118</v>
      </c>
      <c r="F71" s="9">
        <v>2024.0</v>
      </c>
      <c r="G71" s="9">
        <v>2024.0</v>
      </c>
      <c r="H71" s="11">
        <f>A4-F71</f>
        <v>2</v>
      </c>
      <c r="I71" s="117" t="s">
        <v>568</v>
      </c>
      <c r="J71" s="9">
        <v>7545.0</v>
      </c>
      <c r="K71" s="11" t="s">
        <v>243</v>
      </c>
      <c r="L71" s="9" t="s">
        <v>160</v>
      </c>
      <c r="M71" s="9" t="s">
        <v>559</v>
      </c>
      <c r="N71" s="9">
        <v>2024.0</v>
      </c>
      <c r="O71" s="11">
        <f>A4-N71</f>
        <v>2</v>
      </c>
      <c r="P71" s="9" t="s">
        <v>245</v>
      </c>
      <c r="Q71" s="9" t="s">
        <v>569</v>
      </c>
      <c r="R71" s="24" t="s">
        <v>570</v>
      </c>
      <c r="S71" s="118" t="s">
        <v>571</v>
      </c>
      <c r="T71" s="319">
        <v>47337.0</v>
      </c>
      <c r="U71" s="54" t="str">
        <f t="shared" si="1"/>
        <v>Berlaku</v>
      </c>
      <c r="V71" s="320">
        <v>46241.0</v>
      </c>
      <c r="W71" s="54" t="str">
        <f t="shared" si="2"/>
        <v>Habis</v>
      </c>
      <c r="X71" s="317">
        <v>46270.0</v>
      </c>
      <c r="Y71" s="54" t="str">
        <f t="shared" si="3"/>
        <v>Habis</v>
      </c>
      <c r="Z71" s="317">
        <v>46270.0</v>
      </c>
      <c r="AA71" s="54" t="str">
        <f t="shared" si="4"/>
        <v>Habis</v>
      </c>
      <c r="AB71" s="53">
        <f>VLOOKUP(B71,'DATA EXP TERA'!$C$3:$D$85,2,0)</f>
        <v>46325</v>
      </c>
      <c r="AC71" s="54" t="str">
        <f t="shared" si="5"/>
        <v>Akan Habis</v>
      </c>
      <c r="AD71" s="315">
        <v>46302.0</v>
      </c>
      <c r="AE71" s="56" t="str">
        <f t="shared" si="6"/>
        <v>Habis dalam 7-1 Hari</v>
      </c>
      <c r="AF71" s="96" t="s">
        <v>322</v>
      </c>
      <c r="AG71" s="57" t="s">
        <v>167</v>
      </c>
      <c r="AH71" s="218"/>
      <c r="AI71" s="115" t="s">
        <v>578</v>
      </c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138"/>
      <c r="AU71" s="138"/>
      <c r="AV71" s="138"/>
      <c r="AW71" s="138"/>
      <c r="AX71" s="138"/>
    </row>
    <row r="72">
      <c r="A72" s="9">
        <f t="shared" si="7"/>
        <v>66</v>
      </c>
      <c r="B72" s="311" t="s">
        <v>121</v>
      </c>
      <c r="C72" s="22" t="s">
        <v>240</v>
      </c>
      <c r="D72" s="22">
        <v>16.0</v>
      </c>
      <c r="E72" s="24" t="s">
        <v>118</v>
      </c>
      <c r="F72" s="9">
        <v>2024.0</v>
      </c>
      <c r="G72" s="9">
        <v>2024.0</v>
      </c>
      <c r="H72" s="11">
        <f>A4-F72</f>
        <v>2</v>
      </c>
      <c r="I72" s="117" t="s">
        <v>579</v>
      </c>
      <c r="J72" s="9">
        <v>7684.0</v>
      </c>
      <c r="K72" s="11" t="s">
        <v>243</v>
      </c>
      <c r="L72" s="9" t="s">
        <v>316</v>
      </c>
      <c r="M72" s="9" t="s">
        <v>580</v>
      </c>
      <c r="N72" s="9">
        <v>2025.0</v>
      </c>
      <c r="O72" s="11">
        <f>A4-N72</f>
        <v>1</v>
      </c>
      <c r="P72" s="9" t="s">
        <v>245</v>
      </c>
      <c r="Q72" s="9" t="s">
        <v>163</v>
      </c>
      <c r="R72" s="24" t="s">
        <v>582</v>
      </c>
      <c r="S72" s="118" t="s">
        <v>583</v>
      </c>
      <c r="T72" s="319">
        <v>47673.0</v>
      </c>
      <c r="U72" s="54" t="str">
        <f t="shared" si="1"/>
        <v>Berlaku</v>
      </c>
      <c r="V72" s="320">
        <v>46212.0</v>
      </c>
      <c r="W72" s="54" t="str">
        <f t="shared" si="2"/>
        <v>Habis</v>
      </c>
      <c r="X72" s="317">
        <v>46257.0</v>
      </c>
      <c r="Y72" s="54" t="str">
        <f t="shared" si="3"/>
        <v>Habis</v>
      </c>
      <c r="Z72" s="317">
        <v>46257.0</v>
      </c>
      <c r="AA72" s="54" t="str">
        <f t="shared" si="4"/>
        <v>Habis</v>
      </c>
      <c r="AB72" s="53">
        <f>VLOOKUP(B72,'DATA EXP TERA'!$C$3:$D$85,2,0)</f>
        <v>46634</v>
      </c>
      <c r="AC72" s="54" t="str">
        <f t="shared" si="5"/>
        <v>Berlaku</v>
      </c>
      <c r="AD72" s="315">
        <v>46340.0</v>
      </c>
      <c r="AE72" s="56" t="str">
        <f t="shared" si="6"/>
        <v>Berlaku</v>
      </c>
      <c r="AF72" s="96" t="s">
        <v>322</v>
      </c>
      <c r="AG72" s="57" t="s">
        <v>167</v>
      </c>
      <c r="AH72" s="229"/>
      <c r="AI72" s="115" t="s">
        <v>592</v>
      </c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177"/>
      <c r="AU72" s="177"/>
      <c r="AV72" s="177"/>
      <c r="AW72" s="177"/>
      <c r="AX72" s="177"/>
    </row>
    <row r="73">
      <c r="A73" s="9">
        <f t="shared" si="7"/>
        <v>67</v>
      </c>
      <c r="B73" s="311" t="s">
        <v>122</v>
      </c>
      <c r="C73" s="11" t="s">
        <v>240</v>
      </c>
      <c r="D73" s="11">
        <v>16.0</v>
      </c>
      <c r="E73" s="14" t="s">
        <v>118</v>
      </c>
      <c r="F73" s="11">
        <v>2024.0</v>
      </c>
      <c r="G73" s="11">
        <v>2025.0</v>
      </c>
      <c r="H73" s="11">
        <f>A4-F73</f>
        <v>2</v>
      </c>
      <c r="I73" s="51" t="s">
        <v>593</v>
      </c>
      <c r="J73" s="11">
        <v>7684.0</v>
      </c>
      <c r="K73" s="11" t="s">
        <v>243</v>
      </c>
      <c r="L73" s="11" t="s">
        <v>160</v>
      </c>
      <c r="M73" s="11" t="s">
        <v>267</v>
      </c>
      <c r="N73" s="11">
        <v>2025.0</v>
      </c>
      <c r="O73" s="11">
        <f>A4-N73</f>
        <v>1</v>
      </c>
      <c r="P73" s="11" t="s">
        <v>162</v>
      </c>
      <c r="Q73" s="11" t="s">
        <v>163</v>
      </c>
      <c r="R73" s="14" t="s">
        <v>596</v>
      </c>
      <c r="S73" s="52" t="s">
        <v>597</v>
      </c>
      <c r="T73" s="321">
        <v>47563.0</v>
      </c>
      <c r="U73" s="54" t="str">
        <f t="shared" si="1"/>
        <v>Berlaku</v>
      </c>
      <c r="V73" s="317">
        <v>46467.0</v>
      </c>
      <c r="W73" s="54" t="str">
        <f t="shared" si="2"/>
        <v>Berlaku</v>
      </c>
      <c r="X73" s="317">
        <v>46270.0</v>
      </c>
      <c r="Y73" s="54" t="str">
        <f t="shared" si="3"/>
        <v>Habis</v>
      </c>
      <c r="Z73" s="317">
        <v>46270.0</v>
      </c>
      <c r="AA73" s="54" t="str">
        <f t="shared" si="4"/>
        <v>Habis</v>
      </c>
      <c r="AB73" s="53">
        <f>VLOOKUP(B73,'DATA EXP TERA'!$C$3:$D$85,2,0)</f>
        <v>46492</v>
      </c>
      <c r="AC73" s="54" t="str">
        <f t="shared" si="5"/>
        <v>Berlaku</v>
      </c>
      <c r="AD73" s="315">
        <v>46302.0</v>
      </c>
      <c r="AE73" s="56" t="str">
        <f t="shared" si="6"/>
        <v>Habis dalam 7-1 Hari</v>
      </c>
      <c r="AF73" s="96" t="s">
        <v>322</v>
      </c>
      <c r="AG73" s="57" t="s">
        <v>167</v>
      </c>
      <c r="AH73" s="14"/>
      <c r="AI73" s="115" t="s">
        <v>607</v>
      </c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177"/>
      <c r="AU73" s="177"/>
      <c r="AV73" s="177"/>
      <c r="AW73" s="177"/>
      <c r="AX73" s="177"/>
    </row>
    <row r="74">
      <c r="A74" s="9">
        <f t="shared" si="7"/>
        <v>68</v>
      </c>
      <c r="B74" s="118" t="s">
        <v>123</v>
      </c>
      <c r="C74" s="9" t="s">
        <v>153</v>
      </c>
      <c r="D74" s="9">
        <v>24.0</v>
      </c>
      <c r="E74" s="29" t="s">
        <v>124</v>
      </c>
      <c r="F74" s="22">
        <v>2025.0</v>
      </c>
      <c r="G74" s="22">
        <v>2026.0</v>
      </c>
      <c r="H74" s="9">
        <f>A4-F74</f>
        <v>1</v>
      </c>
      <c r="I74" s="139" t="s">
        <v>609</v>
      </c>
      <c r="J74" s="22">
        <v>7684.0</v>
      </c>
      <c r="K74" s="9" t="s">
        <v>243</v>
      </c>
      <c r="L74" s="9" t="s">
        <v>160</v>
      </c>
      <c r="M74" s="9" t="s">
        <v>161</v>
      </c>
      <c r="N74" s="9">
        <v>2016.0</v>
      </c>
      <c r="O74" s="9">
        <v>10.0</v>
      </c>
      <c r="P74" s="9" t="s">
        <v>162</v>
      </c>
      <c r="Q74" s="22" t="s">
        <v>610</v>
      </c>
      <c r="R74" s="140" t="s">
        <v>611</v>
      </c>
      <c r="S74" s="140" t="s">
        <v>612</v>
      </c>
      <c r="T74" s="325">
        <v>47937.0</v>
      </c>
      <c r="U74" s="153" t="str">
        <f t="shared" si="1"/>
        <v>Berlaku</v>
      </c>
      <c r="V74" s="325">
        <v>46476.0</v>
      </c>
      <c r="W74" s="153" t="str">
        <f t="shared" si="2"/>
        <v>Berlaku</v>
      </c>
      <c r="X74" s="53">
        <v>46301.0</v>
      </c>
      <c r="Y74" s="153" t="str">
        <f t="shared" si="3"/>
        <v>Habis dalam 7-1 Hari</v>
      </c>
      <c r="Z74" s="53">
        <v>46483.0</v>
      </c>
      <c r="AA74" s="153" t="str">
        <f t="shared" si="4"/>
        <v>Berlaku</v>
      </c>
      <c r="AB74" s="317">
        <v>46856.0</v>
      </c>
      <c r="AC74" s="153" t="str">
        <f t="shared" si="5"/>
        <v>Berlaku</v>
      </c>
      <c r="AD74" s="315">
        <v>46320.0</v>
      </c>
      <c r="AE74" s="154" t="str">
        <f t="shared" si="6"/>
        <v>Berlaku</v>
      </c>
      <c r="AF74" s="155" t="s">
        <v>166</v>
      </c>
      <c r="AG74" s="155" t="s">
        <v>167</v>
      </c>
      <c r="AH74" s="29"/>
      <c r="AI74" s="29" t="s">
        <v>617</v>
      </c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</row>
    <row r="75">
      <c r="A75" s="9">
        <f t="shared" si="7"/>
        <v>69</v>
      </c>
      <c r="B75" s="118" t="s">
        <v>125</v>
      </c>
      <c r="C75" s="9" t="s">
        <v>153</v>
      </c>
      <c r="D75" s="9">
        <v>24.0</v>
      </c>
      <c r="E75" s="29" t="s">
        <v>124</v>
      </c>
      <c r="F75" s="22">
        <v>2025.0</v>
      </c>
      <c r="G75" s="22">
        <v>2026.0</v>
      </c>
      <c r="H75" s="11">
        <f>A4-F75</f>
        <v>1</v>
      </c>
      <c r="I75" s="139" t="s">
        <v>609</v>
      </c>
      <c r="J75" s="22">
        <v>7684.0</v>
      </c>
      <c r="K75" s="9" t="s">
        <v>243</v>
      </c>
      <c r="L75" s="9" t="s">
        <v>160</v>
      </c>
      <c r="M75" s="9" t="s">
        <v>161</v>
      </c>
      <c r="N75" s="9">
        <v>2016.0</v>
      </c>
      <c r="O75" s="9">
        <v>10.0</v>
      </c>
      <c r="P75" s="9" t="s">
        <v>162</v>
      </c>
      <c r="Q75" s="22" t="s">
        <v>610</v>
      </c>
      <c r="R75" s="140" t="s">
        <v>618</v>
      </c>
      <c r="S75" s="140" t="s">
        <v>619</v>
      </c>
      <c r="T75" s="325">
        <v>47911.0</v>
      </c>
      <c r="U75" s="153" t="str">
        <f t="shared" si="1"/>
        <v>Berlaku</v>
      </c>
      <c r="V75" s="325">
        <v>46450.0</v>
      </c>
      <c r="W75" s="153" t="str">
        <f t="shared" si="2"/>
        <v>Berlaku</v>
      </c>
      <c r="X75" s="53">
        <v>46278.0</v>
      </c>
      <c r="Y75" s="153" t="str">
        <f t="shared" si="3"/>
        <v>Habis</v>
      </c>
      <c r="Z75" s="317">
        <v>46278.0</v>
      </c>
      <c r="AA75" s="153" t="str">
        <f t="shared" si="4"/>
        <v>Habis</v>
      </c>
      <c r="AB75" s="317">
        <v>46829.0</v>
      </c>
      <c r="AC75" s="153" t="str">
        <f t="shared" si="5"/>
        <v>Berlaku</v>
      </c>
      <c r="AD75" s="317">
        <v>46285.0</v>
      </c>
      <c r="AE75" s="154" t="str">
        <f t="shared" si="6"/>
        <v>Habis</v>
      </c>
      <c r="AF75" s="155" t="s">
        <v>166</v>
      </c>
      <c r="AG75" s="155" t="s">
        <v>167</v>
      </c>
      <c r="AH75" s="29"/>
      <c r="AI75" s="29" t="s">
        <v>620</v>
      </c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146"/>
      <c r="AU75" s="146"/>
      <c r="AV75" s="146"/>
      <c r="AW75" s="146"/>
      <c r="AX75" s="146"/>
    </row>
    <row r="76">
      <c r="A76" s="9">
        <f t="shared" si="7"/>
        <v>70</v>
      </c>
      <c r="B76" s="311" t="s">
        <v>127</v>
      </c>
      <c r="C76" s="11" t="s">
        <v>153</v>
      </c>
      <c r="D76" s="11">
        <v>24.0</v>
      </c>
      <c r="E76" s="26" t="s">
        <v>124</v>
      </c>
      <c r="F76" s="19">
        <v>2022.0</v>
      </c>
      <c r="G76" s="19">
        <v>2022.0</v>
      </c>
      <c r="H76" s="11">
        <f>A4-F76</f>
        <v>4</v>
      </c>
      <c r="I76" s="137" t="s">
        <v>317</v>
      </c>
      <c r="J76" s="19">
        <v>7684.0</v>
      </c>
      <c r="K76" s="11" t="s">
        <v>243</v>
      </c>
      <c r="L76" s="11" t="s">
        <v>160</v>
      </c>
      <c r="M76" s="11" t="s">
        <v>332</v>
      </c>
      <c r="N76" s="11">
        <v>2012.0</v>
      </c>
      <c r="O76" s="11">
        <f>A4-N76</f>
        <v>14</v>
      </c>
      <c r="P76" s="11" t="s">
        <v>162</v>
      </c>
      <c r="Q76" s="19" t="s">
        <v>610</v>
      </c>
      <c r="R76" s="115" t="s">
        <v>621</v>
      </c>
      <c r="S76" s="115" t="s">
        <v>622</v>
      </c>
      <c r="T76" s="325">
        <v>46639.0</v>
      </c>
      <c r="U76" s="54" t="str">
        <f t="shared" si="1"/>
        <v>Berlaku</v>
      </c>
      <c r="V76" s="324">
        <v>46274.0</v>
      </c>
      <c r="W76" s="54" t="str">
        <f t="shared" si="2"/>
        <v>Habis</v>
      </c>
      <c r="X76" s="324">
        <v>46301.0</v>
      </c>
      <c r="Y76" s="54" t="str">
        <f t="shared" si="3"/>
        <v>Habis dalam 7-1 Hari</v>
      </c>
      <c r="Z76" s="324">
        <v>46301.0</v>
      </c>
      <c r="AA76" s="54" t="str">
        <f t="shared" si="4"/>
        <v>Habis dalam 7-1 Hari</v>
      </c>
      <c r="AB76" s="53">
        <f>VLOOKUP(B76,'DATA EXP TERA'!$C$3:$D$85,2,0)</f>
        <v>46312</v>
      </c>
      <c r="AC76" s="54" t="str">
        <f t="shared" si="5"/>
        <v>Akan Habis</v>
      </c>
      <c r="AD76" s="324">
        <v>46304.0</v>
      </c>
      <c r="AE76" s="56" t="str">
        <f t="shared" si="6"/>
        <v>Akan Habis</v>
      </c>
      <c r="AF76" s="96" t="s">
        <v>203</v>
      </c>
      <c r="AG76" s="57" t="s">
        <v>167</v>
      </c>
      <c r="AH76" s="175"/>
      <c r="AI76" s="5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214"/>
      <c r="AU76" s="214"/>
      <c r="AV76" s="214"/>
      <c r="AW76" s="214"/>
      <c r="AX76" s="214"/>
    </row>
    <row r="77">
      <c r="A77" s="9">
        <f t="shared" si="7"/>
        <v>71</v>
      </c>
      <c r="B77" s="466" t="s">
        <v>129</v>
      </c>
      <c r="C77" s="9" t="s">
        <v>153</v>
      </c>
      <c r="D77" s="9">
        <v>24.0</v>
      </c>
      <c r="E77" s="29" t="s">
        <v>133</v>
      </c>
      <c r="F77" s="22">
        <v>2024.0</v>
      </c>
      <c r="G77" s="22">
        <v>2025.0</v>
      </c>
      <c r="H77" s="11">
        <f>A4-F77</f>
        <v>2</v>
      </c>
      <c r="I77" s="139" t="s">
        <v>623</v>
      </c>
      <c r="J77" s="22">
        <v>7790.0</v>
      </c>
      <c r="K77" s="11" t="s">
        <v>243</v>
      </c>
      <c r="L77" s="9" t="s">
        <v>160</v>
      </c>
      <c r="M77" s="9" t="s">
        <v>559</v>
      </c>
      <c r="N77" s="9">
        <v>2025.0</v>
      </c>
      <c r="O77" s="11">
        <f>A4-N77</f>
        <v>1</v>
      </c>
      <c r="P77" s="9" t="s">
        <v>162</v>
      </c>
      <c r="Q77" s="22" t="s">
        <v>467</v>
      </c>
      <c r="R77" s="29" t="s">
        <v>624</v>
      </c>
      <c r="S77" s="29" t="s">
        <v>625</v>
      </c>
      <c r="T77" s="326">
        <v>47645.0</v>
      </c>
      <c r="U77" s="54" t="str">
        <f t="shared" si="1"/>
        <v>Berlaku</v>
      </c>
      <c r="V77" s="323">
        <v>46184.0</v>
      </c>
      <c r="W77" s="54" t="str">
        <f t="shared" si="2"/>
        <v>Habis</v>
      </c>
      <c r="X77" s="323">
        <v>46181.0</v>
      </c>
      <c r="Y77" s="54" t="str">
        <f t="shared" si="3"/>
        <v>Habis</v>
      </c>
      <c r="Z77" s="317">
        <v>46188.0</v>
      </c>
      <c r="AA77" s="54" t="str">
        <f t="shared" si="4"/>
        <v>Habis</v>
      </c>
      <c r="AB77" s="53">
        <v>46774.0</v>
      </c>
      <c r="AC77" s="54" t="str">
        <f t="shared" si="5"/>
        <v>Berlaku</v>
      </c>
      <c r="AD77" s="324">
        <v>46304.0</v>
      </c>
      <c r="AE77" s="56" t="str">
        <f t="shared" si="6"/>
        <v>Akan Habis</v>
      </c>
      <c r="AF77" s="96" t="s">
        <v>626</v>
      </c>
      <c r="AG77" s="57" t="s">
        <v>167</v>
      </c>
      <c r="AH77" s="245"/>
      <c r="AI77" s="246"/>
      <c r="AJ77" s="138"/>
      <c r="AK77" s="138"/>
      <c r="AL77" s="138"/>
      <c r="AM77" s="138"/>
      <c r="AN77" s="146"/>
      <c r="AO77" s="146"/>
      <c r="AP77" s="146"/>
      <c r="AQ77" s="138"/>
      <c r="AR77" s="138"/>
      <c r="AS77" s="146"/>
      <c r="AT77" s="214"/>
      <c r="AU77" s="214"/>
      <c r="AV77" s="214"/>
      <c r="AW77" s="214"/>
      <c r="AX77" s="214"/>
    </row>
    <row r="78">
      <c r="A78" s="9">
        <f t="shared" si="7"/>
        <v>72</v>
      </c>
      <c r="B78" s="311" t="s">
        <v>134</v>
      </c>
      <c r="C78" s="11" t="s">
        <v>153</v>
      </c>
      <c r="D78" s="11">
        <v>24.0</v>
      </c>
      <c r="E78" s="26" t="s">
        <v>133</v>
      </c>
      <c r="F78" s="19">
        <v>2024.0</v>
      </c>
      <c r="G78" s="19">
        <v>2025.0</v>
      </c>
      <c r="H78" s="11">
        <f>A4-F78</f>
        <v>2</v>
      </c>
      <c r="I78" s="137" t="s">
        <v>623</v>
      </c>
      <c r="J78" s="19">
        <v>7790.0</v>
      </c>
      <c r="K78" s="11" t="s">
        <v>243</v>
      </c>
      <c r="L78" s="11" t="s">
        <v>160</v>
      </c>
      <c r="M78" s="11" t="s">
        <v>559</v>
      </c>
      <c r="N78" s="11">
        <v>2025.0</v>
      </c>
      <c r="O78" s="11">
        <f>A4-N78</f>
        <v>1</v>
      </c>
      <c r="P78" s="11" t="s">
        <v>162</v>
      </c>
      <c r="Q78" s="19" t="s">
        <v>467</v>
      </c>
      <c r="R78" s="115" t="s">
        <v>627</v>
      </c>
      <c r="S78" s="115" t="s">
        <v>628</v>
      </c>
      <c r="T78" s="327">
        <v>47668.0</v>
      </c>
      <c r="U78" s="54" t="str">
        <f t="shared" si="1"/>
        <v>Berlaku</v>
      </c>
      <c r="V78" s="324">
        <v>46207.0</v>
      </c>
      <c r="W78" s="54" t="str">
        <f t="shared" si="2"/>
        <v>Habis</v>
      </c>
      <c r="X78" s="323">
        <v>46181.0</v>
      </c>
      <c r="Y78" s="54" t="str">
        <f t="shared" si="3"/>
        <v>Habis</v>
      </c>
      <c r="Z78" s="323">
        <v>46181.0</v>
      </c>
      <c r="AA78" s="54" t="str">
        <f t="shared" si="4"/>
        <v>Habis</v>
      </c>
      <c r="AB78" s="53">
        <f>VLOOKUP(B78,'DATA EXP TERA'!$C$3:$D$85,2,0)</f>
        <v>46591</v>
      </c>
      <c r="AC78" s="54" t="str">
        <f t="shared" si="5"/>
        <v>Berlaku</v>
      </c>
      <c r="AD78" s="315">
        <v>46223.0</v>
      </c>
      <c r="AE78" s="56" t="str">
        <f t="shared" si="6"/>
        <v>Habis</v>
      </c>
      <c r="AF78" s="96" t="s">
        <v>626</v>
      </c>
      <c r="AG78" s="57" t="s">
        <v>167</v>
      </c>
      <c r="AH78" s="163"/>
      <c r="AI78" s="246"/>
      <c r="AJ78" s="138"/>
      <c r="AK78" s="138"/>
      <c r="AL78" s="138"/>
      <c r="AM78" s="138"/>
      <c r="AN78" s="146"/>
      <c r="AO78" s="146"/>
      <c r="AP78" s="146"/>
      <c r="AQ78" s="138"/>
      <c r="AR78" s="138"/>
      <c r="AS78" s="146"/>
      <c r="AT78" s="214"/>
      <c r="AU78" s="214"/>
      <c r="AV78" s="214"/>
      <c r="AW78" s="214"/>
      <c r="AX78" s="214"/>
    </row>
    <row r="79">
      <c r="A79" s="9">
        <f t="shared" si="7"/>
        <v>73</v>
      </c>
      <c r="B79" s="477" t="s">
        <v>358</v>
      </c>
      <c r="C79" s="19" t="s">
        <v>240</v>
      </c>
      <c r="D79" s="19">
        <v>16.0</v>
      </c>
      <c r="E79" s="26" t="s">
        <v>142</v>
      </c>
      <c r="F79" s="19">
        <v>2016.0</v>
      </c>
      <c r="G79" s="19">
        <v>2017.0</v>
      </c>
      <c r="H79" s="11">
        <v>10.0</v>
      </c>
      <c r="I79" s="137" t="s">
        <v>678</v>
      </c>
      <c r="J79" s="19">
        <v>7790.0</v>
      </c>
      <c r="K79" s="11" t="s">
        <v>159</v>
      </c>
      <c r="L79" s="11" t="s">
        <v>160</v>
      </c>
      <c r="M79" s="19" t="s">
        <v>332</v>
      </c>
      <c r="N79" s="19">
        <v>2016.0</v>
      </c>
      <c r="O79" s="11">
        <v>10.0</v>
      </c>
      <c r="P79" s="19" t="s">
        <v>245</v>
      </c>
      <c r="Q79" s="19" t="s">
        <v>467</v>
      </c>
      <c r="R79" s="19" t="s">
        <v>680</v>
      </c>
      <c r="S79" s="115" t="s">
        <v>681</v>
      </c>
      <c r="T79" s="326">
        <v>46417.0</v>
      </c>
      <c r="U79" s="54" t="str">
        <f t="shared" si="1"/>
        <v>Berlaku</v>
      </c>
      <c r="V79" s="323">
        <v>46417.0</v>
      </c>
      <c r="W79" s="54" t="str">
        <f t="shared" si="2"/>
        <v>Berlaku</v>
      </c>
      <c r="X79" s="324">
        <v>46238.0</v>
      </c>
      <c r="Y79" s="54" t="str">
        <f t="shared" si="3"/>
        <v>Habis</v>
      </c>
      <c r="Z79" s="324">
        <v>46238.0</v>
      </c>
      <c r="AA79" s="54" t="str">
        <f t="shared" si="4"/>
        <v>Habis</v>
      </c>
      <c r="AB79" s="53">
        <f>VLOOKUP(B79,'DATA EXP TERA'!$C$3:$D$85,2,0)</f>
        <v>46802</v>
      </c>
      <c r="AC79" s="54" t="str">
        <f t="shared" si="5"/>
        <v>Berlaku</v>
      </c>
      <c r="AD79" s="315">
        <v>46258.0</v>
      </c>
      <c r="AE79" s="56" t="str">
        <f t="shared" si="6"/>
        <v>Habis</v>
      </c>
      <c r="AF79" s="57" t="s">
        <v>166</v>
      </c>
      <c r="AG79" s="57" t="s">
        <v>167</v>
      </c>
      <c r="AH79" s="163"/>
      <c r="AI79" s="58"/>
      <c r="AJ79" s="138"/>
      <c r="AK79" s="138"/>
      <c r="AL79" s="138"/>
      <c r="AM79" s="138"/>
      <c r="AN79" s="146"/>
      <c r="AO79" s="146"/>
      <c r="AP79" s="146"/>
      <c r="AQ79" s="138"/>
      <c r="AR79" s="138"/>
      <c r="AS79" s="146"/>
      <c r="AT79" s="138"/>
      <c r="AU79" s="138"/>
      <c r="AV79" s="138"/>
      <c r="AW79" s="138"/>
      <c r="AX79" s="138"/>
    </row>
    <row r="80">
      <c r="A80" s="9">
        <f t="shared" si="7"/>
        <v>74</v>
      </c>
      <c r="B80" s="477" t="s">
        <v>359</v>
      </c>
      <c r="C80" s="19" t="s">
        <v>240</v>
      </c>
      <c r="D80" s="19">
        <v>16.0</v>
      </c>
      <c r="E80" s="26" t="s">
        <v>142</v>
      </c>
      <c r="F80" s="19">
        <v>2016.0</v>
      </c>
      <c r="G80" s="19">
        <v>2017.0</v>
      </c>
      <c r="H80" s="11">
        <v>10.0</v>
      </c>
      <c r="I80" s="137" t="s">
        <v>678</v>
      </c>
      <c r="J80" s="19">
        <v>7790.0</v>
      </c>
      <c r="K80" s="11" t="s">
        <v>159</v>
      </c>
      <c r="L80" s="11" t="s">
        <v>160</v>
      </c>
      <c r="M80" s="19" t="s">
        <v>332</v>
      </c>
      <c r="N80" s="19">
        <v>2016.0</v>
      </c>
      <c r="O80" s="11">
        <v>10.0</v>
      </c>
      <c r="P80" s="19" t="s">
        <v>245</v>
      </c>
      <c r="Q80" s="19" t="s">
        <v>467</v>
      </c>
      <c r="R80" s="19" t="s">
        <v>682</v>
      </c>
      <c r="S80" s="115" t="s">
        <v>681</v>
      </c>
      <c r="T80" s="326">
        <v>46417.0</v>
      </c>
      <c r="U80" s="54" t="str">
        <f t="shared" si="1"/>
        <v>Berlaku</v>
      </c>
      <c r="V80" s="323">
        <v>46417.0</v>
      </c>
      <c r="W80" s="54" t="str">
        <f t="shared" si="2"/>
        <v>Berlaku</v>
      </c>
      <c r="X80" s="324">
        <v>46238.0</v>
      </c>
      <c r="Y80" s="54" t="str">
        <f t="shared" si="3"/>
        <v>Habis</v>
      </c>
      <c r="Z80" s="324">
        <v>46238.0</v>
      </c>
      <c r="AA80" s="54" t="str">
        <f t="shared" si="4"/>
        <v>Habis</v>
      </c>
      <c r="AB80" s="53">
        <f>VLOOKUP(B80,'DATA EXP TERA'!$C$3:$D$85,2,0)</f>
        <v>46438</v>
      </c>
      <c r="AC80" s="54" t="str">
        <f t="shared" si="5"/>
        <v>Berlaku</v>
      </c>
      <c r="AD80" s="315">
        <v>46340.0</v>
      </c>
      <c r="AE80" s="56" t="str">
        <f t="shared" si="6"/>
        <v>Berlaku</v>
      </c>
      <c r="AF80" s="57" t="s">
        <v>166</v>
      </c>
      <c r="AG80" s="57" t="s">
        <v>167</v>
      </c>
      <c r="AH80" s="163"/>
      <c r="AI80" s="58"/>
      <c r="AJ80" s="138"/>
      <c r="AK80" s="138"/>
      <c r="AL80" s="138"/>
      <c r="AM80" s="138"/>
      <c r="AN80" s="138"/>
      <c r="AO80" s="138"/>
      <c r="AP80" s="138"/>
      <c r="AQ80" s="138"/>
      <c r="AR80" s="138"/>
      <c r="AS80" s="138"/>
      <c r="AT80" s="138"/>
      <c r="AU80" s="138"/>
      <c r="AV80" s="138"/>
      <c r="AW80" s="138"/>
      <c r="AX80" s="138"/>
    </row>
    <row r="81">
      <c r="A81" s="9">
        <f t="shared" si="7"/>
        <v>75</v>
      </c>
      <c r="B81" s="477" t="s">
        <v>135</v>
      </c>
      <c r="C81" s="19" t="s">
        <v>240</v>
      </c>
      <c r="D81" s="19">
        <v>16.0</v>
      </c>
      <c r="E81" s="26" t="s">
        <v>142</v>
      </c>
      <c r="F81" s="19">
        <v>2017.0</v>
      </c>
      <c r="G81" s="19">
        <v>2018.0</v>
      </c>
      <c r="H81" s="11">
        <f>A4-F81</f>
        <v>9</v>
      </c>
      <c r="I81" s="137" t="s">
        <v>629</v>
      </c>
      <c r="J81" s="19">
        <v>7684.0</v>
      </c>
      <c r="K81" s="11" t="s">
        <v>159</v>
      </c>
      <c r="L81" s="11" t="s">
        <v>316</v>
      </c>
      <c r="M81" s="11" t="s">
        <v>161</v>
      </c>
      <c r="N81" s="11">
        <v>2017.0</v>
      </c>
      <c r="O81" s="11">
        <f>A4-N81</f>
        <v>9</v>
      </c>
      <c r="P81" s="11" t="s">
        <v>245</v>
      </c>
      <c r="Q81" s="19" t="s">
        <v>163</v>
      </c>
      <c r="R81" s="19" t="s">
        <v>630</v>
      </c>
      <c r="S81" s="115" t="s">
        <v>631</v>
      </c>
      <c r="T81" s="326">
        <v>46831.0</v>
      </c>
      <c r="U81" s="54" t="str">
        <f t="shared" si="1"/>
        <v>Berlaku</v>
      </c>
      <c r="V81" s="323">
        <v>46465.0</v>
      </c>
      <c r="W81" s="54" t="str">
        <f t="shared" si="2"/>
        <v>Berlaku</v>
      </c>
      <c r="X81" s="324">
        <v>46338.0</v>
      </c>
      <c r="Y81" s="54" t="str">
        <f t="shared" si="3"/>
        <v>Akan Habis</v>
      </c>
      <c r="Z81" s="53">
        <v>46338.0</v>
      </c>
      <c r="AA81" s="54" t="str">
        <f t="shared" si="4"/>
        <v>Berlaku</v>
      </c>
      <c r="AB81" s="53">
        <f>VLOOKUP(B81,'DATA EXP TERA'!$C$3:$D$85,2,0)</f>
        <v>46803</v>
      </c>
      <c r="AC81" s="54" t="str">
        <f t="shared" si="5"/>
        <v>Berlaku</v>
      </c>
      <c r="AD81" s="315">
        <v>46360.0</v>
      </c>
      <c r="AE81" s="56" t="str">
        <f t="shared" si="6"/>
        <v>Berlaku</v>
      </c>
      <c r="AF81" s="57" t="s">
        <v>166</v>
      </c>
      <c r="AG81" s="57" t="s">
        <v>167</v>
      </c>
      <c r="AH81" s="163"/>
      <c r="AI81" s="58"/>
      <c r="AJ81" s="138"/>
      <c r="AK81" s="247"/>
      <c r="AL81" s="247"/>
      <c r="AM81" s="247"/>
      <c r="AN81" s="247"/>
      <c r="AO81" s="248"/>
      <c r="AP81" s="249"/>
      <c r="AQ81" s="248"/>
      <c r="AR81" s="249"/>
      <c r="AS81" s="249"/>
      <c r="AT81" s="249"/>
      <c r="AU81" s="249"/>
      <c r="AV81" s="249"/>
      <c r="AW81" s="249"/>
      <c r="AX81" s="249"/>
    </row>
    <row r="82">
      <c r="A82" s="9">
        <f t="shared" si="7"/>
        <v>76</v>
      </c>
      <c r="B82" s="11" t="s">
        <v>145</v>
      </c>
      <c r="C82" s="11" t="s">
        <v>153</v>
      </c>
      <c r="D82" s="11">
        <v>24.0</v>
      </c>
      <c r="E82" s="26" t="s">
        <v>142</v>
      </c>
      <c r="F82" s="19">
        <v>2019.0</v>
      </c>
      <c r="G82" s="19">
        <v>2019.0</v>
      </c>
      <c r="H82" s="11">
        <f>A4-F82</f>
        <v>7</v>
      </c>
      <c r="I82" s="137" t="s">
        <v>632</v>
      </c>
      <c r="J82" s="19">
        <v>6374.0</v>
      </c>
      <c r="K82" s="11" t="s">
        <v>243</v>
      </c>
      <c r="L82" s="11" t="s">
        <v>160</v>
      </c>
      <c r="M82" s="11" t="s">
        <v>161</v>
      </c>
      <c r="N82" s="11">
        <v>2019.0</v>
      </c>
      <c r="O82" s="11">
        <f>A4-N82</f>
        <v>7</v>
      </c>
      <c r="P82" s="11" t="s">
        <v>162</v>
      </c>
      <c r="Q82" s="19" t="s">
        <v>270</v>
      </c>
      <c r="R82" s="19" t="s">
        <v>633</v>
      </c>
      <c r="S82" s="115" t="s">
        <v>634</v>
      </c>
      <c r="T82" s="322">
        <v>47402.0</v>
      </c>
      <c r="U82" s="54" t="str">
        <f t="shared" si="1"/>
        <v>Berlaku</v>
      </c>
      <c r="V82" s="323">
        <v>46306.0</v>
      </c>
      <c r="W82" s="54" t="str">
        <f t="shared" si="2"/>
        <v>Akan Habis</v>
      </c>
      <c r="X82" s="323">
        <v>46261.0</v>
      </c>
      <c r="Y82" s="54" t="str">
        <f t="shared" si="3"/>
        <v>Habis</v>
      </c>
      <c r="Z82" s="323">
        <v>46261.0</v>
      </c>
      <c r="AA82" s="54" t="str">
        <f t="shared" si="4"/>
        <v>Habis</v>
      </c>
      <c r="AB82" s="53">
        <v>46815.0</v>
      </c>
      <c r="AC82" s="54" t="str">
        <f t="shared" si="5"/>
        <v>Berlaku</v>
      </c>
      <c r="AD82" s="315">
        <v>46302.0</v>
      </c>
      <c r="AE82" s="56" t="str">
        <f t="shared" si="6"/>
        <v>Habis dalam 7-1 Hari</v>
      </c>
      <c r="AF82" s="57" t="s">
        <v>166</v>
      </c>
      <c r="AG82" s="57" t="s">
        <v>167</v>
      </c>
      <c r="AH82" s="163"/>
      <c r="AI82" s="58"/>
      <c r="AJ82" s="138"/>
      <c r="AK82" s="247"/>
      <c r="AL82" s="247"/>
      <c r="AM82" s="247"/>
      <c r="AN82" s="247"/>
      <c r="AO82" s="248"/>
      <c r="AP82" s="249"/>
      <c r="AQ82" s="248"/>
      <c r="AR82" s="249"/>
      <c r="AS82" s="249"/>
      <c r="AT82" s="249"/>
      <c r="AU82" s="249"/>
      <c r="AV82" s="249"/>
      <c r="AW82" s="249"/>
      <c r="AX82" s="249"/>
    </row>
    <row r="83" ht="18.75" customHeight="1">
      <c r="A83" s="9">
        <f t="shared" si="7"/>
        <v>77</v>
      </c>
      <c r="B83" s="477" t="s">
        <v>147</v>
      </c>
      <c r="C83" s="19" t="s">
        <v>240</v>
      </c>
      <c r="D83" s="19">
        <v>16.0</v>
      </c>
      <c r="E83" s="26" t="s">
        <v>142</v>
      </c>
      <c r="F83" s="19">
        <v>2019.0</v>
      </c>
      <c r="G83" s="19">
        <v>2019.0</v>
      </c>
      <c r="H83" s="11">
        <f>A4-F83</f>
        <v>7</v>
      </c>
      <c r="I83" s="137" t="s">
        <v>635</v>
      </c>
      <c r="J83" s="19">
        <v>7698.0</v>
      </c>
      <c r="K83" s="11" t="s">
        <v>243</v>
      </c>
      <c r="L83" s="11" t="s">
        <v>160</v>
      </c>
      <c r="M83" s="11" t="s">
        <v>332</v>
      </c>
      <c r="N83" s="11">
        <v>2019.0</v>
      </c>
      <c r="O83" s="11">
        <f>A4-N83</f>
        <v>7</v>
      </c>
      <c r="P83" s="11" t="s">
        <v>245</v>
      </c>
      <c r="Q83" s="11" t="s">
        <v>199</v>
      </c>
      <c r="R83" s="19" t="s">
        <v>636</v>
      </c>
      <c r="S83" s="115" t="s">
        <v>637</v>
      </c>
      <c r="T83" s="327">
        <v>47396.0</v>
      </c>
      <c r="U83" s="54" t="str">
        <f t="shared" si="1"/>
        <v>Berlaku</v>
      </c>
      <c r="V83" s="324">
        <v>46300.0</v>
      </c>
      <c r="W83" s="54" t="str">
        <f t="shared" si="2"/>
        <v>Habis dalam 7-1 Hari</v>
      </c>
      <c r="X83" s="323">
        <v>46268.0</v>
      </c>
      <c r="Y83" s="54" t="str">
        <f t="shared" si="3"/>
        <v>Habis</v>
      </c>
      <c r="Z83" s="323">
        <v>46268.0</v>
      </c>
      <c r="AA83" s="54" t="str">
        <f t="shared" si="4"/>
        <v>Habis</v>
      </c>
      <c r="AB83" s="53">
        <f>VLOOKUP(B83,'DATA EXP TERA'!$C$3:$D$85,2,0)</f>
        <v>46472</v>
      </c>
      <c r="AC83" s="54" t="str">
        <f t="shared" si="5"/>
        <v>Berlaku</v>
      </c>
      <c r="AD83" s="315">
        <v>46302.0</v>
      </c>
      <c r="AE83" s="56" t="str">
        <f t="shared" si="6"/>
        <v>Habis dalam 7-1 Hari</v>
      </c>
      <c r="AF83" s="57" t="s">
        <v>166</v>
      </c>
      <c r="AG83" s="57" t="s">
        <v>167</v>
      </c>
      <c r="AH83" s="163"/>
      <c r="AI83" s="158" t="s">
        <v>638</v>
      </c>
      <c r="AJ83" s="138"/>
      <c r="AK83" s="250" t="s">
        <v>639</v>
      </c>
      <c r="AL83" s="61"/>
      <c r="AM83" s="61"/>
      <c r="AN83" s="61"/>
      <c r="AO83" s="251">
        <v>80.0</v>
      </c>
      <c r="AP83" s="252">
        <v>1640.0</v>
      </c>
      <c r="AQ83" s="251">
        <v>84.0</v>
      </c>
      <c r="AR83" s="252">
        <v>1720.0</v>
      </c>
      <c r="AS83" s="252">
        <v>0.0</v>
      </c>
      <c r="AT83" s="252">
        <v>0.0</v>
      </c>
      <c r="AU83" s="252">
        <v>6.0</v>
      </c>
      <c r="AV83" s="252">
        <v>112.0</v>
      </c>
      <c r="AW83" s="252">
        <v>78.0</v>
      </c>
      <c r="AX83" s="252">
        <v>1608.0</v>
      </c>
    </row>
    <row r="84">
      <c r="A84" s="9">
        <f t="shared" si="7"/>
        <v>78</v>
      </c>
      <c r="B84" s="11" t="s">
        <v>149</v>
      </c>
      <c r="C84" s="11" t="s">
        <v>153</v>
      </c>
      <c r="D84" s="11">
        <v>24.0</v>
      </c>
      <c r="E84" s="26" t="s">
        <v>142</v>
      </c>
      <c r="F84" s="19">
        <v>2019.0</v>
      </c>
      <c r="G84" s="19">
        <v>2019.0</v>
      </c>
      <c r="H84" s="11">
        <f>A4-F84</f>
        <v>7</v>
      </c>
      <c r="I84" s="137" t="s">
        <v>373</v>
      </c>
      <c r="J84" s="19">
        <v>6374.0</v>
      </c>
      <c r="K84" s="11" t="s">
        <v>243</v>
      </c>
      <c r="L84" s="11" t="s">
        <v>160</v>
      </c>
      <c r="M84" s="11" t="s">
        <v>508</v>
      </c>
      <c r="N84" s="11">
        <v>2019.0</v>
      </c>
      <c r="O84" s="11">
        <f>A4-N84</f>
        <v>7</v>
      </c>
      <c r="P84" s="11" t="s">
        <v>162</v>
      </c>
      <c r="Q84" s="19" t="s">
        <v>270</v>
      </c>
      <c r="R84" s="19" t="s">
        <v>640</v>
      </c>
      <c r="S84" s="115" t="s">
        <v>641</v>
      </c>
      <c r="T84" s="322">
        <v>47405.0</v>
      </c>
      <c r="U84" s="54" t="str">
        <f t="shared" si="1"/>
        <v>Berlaku</v>
      </c>
      <c r="V84" s="323">
        <v>46309.0</v>
      </c>
      <c r="W84" s="54" t="str">
        <f t="shared" si="2"/>
        <v>Akan Habis</v>
      </c>
      <c r="X84" s="324">
        <v>46240.0</v>
      </c>
      <c r="Y84" s="54" t="str">
        <f t="shared" si="3"/>
        <v>Habis</v>
      </c>
      <c r="Z84" s="317">
        <v>46240.0</v>
      </c>
      <c r="AA84" s="54" t="str">
        <f t="shared" si="4"/>
        <v>Habis</v>
      </c>
      <c r="AB84" s="53">
        <f>VLOOKUP(B84,'DATA EXP TERA'!$C$3:$D$85,2,0)</f>
        <v>46599</v>
      </c>
      <c r="AC84" s="54" t="str">
        <f t="shared" si="5"/>
        <v>Berlaku</v>
      </c>
      <c r="AD84" s="315">
        <v>46302.0</v>
      </c>
      <c r="AE84" s="56" t="str">
        <f t="shared" si="6"/>
        <v>Habis dalam 7-1 Hari</v>
      </c>
      <c r="AF84" s="57" t="s">
        <v>166</v>
      </c>
      <c r="AG84" s="57" t="s">
        <v>167</v>
      </c>
      <c r="AH84" s="163"/>
      <c r="AI84" s="158" t="s">
        <v>642</v>
      </c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</row>
    <row r="85">
      <c r="A85" s="9">
        <f t="shared" si="7"/>
        <v>79</v>
      </c>
      <c r="B85" s="478" t="s">
        <v>150</v>
      </c>
      <c r="C85" s="49" t="s">
        <v>240</v>
      </c>
      <c r="D85" s="49">
        <v>16.0</v>
      </c>
      <c r="E85" s="50" t="s">
        <v>142</v>
      </c>
      <c r="F85" s="49">
        <v>2019.0</v>
      </c>
      <c r="G85" s="49">
        <v>2019.0</v>
      </c>
      <c r="H85" s="11">
        <f>A4-F85</f>
        <v>7</v>
      </c>
      <c r="I85" s="137" t="s">
        <v>635</v>
      </c>
      <c r="J85" s="49">
        <v>7698.0</v>
      </c>
      <c r="K85" s="11" t="s">
        <v>159</v>
      </c>
      <c r="L85" s="49" t="s">
        <v>160</v>
      </c>
      <c r="M85" s="11" t="s">
        <v>161</v>
      </c>
      <c r="N85" s="49">
        <v>2019.0</v>
      </c>
      <c r="O85" s="11">
        <f>A4-N85</f>
        <v>7</v>
      </c>
      <c r="P85" s="19" t="s">
        <v>245</v>
      </c>
      <c r="Q85" s="49" t="s">
        <v>199</v>
      </c>
      <c r="R85" s="49" t="s">
        <v>643</v>
      </c>
      <c r="S85" s="253" t="s">
        <v>644</v>
      </c>
      <c r="T85" s="327">
        <v>47396.0</v>
      </c>
      <c r="U85" s="54" t="str">
        <f t="shared" si="1"/>
        <v>Berlaku</v>
      </c>
      <c r="V85" s="324">
        <v>46300.0</v>
      </c>
      <c r="W85" s="54" t="str">
        <f t="shared" si="2"/>
        <v>Habis dalam 7-1 Hari</v>
      </c>
      <c r="X85" s="323">
        <v>46277.0</v>
      </c>
      <c r="Y85" s="54" t="str">
        <f t="shared" si="3"/>
        <v>Habis</v>
      </c>
      <c r="Z85" s="323">
        <v>46277.0</v>
      </c>
      <c r="AA85" s="54" t="str">
        <f t="shared" si="4"/>
        <v>Habis</v>
      </c>
      <c r="AB85" s="53">
        <v>46773.0</v>
      </c>
      <c r="AC85" s="54" t="str">
        <f t="shared" si="5"/>
        <v>Berlaku</v>
      </c>
      <c r="AD85" s="315">
        <v>46302.0</v>
      </c>
      <c r="AE85" s="56" t="str">
        <f t="shared" si="6"/>
        <v>Habis dalam 7-1 Hari</v>
      </c>
      <c r="AF85" s="57" t="s">
        <v>166</v>
      </c>
      <c r="AG85" s="57" t="s">
        <v>167</v>
      </c>
      <c r="AH85" s="163"/>
      <c r="AI85" s="254"/>
      <c r="AJ85" s="138"/>
      <c r="AK85" s="138"/>
      <c r="AL85" s="138"/>
      <c r="AM85" s="138"/>
      <c r="AN85" s="138"/>
      <c r="AO85" s="138"/>
      <c r="AP85" s="138"/>
      <c r="AQ85" s="165"/>
      <c r="AR85" s="20"/>
      <c r="AS85" s="138"/>
      <c r="AT85" s="177"/>
      <c r="AU85" s="177"/>
      <c r="AV85" s="177"/>
      <c r="AW85" s="177"/>
      <c r="AX85" s="177"/>
    </row>
    <row r="86">
      <c r="A86" s="9">
        <f t="shared" si="7"/>
        <v>80</v>
      </c>
      <c r="B86" s="478" t="s">
        <v>152</v>
      </c>
      <c r="C86" s="49" t="s">
        <v>240</v>
      </c>
      <c r="D86" s="49">
        <v>16.0</v>
      </c>
      <c r="E86" s="50" t="s">
        <v>142</v>
      </c>
      <c r="F86" s="49">
        <v>2019.0</v>
      </c>
      <c r="G86" s="49">
        <v>2019.0</v>
      </c>
      <c r="H86" s="11">
        <f>A4-F86</f>
        <v>7</v>
      </c>
      <c r="I86" s="137" t="s">
        <v>635</v>
      </c>
      <c r="J86" s="49">
        <v>7698.0</v>
      </c>
      <c r="K86" s="11" t="s">
        <v>159</v>
      </c>
      <c r="L86" s="49" t="s">
        <v>160</v>
      </c>
      <c r="M86" s="11" t="s">
        <v>161</v>
      </c>
      <c r="N86" s="49">
        <v>2019.0</v>
      </c>
      <c r="O86" s="11">
        <f>A4-N86</f>
        <v>7</v>
      </c>
      <c r="P86" s="19" t="s">
        <v>245</v>
      </c>
      <c r="Q86" s="49" t="s">
        <v>199</v>
      </c>
      <c r="R86" s="49" t="s">
        <v>645</v>
      </c>
      <c r="S86" s="253" t="s">
        <v>646</v>
      </c>
      <c r="T86" s="327">
        <v>47396.0</v>
      </c>
      <c r="U86" s="54" t="str">
        <f t="shared" si="1"/>
        <v>Berlaku</v>
      </c>
      <c r="V86" s="324">
        <v>46300.0</v>
      </c>
      <c r="W86" s="54" t="str">
        <f t="shared" si="2"/>
        <v>Habis dalam 7-1 Hari</v>
      </c>
      <c r="X86" s="323">
        <v>46277.0</v>
      </c>
      <c r="Y86" s="54" t="str">
        <f t="shared" si="3"/>
        <v>Habis</v>
      </c>
      <c r="Z86" s="323">
        <v>46277.0</v>
      </c>
      <c r="AA86" s="54" t="str">
        <f t="shared" si="4"/>
        <v>Habis</v>
      </c>
      <c r="AB86" s="53">
        <f>VLOOKUP(B86,'DATA EXP TERA'!$C$3:$D$85,2,0)</f>
        <v>46443</v>
      </c>
      <c r="AC86" s="54" t="str">
        <f t="shared" si="5"/>
        <v>Berlaku</v>
      </c>
      <c r="AD86" s="315">
        <v>46340.0</v>
      </c>
      <c r="AE86" s="56" t="str">
        <f t="shared" si="6"/>
        <v>Berlaku</v>
      </c>
      <c r="AF86" s="57" t="s">
        <v>166</v>
      </c>
      <c r="AG86" s="57" t="s">
        <v>167</v>
      </c>
      <c r="AH86" s="163"/>
      <c r="AI86" s="254"/>
      <c r="AJ86" s="138"/>
      <c r="AK86" s="138"/>
      <c r="AL86" s="138"/>
      <c r="AM86" s="138"/>
      <c r="AN86" s="138"/>
      <c r="AO86" s="138"/>
      <c r="AP86" s="138"/>
      <c r="AQ86" s="165"/>
      <c r="AR86" s="20"/>
      <c r="AS86" s="138"/>
      <c r="AT86" s="177"/>
      <c r="AU86" s="177"/>
      <c r="AV86" s="177"/>
      <c r="AW86" s="177"/>
      <c r="AX86" s="177"/>
    </row>
    <row r="87"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</row>
    <row r="88"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>
      <c r="A89" s="255"/>
      <c r="B89" s="257"/>
      <c r="C89" s="257"/>
      <c r="D89" s="257"/>
      <c r="E89" s="266"/>
      <c r="F89" s="257"/>
      <c r="G89" s="257"/>
      <c r="H89" s="238"/>
      <c r="I89" s="260"/>
      <c r="J89" s="257"/>
      <c r="K89" s="238"/>
      <c r="L89" s="257"/>
      <c r="M89" s="238"/>
      <c r="N89" s="257"/>
      <c r="O89" s="238"/>
      <c r="P89" s="259"/>
      <c r="Q89" s="257"/>
      <c r="R89" s="257"/>
      <c r="S89" s="261"/>
      <c r="T89" s="267"/>
      <c r="U89" s="239"/>
      <c r="V89" s="268"/>
      <c r="W89" s="239"/>
      <c r="X89" s="269"/>
      <c r="Y89" s="239"/>
      <c r="Z89" s="270"/>
      <c r="AA89" s="239"/>
      <c r="AB89" s="239"/>
      <c r="AC89" s="239"/>
      <c r="AD89" s="239"/>
      <c r="AE89" s="239"/>
      <c r="AF89" s="265"/>
      <c r="AG89" s="265"/>
      <c r="AH89" s="25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</row>
    <row r="90">
      <c r="I90" s="35"/>
    </row>
    <row r="91">
      <c r="I91" s="35"/>
    </row>
    <row r="92">
      <c r="I92" s="35"/>
    </row>
    <row r="93">
      <c r="I93" s="35"/>
      <c r="AQ93" s="233">
        <v>8.0</v>
      </c>
      <c r="AR93" s="233">
        <v>16.0</v>
      </c>
      <c r="AS93" s="233">
        <v>24.0</v>
      </c>
    </row>
    <row r="94">
      <c r="I94" s="35"/>
      <c r="AQ94" s="233">
        <v>3.0</v>
      </c>
      <c r="AR94" s="233">
        <v>30.0</v>
      </c>
      <c r="AS94" s="233">
        <v>47.0</v>
      </c>
    </row>
    <row r="95">
      <c r="I95" s="35"/>
    </row>
    <row r="96">
      <c r="I96" s="35"/>
      <c r="AR96" s="161">
        <f t="shared" ref="AR96:AS96" si="11">AR94*AR93</f>
        <v>480</v>
      </c>
      <c r="AS96" s="161">
        <f t="shared" si="11"/>
        <v>1128</v>
      </c>
    </row>
    <row r="97">
      <c r="I97" s="35"/>
    </row>
    <row r="98">
      <c r="I98" s="35"/>
    </row>
    <row r="99">
      <c r="I99" s="35"/>
    </row>
    <row r="100">
      <c r="I100" s="35"/>
    </row>
    <row r="101">
      <c r="I101" s="35"/>
    </row>
    <row r="102">
      <c r="I102" s="35"/>
    </row>
    <row r="103">
      <c r="I103" s="35"/>
    </row>
    <row r="104">
      <c r="I104" s="35"/>
    </row>
    <row r="105">
      <c r="I105" s="35"/>
    </row>
    <row r="106">
      <c r="I106" s="35"/>
    </row>
    <row r="107">
      <c r="I107" s="35"/>
    </row>
    <row r="108">
      <c r="I108" s="35"/>
    </row>
    <row r="109">
      <c r="I109" s="35"/>
    </row>
    <row r="110">
      <c r="I110" s="35"/>
    </row>
    <row r="111">
      <c r="I111" s="35"/>
    </row>
    <row r="112">
      <c r="I112" s="35"/>
    </row>
    <row r="113">
      <c r="I113" s="35"/>
    </row>
    <row r="114">
      <c r="I114" s="35"/>
    </row>
    <row r="115">
      <c r="I115" s="35"/>
    </row>
    <row r="116">
      <c r="I116" s="35"/>
    </row>
    <row r="117">
      <c r="I117" s="35"/>
    </row>
    <row r="118">
      <c r="I118" s="35"/>
    </row>
    <row r="119">
      <c r="I119" s="35"/>
    </row>
    <row r="120">
      <c r="I120" s="35"/>
    </row>
    <row r="121">
      <c r="I121" s="35"/>
    </row>
    <row r="122">
      <c r="I122" s="35"/>
    </row>
    <row r="123">
      <c r="I123" s="35"/>
    </row>
    <row r="124">
      <c r="I124" s="35"/>
    </row>
    <row r="125">
      <c r="I125" s="35"/>
    </row>
    <row r="126">
      <c r="I126" s="35"/>
    </row>
    <row r="127">
      <c r="I127" s="35"/>
    </row>
    <row r="128">
      <c r="I128" s="35"/>
    </row>
    <row r="129">
      <c r="I129" s="35"/>
    </row>
    <row r="130">
      <c r="I130" s="35"/>
    </row>
    <row r="131">
      <c r="I131" s="35"/>
    </row>
    <row r="132">
      <c r="I132" s="35"/>
    </row>
    <row r="133">
      <c r="I133" s="35"/>
    </row>
    <row r="134">
      <c r="I134" s="35"/>
    </row>
    <row r="135">
      <c r="I135" s="35"/>
    </row>
    <row r="136">
      <c r="I136" s="35"/>
    </row>
    <row r="137">
      <c r="I137" s="35"/>
    </row>
    <row r="138">
      <c r="I138" s="35"/>
    </row>
    <row r="139">
      <c r="I139" s="35"/>
    </row>
    <row r="140">
      <c r="I140" s="35"/>
    </row>
    <row r="141">
      <c r="I141" s="35"/>
    </row>
    <row r="142">
      <c r="I142" s="35"/>
    </row>
    <row r="143">
      <c r="I143" s="35"/>
    </row>
    <row r="144">
      <c r="I144" s="35"/>
    </row>
    <row r="145">
      <c r="I145" s="35"/>
    </row>
    <row r="146">
      <c r="I146" s="35"/>
    </row>
    <row r="147">
      <c r="I147" s="35"/>
    </row>
    <row r="148">
      <c r="I148" s="35"/>
    </row>
    <row r="149">
      <c r="I149" s="35"/>
    </row>
    <row r="150">
      <c r="I150" s="35"/>
    </row>
    <row r="151">
      <c r="I151" s="35"/>
    </row>
    <row r="152">
      <c r="I152" s="35"/>
    </row>
    <row r="153">
      <c r="I153" s="35"/>
    </row>
    <row r="154">
      <c r="I154" s="35"/>
    </row>
    <row r="155">
      <c r="I155" s="35"/>
    </row>
    <row r="156">
      <c r="I156" s="35"/>
    </row>
    <row r="157">
      <c r="I157" s="35"/>
    </row>
    <row r="158">
      <c r="I158" s="35"/>
    </row>
    <row r="159">
      <c r="I159" s="35"/>
    </row>
    <row r="160">
      <c r="I160" s="35"/>
    </row>
    <row r="161">
      <c r="I161" s="35"/>
    </row>
    <row r="162">
      <c r="I162" s="35"/>
    </row>
    <row r="163">
      <c r="I163" s="35"/>
    </row>
    <row r="164">
      <c r="I164" s="35"/>
    </row>
    <row r="165">
      <c r="I165" s="35"/>
    </row>
    <row r="166">
      <c r="I166" s="35"/>
    </row>
    <row r="167">
      <c r="I167" s="35"/>
    </row>
    <row r="168">
      <c r="I168" s="35"/>
    </row>
    <row r="169">
      <c r="I169" s="35"/>
    </row>
    <row r="170">
      <c r="I170" s="35"/>
    </row>
    <row r="171">
      <c r="I171" s="35"/>
    </row>
    <row r="172">
      <c r="I172" s="35"/>
    </row>
    <row r="173">
      <c r="I173" s="35"/>
    </row>
    <row r="174">
      <c r="I174" s="35"/>
    </row>
    <row r="175">
      <c r="I175" s="35"/>
    </row>
    <row r="176">
      <c r="I176" s="35"/>
    </row>
    <row r="177">
      <c r="I177" s="35"/>
    </row>
    <row r="178">
      <c r="I178" s="35"/>
    </row>
    <row r="179">
      <c r="I179" s="35"/>
    </row>
    <row r="180">
      <c r="I180" s="35"/>
    </row>
    <row r="181">
      <c r="I181" s="35"/>
    </row>
    <row r="182">
      <c r="I182" s="35"/>
    </row>
    <row r="183">
      <c r="I183" s="35"/>
    </row>
    <row r="184">
      <c r="I184" s="35"/>
    </row>
    <row r="185">
      <c r="I185" s="35"/>
    </row>
    <row r="186">
      <c r="I186" s="35"/>
    </row>
    <row r="187">
      <c r="I187" s="35"/>
    </row>
    <row r="188">
      <c r="I188" s="35"/>
    </row>
    <row r="189">
      <c r="I189" s="35"/>
    </row>
    <row r="190">
      <c r="I190" s="35"/>
    </row>
    <row r="191">
      <c r="I191" s="35"/>
    </row>
    <row r="192">
      <c r="I192" s="35"/>
    </row>
    <row r="193">
      <c r="I193" s="35"/>
    </row>
    <row r="194">
      <c r="I194" s="35"/>
    </row>
    <row r="195">
      <c r="I195" s="35"/>
    </row>
    <row r="196">
      <c r="I196" s="35"/>
    </row>
    <row r="197">
      <c r="I197" s="35"/>
    </row>
    <row r="198">
      <c r="I198" s="35"/>
    </row>
    <row r="199">
      <c r="I199" s="35"/>
    </row>
    <row r="200">
      <c r="I200" s="35"/>
    </row>
    <row r="201">
      <c r="I201" s="35"/>
    </row>
    <row r="202">
      <c r="I202" s="35"/>
    </row>
    <row r="203">
      <c r="I203" s="35"/>
    </row>
    <row r="204">
      <c r="I204" s="35"/>
    </row>
    <row r="205">
      <c r="I205" s="35"/>
    </row>
    <row r="206">
      <c r="I206" s="35"/>
    </row>
    <row r="207">
      <c r="I207" s="35"/>
    </row>
    <row r="208">
      <c r="I208" s="35"/>
    </row>
    <row r="209">
      <c r="I209" s="35"/>
    </row>
    <row r="210">
      <c r="I210" s="35"/>
    </row>
    <row r="211">
      <c r="I211" s="35"/>
    </row>
    <row r="212">
      <c r="I212" s="35"/>
    </row>
    <row r="213">
      <c r="I213" s="35"/>
    </row>
    <row r="214">
      <c r="I214" s="35"/>
    </row>
    <row r="215">
      <c r="I215" s="35"/>
    </row>
    <row r="216">
      <c r="I216" s="35"/>
    </row>
    <row r="217">
      <c r="I217" s="35"/>
    </row>
    <row r="218">
      <c r="I218" s="35"/>
    </row>
    <row r="219">
      <c r="I219" s="35"/>
    </row>
    <row r="220">
      <c r="I220" s="35"/>
    </row>
    <row r="221">
      <c r="I221" s="35"/>
    </row>
    <row r="222">
      <c r="I222" s="35"/>
    </row>
    <row r="223">
      <c r="I223" s="35"/>
    </row>
    <row r="224">
      <c r="I224" s="35"/>
    </row>
    <row r="225">
      <c r="I225" s="35"/>
    </row>
    <row r="226">
      <c r="I226" s="35"/>
    </row>
    <row r="227">
      <c r="I227" s="35"/>
    </row>
    <row r="228">
      <c r="I228" s="35"/>
    </row>
    <row r="229">
      <c r="I229" s="35"/>
    </row>
    <row r="230">
      <c r="I230" s="35"/>
    </row>
    <row r="231">
      <c r="I231" s="35"/>
    </row>
    <row r="232">
      <c r="I232" s="35"/>
    </row>
    <row r="233">
      <c r="I233" s="35"/>
    </row>
    <row r="234">
      <c r="I234" s="35"/>
    </row>
    <row r="235">
      <c r="I235" s="35"/>
    </row>
    <row r="236">
      <c r="I236" s="35"/>
    </row>
    <row r="237">
      <c r="I237" s="35"/>
    </row>
    <row r="238">
      <c r="I238" s="35"/>
    </row>
    <row r="239">
      <c r="I239" s="35"/>
    </row>
    <row r="240">
      <c r="I240" s="35"/>
    </row>
    <row r="241">
      <c r="I241" s="35"/>
    </row>
    <row r="242">
      <c r="I242" s="35"/>
    </row>
    <row r="243">
      <c r="I243" s="35"/>
    </row>
    <row r="244">
      <c r="I244" s="35"/>
    </row>
    <row r="245">
      <c r="I245" s="35"/>
    </row>
    <row r="246">
      <c r="I246" s="35"/>
    </row>
    <row r="247">
      <c r="I247" s="35"/>
    </row>
    <row r="248">
      <c r="I248" s="35"/>
    </row>
    <row r="249">
      <c r="I249" s="35"/>
    </row>
    <row r="250">
      <c r="I250" s="35"/>
    </row>
    <row r="251">
      <c r="I251" s="35"/>
    </row>
    <row r="252">
      <c r="I252" s="35"/>
    </row>
    <row r="253">
      <c r="I253" s="35"/>
    </row>
    <row r="254">
      <c r="I254" s="35"/>
    </row>
    <row r="255">
      <c r="I255" s="35"/>
    </row>
    <row r="256">
      <c r="I256" s="35"/>
    </row>
    <row r="257">
      <c r="I257" s="35"/>
    </row>
    <row r="258">
      <c r="F258" s="151" t="s">
        <v>351</v>
      </c>
      <c r="G258" s="151" t="s">
        <v>664</v>
      </c>
      <c r="H258" s="151" t="s">
        <v>665</v>
      </c>
      <c r="I258" s="278" t="s">
        <v>99</v>
      </c>
      <c r="J258" s="151" t="s">
        <v>666</v>
      </c>
    </row>
    <row r="259">
      <c r="F259" s="151">
        <v>9552.0</v>
      </c>
      <c r="G259" s="279">
        <v>46372.0</v>
      </c>
      <c r="H259" s="280">
        <v>46145.0</v>
      </c>
      <c r="I259" s="280">
        <v>46145.0</v>
      </c>
      <c r="J259" s="279">
        <v>46814.0</v>
      </c>
    </row>
    <row r="260">
      <c r="F260" s="151">
        <v>9554.0</v>
      </c>
      <c r="G260" s="279">
        <v>46372.0</v>
      </c>
      <c r="H260" s="280">
        <v>46149.0</v>
      </c>
      <c r="I260" s="280">
        <v>46149.0</v>
      </c>
      <c r="J260" s="279">
        <v>46816.0</v>
      </c>
    </row>
    <row r="261">
      <c r="F261" s="151">
        <v>9556.0</v>
      </c>
      <c r="G261" s="279">
        <v>46372.0</v>
      </c>
      <c r="H261" s="280">
        <v>46145.0</v>
      </c>
      <c r="I261" s="280">
        <v>46145.0</v>
      </c>
      <c r="J261" s="279">
        <v>46817.0</v>
      </c>
    </row>
    <row r="262">
      <c r="I262" s="35"/>
    </row>
    <row r="263">
      <c r="I263" s="35"/>
    </row>
    <row r="264">
      <c r="I264" s="35"/>
    </row>
    <row r="265">
      <c r="I265" s="35"/>
    </row>
    <row r="266">
      <c r="I266" s="35"/>
    </row>
    <row r="267">
      <c r="I267" s="35"/>
    </row>
    <row r="268">
      <c r="I268" s="35"/>
    </row>
    <row r="269">
      <c r="I269" s="35"/>
    </row>
    <row r="270">
      <c r="I270" s="35"/>
    </row>
    <row r="271">
      <c r="I271" s="35"/>
    </row>
    <row r="272">
      <c r="I272" s="35"/>
    </row>
    <row r="273">
      <c r="I273" s="35"/>
    </row>
    <row r="274">
      <c r="I274" s="35"/>
    </row>
    <row r="275">
      <c r="I275" s="35"/>
    </row>
    <row r="276">
      <c r="I276" s="35"/>
    </row>
    <row r="277">
      <c r="I277" s="35"/>
    </row>
    <row r="278">
      <c r="I278" s="35"/>
    </row>
    <row r="279">
      <c r="I279" s="35"/>
    </row>
    <row r="280">
      <c r="I280" s="35"/>
    </row>
    <row r="281">
      <c r="I281" s="35"/>
    </row>
    <row r="282">
      <c r="I282" s="35"/>
    </row>
    <row r="283">
      <c r="I283" s="35"/>
    </row>
    <row r="284">
      <c r="I284" s="35"/>
    </row>
    <row r="285">
      <c r="I285" s="35"/>
    </row>
    <row r="286">
      <c r="I286" s="35"/>
    </row>
    <row r="287">
      <c r="I287" s="35"/>
    </row>
    <row r="288">
      <c r="I288" s="35"/>
    </row>
    <row r="289">
      <c r="I289" s="35"/>
    </row>
    <row r="290">
      <c r="I290" s="35"/>
    </row>
    <row r="291">
      <c r="I291" s="35"/>
    </row>
    <row r="292">
      <c r="I292" s="35"/>
    </row>
    <row r="293">
      <c r="I293" s="35"/>
    </row>
    <row r="294">
      <c r="I294" s="35"/>
    </row>
    <row r="295">
      <c r="I295" s="35"/>
    </row>
    <row r="296">
      <c r="I296" s="35"/>
    </row>
    <row r="297">
      <c r="I297" s="35"/>
    </row>
    <row r="298">
      <c r="I298" s="35"/>
    </row>
    <row r="299">
      <c r="I299" s="35"/>
    </row>
    <row r="300">
      <c r="I300" s="35"/>
    </row>
    <row r="301">
      <c r="I301" s="35"/>
    </row>
    <row r="302">
      <c r="I302" s="35"/>
    </row>
    <row r="303">
      <c r="I303" s="35"/>
    </row>
    <row r="304">
      <c r="I304" s="35"/>
    </row>
    <row r="305">
      <c r="I305" s="35"/>
    </row>
    <row r="306">
      <c r="I306" s="35"/>
    </row>
    <row r="307">
      <c r="I307" s="35"/>
    </row>
    <row r="308">
      <c r="I308" s="35"/>
    </row>
    <row r="309">
      <c r="I309" s="35"/>
    </row>
    <row r="310">
      <c r="I310" s="35"/>
    </row>
    <row r="311">
      <c r="I311" s="35"/>
    </row>
    <row r="312">
      <c r="I312" s="35"/>
    </row>
    <row r="313">
      <c r="I313" s="35"/>
    </row>
    <row r="314">
      <c r="I314" s="35"/>
    </row>
    <row r="315">
      <c r="I315" s="35"/>
    </row>
    <row r="316">
      <c r="I316" s="35"/>
    </row>
    <row r="317">
      <c r="I317" s="35"/>
    </row>
    <row r="318">
      <c r="I318" s="35"/>
    </row>
    <row r="319">
      <c r="I319" s="35"/>
    </row>
    <row r="320">
      <c r="I320" s="35"/>
    </row>
    <row r="321">
      <c r="I321" s="35"/>
    </row>
    <row r="322">
      <c r="I322" s="35"/>
    </row>
    <row r="323">
      <c r="I323" s="35"/>
    </row>
    <row r="324">
      <c r="I324" s="35"/>
    </row>
    <row r="325">
      <c r="I325" s="35"/>
    </row>
    <row r="326">
      <c r="I326" s="35"/>
    </row>
    <row r="327">
      <c r="I327" s="35"/>
    </row>
    <row r="328">
      <c r="I328" s="35"/>
    </row>
    <row r="329">
      <c r="I329" s="35"/>
    </row>
    <row r="330">
      <c r="I330" s="35"/>
    </row>
    <row r="331">
      <c r="I331" s="35"/>
    </row>
    <row r="332">
      <c r="I332" s="35"/>
    </row>
    <row r="333">
      <c r="I333" s="35"/>
    </row>
    <row r="334">
      <c r="I334" s="35"/>
    </row>
    <row r="335">
      <c r="I335" s="35"/>
    </row>
    <row r="336">
      <c r="I336" s="35"/>
    </row>
    <row r="337">
      <c r="I337" s="35"/>
    </row>
    <row r="338">
      <c r="I338" s="35"/>
    </row>
    <row r="339">
      <c r="I339" s="35"/>
    </row>
    <row r="340">
      <c r="I340" s="35"/>
    </row>
    <row r="341">
      <c r="I341" s="35"/>
    </row>
    <row r="342">
      <c r="I342" s="35"/>
    </row>
    <row r="343">
      <c r="I343" s="35"/>
    </row>
    <row r="344">
      <c r="I344" s="35"/>
    </row>
    <row r="345">
      <c r="I345" s="35"/>
    </row>
    <row r="346">
      <c r="I346" s="35"/>
    </row>
    <row r="347">
      <c r="I347" s="35"/>
    </row>
    <row r="348">
      <c r="I348" s="35"/>
    </row>
    <row r="349">
      <c r="I349" s="35"/>
    </row>
    <row r="350">
      <c r="I350" s="35"/>
    </row>
    <row r="351">
      <c r="I351" s="35"/>
    </row>
    <row r="352">
      <c r="I352" s="35"/>
    </row>
    <row r="353">
      <c r="I353" s="35"/>
    </row>
    <row r="354">
      <c r="I354" s="35"/>
    </row>
    <row r="355">
      <c r="I355" s="35"/>
    </row>
    <row r="356">
      <c r="I356" s="35"/>
    </row>
    <row r="357">
      <c r="I357" s="35"/>
    </row>
    <row r="358">
      <c r="I358" s="35"/>
    </row>
    <row r="359">
      <c r="I359" s="35"/>
    </row>
    <row r="360">
      <c r="I360" s="35"/>
    </row>
    <row r="361">
      <c r="I361" s="35"/>
    </row>
    <row r="362">
      <c r="I362" s="35"/>
    </row>
    <row r="363">
      <c r="I363" s="35"/>
    </row>
    <row r="364">
      <c r="I364" s="35"/>
    </row>
    <row r="365">
      <c r="I365" s="35"/>
    </row>
    <row r="366">
      <c r="I366" s="35"/>
    </row>
    <row r="367">
      <c r="I367" s="35"/>
    </row>
    <row r="368">
      <c r="I368" s="35"/>
    </row>
    <row r="369">
      <c r="I369" s="35"/>
    </row>
    <row r="370">
      <c r="I370" s="35"/>
    </row>
    <row r="371">
      <c r="I371" s="35"/>
    </row>
    <row r="372">
      <c r="I372" s="35"/>
    </row>
    <row r="373">
      <c r="I373" s="35"/>
    </row>
    <row r="374">
      <c r="I374" s="35"/>
    </row>
    <row r="375">
      <c r="I375" s="35"/>
    </row>
    <row r="376">
      <c r="I376" s="35"/>
    </row>
    <row r="377">
      <c r="I377" s="35"/>
    </row>
    <row r="378">
      <c r="I378" s="35"/>
    </row>
    <row r="379">
      <c r="I379" s="35"/>
    </row>
    <row r="380">
      <c r="I380" s="35"/>
    </row>
    <row r="381">
      <c r="I381" s="35"/>
    </row>
    <row r="382">
      <c r="I382" s="35"/>
    </row>
    <row r="383">
      <c r="I383" s="35"/>
    </row>
    <row r="384">
      <c r="I384" s="35"/>
    </row>
    <row r="385">
      <c r="I385" s="35"/>
    </row>
    <row r="386">
      <c r="I386" s="35"/>
    </row>
    <row r="387">
      <c r="I387" s="35"/>
    </row>
    <row r="388">
      <c r="I388" s="35"/>
    </row>
    <row r="389">
      <c r="I389" s="35"/>
    </row>
    <row r="390">
      <c r="I390" s="35"/>
    </row>
    <row r="391">
      <c r="I391" s="35"/>
    </row>
    <row r="392">
      <c r="I392" s="35"/>
    </row>
    <row r="393">
      <c r="I393" s="35"/>
    </row>
    <row r="394">
      <c r="I394" s="35"/>
    </row>
    <row r="395">
      <c r="I395" s="35"/>
    </row>
    <row r="396">
      <c r="I396" s="35"/>
    </row>
    <row r="397">
      <c r="I397" s="35"/>
    </row>
    <row r="398">
      <c r="I398" s="35"/>
    </row>
    <row r="399">
      <c r="I399" s="35"/>
    </row>
    <row r="400">
      <c r="I400" s="35"/>
    </row>
    <row r="401">
      <c r="I401" s="35"/>
    </row>
    <row r="402">
      <c r="I402" s="35"/>
    </row>
    <row r="403">
      <c r="I403" s="35"/>
    </row>
    <row r="404">
      <c r="I404" s="35"/>
    </row>
    <row r="405">
      <c r="I405" s="35"/>
    </row>
    <row r="406">
      <c r="I406" s="35"/>
    </row>
    <row r="407">
      <c r="I407" s="35"/>
    </row>
    <row r="408">
      <c r="I408" s="35"/>
    </row>
    <row r="409">
      <c r="I409" s="35"/>
    </row>
    <row r="410">
      <c r="I410" s="35"/>
    </row>
    <row r="411">
      <c r="I411" s="35"/>
    </row>
    <row r="412">
      <c r="I412" s="35"/>
    </row>
    <row r="413">
      <c r="I413" s="35"/>
    </row>
    <row r="414">
      <c r="I414" s="35"/>
    </row>
    <row r="415">
      <c r="I415" s="35"/>
    </row>
    <row r="416">
      <c r="I416" s="35"/>
    </row>
    <row r="417">
      <c r="I417" s="35"/>
    </row>
    <row r="418">
      <c r="I418" s="35"/>
    </row>
    <row r="419">
      <c r="I419" s="35"/>
    </row>
    <row r="420">
      <c r="I420" s="35"/>
    </row>
    <row r="421">
      <c r="I421" s="35"/>
    </row>
    <row r="422">
      <c r="I422" s="35"/>
    </row>
    <row r="423">
      <c r="I423" s="35"/>
    </row>
    <row r="424">
      <c r="I424" s="35"/>
    </row>
    <row r="425">
      <c r="I425" s="35"/>
    </row>
    <row r="426">
      <c r="I426" s="35"/>
    </row>
    <row r="427">
      <c r="I427" s="35"/>
    </row>
    <row r="428">
      <c r="I428" s="35"/>
    </row>
    <row r="429">
      <c r="I429" s="35"/>
    </row>
    <row r="430">
      <c r="I430" s="35"/>
    </row>
    <row r="431">
      <c r="I431" s="35"/>
    </row>
    <row r="432">
      <c r="I432" s="35"/>
    </row>
    <row r="433">
      <c r="I433" s="35"/>
    </row>
    <row r="434">
      <c r="I434" s="35"/>
    </row>
    <row r="435">
      <c r="I435" s="35"/>
    </row>
    <row r="436">
      <c r="I436" s="35"/>
    </row>
    <row r="437">
      <c r="I437" s="35"/>
    </row>
    <row r="438">
      <c r="I438" s="35"/>
    </row>
    <row r="439">
      <c r="I439" s="35"/>
    </row>
    <row r="440">
      <c r="I440" s="35"/>
    </row>
    <row r="441">
      <c r="I441" s="35"/>
    </row>
    <row r="442">
      <c r="I442" s="35"/>
    </row>
    <row r="443">
      <c r="I443" s="35"/>
    </row>
    <row r="444">
      <c r="I444" s="35"/>
    </row>
    <row r="445">
      <c r="I445" s="35"/>
    </row>
    <row r="446">
      <c r="I446" s="35"/>
    </row>
    <row r="447">
      <c r="I447" s="35"/>
    </row>
    <row r="448">
      <c r="I448" s="35"/>
    </row>
    <row r="449">
      <c r="I449" s="35"/>
    </row>
    <row r="450">
      <c r="I450" s="35"/>
    </row>
    <row r="451">
      <c r="I451" s="35"/>
    </row>
    <row r="452">
      <c r="I452" s="35"/>
    </row>
    <row r="453">
      <c r="I453" s="35"/>
    </row>
    <row r="454">
      <c r="I454" s="35"/>
    </row>
    <row r="455">
      <c r="I455" s="35"/>
    </row>
    <row r="456">
      <c r="I456" s="35"/>
    </row>
    <row r="457">
      <c r="I457" s="35"/>
    </row>
    <row r="458">
      <c r="I458" s="35"/>
    </row>
    <row r="459">
      <c r="I459" s="35"/>
    </row>
    <row r="460">
      <c r="I460" s="35"/>
    </row>
    <row r="461">
      <c r="I461" s="35"/>
    </row>
    <row r="462">
      <c r="I462" s="35"/>
    </row>
    <row r="463">
      <c r="I463" s="35"/>
    </row>
    <row r="464">
      <c r="I464" s="35"/>
    </row>
    <row r="465">
      <c r="I465" s="35"/>
    </row>
    <row r="466">
      <c r="I466" s="35"/>
    </row>
    <row r="467">
      <c r="I467" s="35"/>
    </row>
    <row r="468">
      <c r="I468" s="35"/>
    </row>
    <row r="469">
      <c r="I469" s="35"/>
    </row>
    <row r="470">
      <c r="I470" s="35"/>
    </row>
    <row r="471">
      <c r="I471" s="35"/>
    </row>
    <row r="472">
      <c r="I472" s="35"/>
    </row>
    <row r="473">
      <c r="I473" s="35"/>
    </row>
    <row r="474">
      <c r="I474" s="35"/>
    </row>
    <row r="475">
      <c r="I475" s="35"/>
    </row>
    <row r="476">
      <c r="I476" s="35"/>
    </row>
    <row r="477">
      <c r="I477" s="35"/>
    </row>
    <row r="478">
      <c r="I478" s="35"/>
    </row>
    <row r="479">
      <c r="I479" s="35"/>
    </row>
    <row r="480">
      <c r="I480" s="35"/>
    </row>
    <row r="481">
      <c r="I481" s="35"/>
    </row>
    <row r="482">
      <c r="I482" s="35"/>
    </row>
    <row r="483">
      <c r="I483" s="35"/>
    </row>
    <row r="484">
      <c r="I484" s="35"/>
    </row>
    <row r="485">
      <c r="I485" s="35"/>
    </row>
    <row r="486">
      <c r="I486" s="35"/>
    </row>
    <row r="487">
      <c r="I487" s="35"/>
    </row>
    <row r="488">
      <c r="I488" s="35"/>
    </row>
    <row r="489">
      <c r="I489" s="35"/>
    </row>
    <row r="490">
      <c r="I490" s="35"/>
    </row>
    <row r="491">
      <c r="I491" s="35"/>
    </row>
    <row r="492">
      <c r="I492" s="35"/>
    </row>
    <row r="493">
      <c r="I493" s="35"/>
    </row>
    <row r="494">
      <c r="I494" s="35"/>
    </row>
    <row r="495">
      <c r="I495" s="35"/>
    </row>
    <row r="496">
      <c r="I496" s="35"/>
    </row>
    <row r="497">
      <c r="I497" s="35"/>
    </row>
    <row r="498">
      <c r="I498" s="35"/>
    </row>
    <row r="499">
      <c r="I499" s="35"/>
    </row>
    <row r="500">
      <c r="I500" s="35"/>
    </row>
    <row r="501">
      <c r="I501" s="35"/>
    </row>
    <row r="502">
      <c r="I502" s="35"/>
    </row>
    <row r="503">
      <c r="I503" s="35"/>
    </row>
    <row r="504">
      <c r="I504" s="35"/>
    </row>
    <row r="505">
      <c r="I505" s="35"/>
    </row>
    <row r="506">
      <c r="I506" s="35"/>
    </row>
    <row r="507">
      <c r="I507" s="35"/>
    </row>
    <row r="508">
      <c r="I508" s="35"/>
    </row>
    <row r="509">
      <c r="I509" s="35"/>
    </row>
    <row r="510">
      <c r="I510" s="35"/>
    </row>
    <row r="511">
      <c r="I511" s="35"/>
    </row>
    <row r="512">
      <c r="I512" s="35"/>
    </row>
    <row r="513">
      <c r="I513" s="35"/>
    </row>
    <row r="514">
      <c r="I514" s="35"/>
    </row>
    <row r="515">
      <c r="I515" s="35"/>
    </row>
    <row r="516">
      <c r="I516" s="35"/>
    </row>
    <row r="517">
      <c r="I517" s="35"/>
    </row>
    <row r="518">
      <c r="I518" s="35"/>
    </row>
    <row r="519">
      <c r="I519" s="35"/>
    </row>
    <row r="520">
      <c r="I520" s="35"/>
    </row>
    <row r="521">
      <c r="I521" s="35"/>
    </row>
    <row r="522">
      <c r="I522" s="35"/>
    </row>
    <row r="523">
      <c r="I523" s="35"/>
    </row>
    <row r="524">
      <c r="I524" s="35"/>
    </row>
    <row r="525">
      <c r="I525" s="35"/>
    </row>
    <row r="526">
      <c r="I526" s="35"/>
    </row>
    <row r="527">
      <c r="I527" s="35"/>
    </row>
    <row r="528">
      <c r="I528" s="35"/>
    </row>
    <row r="529">
      <c r="I529" s="35"/>
    </row>
    <row r="530">
      <c r="I530" s="35"/>
    </row>
    <row r="531">
      <c r="I531" s="35"/>
    </row>
    <row r="532">
      <c r="I532" s="35"/>
    </row>
    <row r="533">
      <c r="I533" s="35"/>
    </row>
    <row r="534">
      <c r="I534" s="35"/>
    </row>
    <row r="535">
      <c r="I535" s="35"/>
    </row>
    <row r="536">
      <c r="I536" s="35"/>
    </row>
    <row r="537">
      <c r="I537" s="35"/>
    </row>
    <row r="538">
      <c r="I538" s="35"/>
    </row>
    <row r="539">
      <c r="I539" s="35"/>
    </row>
    <row r="540">
      <c r="I540" s="35"/>
    </row>
    <row r="541">
      <c r="I541" s="35"/>
    </row>
    <row r="542">
      <c r="I542" s="35"/>
    </row>
    <row r="543">
      <c r="I543" s="35"/>
    </row>
    <row r="544">
      <c r="I544" s="35"/>
    </row>
    <row r="545">
      <c r="I545" s="35"/>
    </row>
    <row r="546">
      <c r="I546" s="35"/>
    </row>
    <row r="547">
      <c r="I547" s="35"/>
    </row>
    <row r="548">
      <c r="I548" s="35"/>
    </row>
    <row r="549">
      <c r="I549" s="35"/>
    </row>
    <row r="550">
      <c r="I550" s="35"/>
    </row>
    <row r="551">
      <c r="I551" s="35"/>
    </row>
    <row r="552">
      <c r="I552" s="35"/>
    </row>
    <row r="553">
      <c r="I553" s="35"/>
    </row>
    <row r="554">
      <c r="I554" s="35"/>
    </row>
    <row r="555">
      <c r="I555" s="35"/>
    </row>
    <row r="556">
      <c r="I556" s="35"/>
    </row>
    <row r="557">
      <c r="I557" s="35"/>
    </row>
    <row r="558">
      <c r="I558" s="35"/>
    </row>
    <row r="559">
      <c r="I559" s="35"/>
    </row>
    <row r="560">
      <c r="I560" s="35"/>
    </row>
    <row r="561">
      <c r="I561" s="35"/>
    </row>
    <row r="562">
      <c r="I562" s="35"/>
    </row>
    <row r="563">
      <c r="I563" s="35"/>
    </row>
    <row r="564">
      <c r="I564" s="35"/>
    </row>
    <row r="565">
      <c r="I565" s="35"/>
    </row>
    <row r="566">
      <c r="I566" s="35"/>
    </row>
    <row r="567">
      <c r="I567" s="35"/>
    </row>
    <row r="568">
      <c r="I568" s="35"/>
    </row>
    <row r="569">
      <c r="I569" s="35"/>
    </row>
    <row r="570">
      <c r="I570" s="35"/>
    </row>
    <row r="571">
      <c r="I571" s="35"/>
    </row>
    <row r="572">
      <c r="I572" s="35"/>
    </row>
    <row r="573">
      <c r="I573" s="35"/>
    </row>
    <row r="574">
      <c r="I574" s="35"/>
    </row>
    <row r="575">
      <c r="I575" s="35"/>
    </row>
    <row r="576">
      <c r="I576" s="35"/>
    </row>
    <row r="577">
      <c r="I577" s="35"/>
    </row>
    <row r="578">
      <c r="I578" s="35"/>
    </row>
    <row r="579">
      <c r="I579" s="35"/>
    </row>
    <row r="580">
      <c r="I580" s="35"/>
    </row>
    <row r="581">
      <c r="I581" s="35"/>
    </row>
    <row r="582">
      <c r="I582" s="35"/>
    </row>
    <row r="583">
      <c r="I583" s="35"/>
    </row>
    <row r="584">
      <c r="I584" s="35"/>
    </row>
    <row r="585">
      <c r="I585" s="35"/>
    </row>
    <row r="586">
      <c r="I586" s="35"/>
    </row>
    <row r="587">
      <c r="I587" s="35"/>
    </row>
    <row r="588">
      <c r="I588" s="35"/>
    </row>
    <row r="589">
      <c r="I589" s="35"/>
    </row>
    <row r="590">
      <c r="I590" s="35"/>
    </row>
    <row r="591">
      <c r="I591" s="35"/>
    </row>
    <row r="592">
      <c r="I592" s="35"/>
    </row>
    <row r="593">
      <c r="I593" s="35"/>
    </row>
    <row r="594">
      <c r="I594" s="35"/>
    </row>
    <row r="595">
      <c r="I595" s="35"/>
    </row>
    <row r="596">
      <c r="I596" s="35"/>
    </row>
    <row r="597">
      <c r="I597" s="35"/>
    </row>
    <row r="598">
      <c r="I598" s="35"/>
    </row>
    <row r="599">
      <c r="I599" s="35"/>
    </row>
    <row r="600">
      <c r="I600" s="35"/>
    </row>
    <row r="601">
      <c r="I601" s="35"/>
    </row>
    <row r="602">
      <c r="I602" s="35"/>
    </row>
    <row r="603">
      <c r="I603" s="35"/>
    </row>
    <row r="604">
      <c r="I604" s="35"/>
    </row>
    <row r="605">
      <c r="I605" s="35"/>
    </row>
    <row r="606">
      <c r="I606" s="35"/>
    </row>
    <row r="607">
      <c r="I607" s="35"/>
    </row>
    <row r="608">
      <c r="I608" s="35"/>
    </row>
    <row r="609">
      <c r="I609" s="35"/>
    </row>
    <row r="610">
      <c r="I610" s="35"/>
    </row>
    <row r="611">
      <c r="I611" s="35"/>
    </row>
    <row r="612">
      <c r="I612" s="35"/>
    </row>
    <row r="613">
      <c r="I613" s="35"/>
    </row>
    <row r="614">
      <c r="I614" s="35"/>
    </row>
    <row r="615">
      <c r="I615" s="35"/>
    </row>
    <row r="616">
      <c r="I616" s="35"/>
    </row>
    <row r="617">
      <c r="I617" s="35"/>
    </row>
    <row r="618">
      <c r="I618" s="35"/>
    </row>
    <row r="619">
      <c r="I619" s="35"/>
    </row>
    <row r="620">
      <c r="I620" s="35"/>
    </row>
    <row r="621">
      <c r="I621" s="35"/>
    </row>
    <row r="622">
      <c r="I622" s="35"/>
    </row>
    <row r="623">
      <c r="I623" s="35"/>
    </row>
    <row r="624">
      <c r="I624" s="35"/>
    </row>
    <row r="625">
      <c r="I625" s="35"/>
    </row>
    <row r="626">
      <c r="I626" s="35"/>
    </row>
    <row r="627">
      <c r="I627" s="35"/>
    </row>
    <row r="628">
      <c r="I628" s="35"/>
    </row>
    <row r="629">
      <c r="I629" s="35"/>
    </row>
    <row r="630">
      <c r="I630" s="35"/>
    </row>
    <row r="631">
      <c r="I631" s="35"/>
    </row>
    <row r="632">
      <c r="I632" s="35"/>
    </row>
    <row r="633">
      <c r="I633" s="35"/>
    </row>
    <row r="634">
      <c r="I634" s="35"/>
    </row>
    <row r="635">
      <c r="I635" s="35"/>
    </row>
    <row r="636">
      <c r="I636" s="35"/>
    </row>
    <row r="637">
      <c r="I637" s="35"/>
    </row>
    <row r="638">
      <c r="I638" s="35"/>
    </row>
    <row r="639">
      <c r="I639" s="35"/>
    </row>
    <row r="640">
      <c r="I640" s="35"/>
    </row>
    <row r="641">
      <c r="I641" s="35"/>
    </row>
    <row r="642">
      <c r="I642" s="35"/>
    </row>
    <row r="643">
      <c r="I643" s="35"/>
    </row>
    <row r="644">
      <c r="I644" s="35"/>
    </row>
    <row r="645">
      <c r="I645" s="35"/>
    </row>
    <row r="646">
      <c r="I646" s="35"/>
    </row>
    <row r="647">
      <c r="I647" s="35"/>
    </row>
    <row r="648">
      <c r="I648" s="35"/>
    </row>
    <row r="649">
      <c r="I649" s="35"/>
    </row>
    <row r="650">
      <c r="I650" s="35"/>
    </row>
    <row r="651">
      <c r="I651" s="35"/>
    </row>
    <row r="652">
      <c r="I652" s="35"/>
    </row>
    <row r="653">
      <c r="I653" s="35"/>
    </row>
    <row r="654">
      <c r="I654" s="35"/>
    </row>
    <row r="655">
      <c r="I655" s="35"/>
    </row>
    <row r="656">
      <c r="I656" s="35"/>
    </row>
    <row r="657">
      <c r="I657" s="35"/>
    </row>
    <row r="658">
      <c r="I658" s="35"/>
    </row>
    <row r="659">
      <c r="I659" s="35"/>
    </row>
    <row r="660">
      <c r="I660" s="35"/>
    </row>
    <row r="661">
      <c r="I661" s="35"/>
    </row>
    <row r="662">
      <c r="I662" s="35"/>
    </row>
    <row r="663">
      <c r="I663" s="35"/>
    </row>
    <row r="664">
      <c r="I664" s="35"/>
    </row>
    <row r="665">
      <c r="I665" s="35"/>
    </row>
    <row r="666">
      <c r="I666" s="35"/>
    </row>
    <row r="667">
      <c r="I667" s="35"/>
    </row>
    <row r="668">
      <c r="I668" s="35"/>
    </row>
    <row r="669">
      <c r="I669" s="35"/>
    </row>
    <row r="670">
      <c r="I670" s="35"/>
    </row>
    <row r="671">
      <c r="I671" s="35"/>
    </row>
    <row r="672">
      <c r="I672" s="35"/>
    </row>
    <row r="673">
      <c r="I673" s="35"/>
    </row>
    <row r="674">
      <c r="I674" s="35"/>
    </row>
    <row r="675">
      <c r="I675" s="35"/>
    </row>
    <row r="676">
      <c r="I676" s="35"/>
    </row>
    <row r="677">
      <c r="I677" s="35"/>
    </row>
    <row r="678">
      <c r="I678" s="35"/>
    </row>
    <row r="679">
      <c r="I679" s="35"/>
    </row>
    <row r="680">
      <c r="I680" s="35"/>
    </row>
    <row r="681">
      <c r="I681" s="35"/>
    </row>
    <row r="682">
      <c r="I682" s="35"/>
    </row>
    <row r="683">
      <c r="I683" s="35"/>
    </row>
    <row r="684">
      <c r="I684" s="35"/>
    </row>
    <row r="685">
      <c r="I685" s="35"/>
    </row>
    <row r="686">
      <c r="I686" s="35"/>
    </row>
    <row r="687">
      <c r="I687" s="35"/>
    </row>
    <row r="688">
      <c r="I688" s="35"/>
    </row>
    <row r="689">
      <c r="I689" s="35"/>
    </row>
    <row r="690">
      <c r="I690" s="35"/>
    </row>
    <row r="691">
      <c r="I691" s="35"/>
    </row>
    <row r="692">
      <c r="I692" s="35"/>
    </row>
    <row r="693">
      <c r="I693" s="35"/>
    </row>
    <row r="694">
      <c r="I694" s="35"/>
    </row>
    <row r="695">
      <c r="I695" s="35"/>
    </row>
    <row r="696">
      <c r="I696" s="35"/>
    </row>
    <row r="697">
      <c r="I697" s="35"/>
    </row>
    <row r="698">
      <c r="I698" s="35"/>
    </row>
    <row r="699">
      <c r="I699" s="35"/>
    </row>
    <row r="700">
      <c r="I700" s="35"/>
    </row>
    <row r="701">
      <c r="I701" s="35"/>
    </row>
    <row r="702">
      <c r="I702" s="35"/>
    </row>
    <row r="703">
      <c r="I703" s="35"/>
    </row>
    <row r="704">
      <c r="I704" s="35"/>
    </row>
    <row r="705">
      <c r="I705" s="35"/>
    </row>
    <row r="706">
      <c r="I706" s="35"/>
    </row>
    <row r="707">
      <c r="I707" s="35"/>
    </row>
    <row r="708">
      <c r="I708" s="35"/>
    </row>
    <row r="709">
      <c r="I709" s="35"/>
    </row>
    <row r="710">
      <c r="I710" s="35"/>
    </row>
    <row r="711">
      <c r="I711" s="35"/>
    </row>
    <row r="712">
      <c r="I712" s="35"/>
    </row>
    <row r="713">
      <c r="I713" s="35"/>
    </row>
    <row r="714">
      <c r="I714" s="35"/>
    </row>
    <row r="715">
      <c r="I715" s="35"/>
    </row>
    <row r="716">
      <c r="I716" s="35"/>
    </row>
    <row r="717">
      <c r="I717" s="35"/>
    </row>
    <row r="718">
      <c r="I718" s="35"/>
    </row>
    <row r="719">
      <c r="I719" s="35"/>
    </row>
    <row r="720">
      <c r="I720" s="35"/>
    </row>
    <row r="721">
      <c r="I721" s="35"/>
    </row>
    <row r="722">
      <c r="I722" s="35"/>
    </row>
    <row r="723">
      <c r="I723" s="35"/>
    </row>
    <row r="724">
      <c r="I724" s="35"/>
    </row>
    <row r="725">
      <c r="I725" s="35"/>
    </row>
    <row r="726">
      <c r="I726" s="35"/>
    </row>
    <row r="727">
      <c r="I727" s="35"/>
    </row>
    <row r="728">
      <c r="I728" s="35"/>
    </row>
    <row r="729">
      <c r="I729" s="35"/>
    </row>
    <row r="730">
      <c r="I730" s="35"/>
    </row>
    <row r="731">
      <c r="I731" s="35"/>
    </row>
    <row r="732">
      <c r="I732" s="35"/>
    </row>
    <row r="733">
      <c r="I733" s="35"/>
    </row>
    <row r="734">
      <c r="I734" s="35"/>
    </row>
    <row r="735">
      <c r="I735" s="35"/>
    </row>
    <row r="736">
      <c r="I736" s="35"/>
    </row>
    <row r="737">
      <c r="I737" s="35"/>
    </row>
    <row r="738">
      <c r="I738" s="35"/>
    </row>
    <row r="739">
      <c r="I739" s="35"/>
    </row>
    <row r="740">
      <c r="I740" s="35"/>
    </row>
    <row r="741">
      <c r="I741" s="35"/>
    </row>
    <row r="742">
      <c r="I742" s="35"/>
    </row>
    <row r="743">
      <c r="I743" s="35"/>
    </row>
    <row r="744">
      <c r="I744" s="35"/>
    </row>
    <row r="745">
      <c r="I745" s="35"/>
    </row>
    <row r="746">
      <c r="I746" s="35"/>
    </row>
    <row r="747">
      <c r="I747" s="35"/>
    </row>
    <row r="748">
      <c r="I748" s="35"/>
    </row>
    <row r="749">
      <c r="I749" s="35"/>
    </row>
    <row r="750">
      <c r="I750" s="35"/>
    </row>
    <row r="751">
      <c r="I751" s="35"/>
    </row>
    <row r="752">
      <c r="I752" s="35"/>
    </row>
    <row r="753">
      <c r="I753" s="35"/>
    </row>
    <row r="754">
      <c r="I754" s="35"/>
    </row>
    <row r="755">
      <c r="I755" s="35"/>
    </row>
    <row r="756">
      <c r="I756" s="35"/>
    </row>
    <row r="757">
      <c r="I757" s="35"/>
    </row>
    <row r="758">
      <c r="I758" s="35"/>
    </row>
    <row r="759">
      <c r="I759" s="35"/>
    </row>
    <row r="760">
      <c r="I760" s="35"/>
    </row>
    <row r="761">
      <c r="I761" s="35"/>
    </row>
    <row r="762">
      <c r="I762" s="35"/>
    </row>
    <row r="763">
      <c r="I763" s="35"/>
    </row>
    <row r="764">
      <c r="I764" s="35"/>
    </row>
    <row r="765">
      <c r="I765" s="35"/>
    </row>
    <row r="766">
      <c r="I766" s="35"/>
    </row>
    <row r="767">
      <c r="I767" s="35"/>
    </row>
    <row r="768">
      <c r="I768" s="35"/>
    </row>
    <row r="769">
      <c r="I769" s="35"/>
    </row>
    <row r="770">
      <c r="I770" s="35"/>
    </row>
    <row r="771">
      <c r="I771" s="35"/>
    </row>
    <row r="772">
      <c r="I772" s="35"/>
    </row>
    <row r="773">
      <c r="I773" s="35"/>
    </row>
    <row r="774">
      <c r="I774" s="35"/>
    </row>
    <row r="775">
      <c r="I775" s="35"/>
    </row>
    <row r="776">
      <c r="I776" s="35"/>
    </row>
    <row r="777">
      <c r="I777" s="35"/>
    </row>
    <row r="778">
      <c r="I778" s="35"/>
    </row>
    <row r="779">
      <c r="I779" s="35"/>
    </row>
    <row r="780">
      <c r="I780" s="35"/>
    </row>
    <row r="781">
      <c r="I781" s="35"/>
    </row>
    <row r="782">
      <c r="I782" s="35"/>
    </row>
    <row r="783">
      <c r="I783" s="35"/>
    </row>
    <row r="784">
      <c r="I784" s="35"/>
    </row>
    <row r="785">
      <c r="I785" s="35"/>
    </row>
    <row r="786">
      <c r="I786" s="35"/>
    </row>
    <row r="787">
      <c r="I787" s="35"/>
    </row>
    <row r="788">
      <c r="I788" s="35"/>
    </row>
    <row r="789">
      <c r="I789" s="35"/>
    </row>
    <row r="790">
      <c r="I790" s="35"/>
    </row>
    <row r="791">
      <c r="I791" s="35"/>
    </row>
    <row r="792">
      <c r="I792" s="35"/>
    </row>
    <row r="793">
      <c r="I793" s="35"/>
    </row>
    <row r="794">
      <c r="I794" s="35"/>
    </row>
    <row r="795">
      <c r="I795" s="35"/>
    </row>
    <row r="796">
      <c r="I796" s="35"/>
    </row>
    <row r="797">
      <c r="I797" s="35"/>
    </row>
    <row r="798">
      <c r="I798" s="35"/>
    </row>
    <row r="799">
      <c r="I799" s="35"/>
    </row>
    <row r="800">
      <c r="I800" s="35"/>
    </row>
    <row r="801">
      <c r="I801" s="35"/>
    </row>
    <row r="802">
      <c r="I802" s="35"/>
    </row>
    <row r="803">
      <c r="I803" s="35"/>
    </row>
    <row r="804">
      <c r="I804" s="35"/>
    </row>
    <row r="805">
      <c r="I805" s="35"/>
    </row>
    <row r="806">
      <c r="I806" s="35"/>
    </row>
    <row r="807">
      <c r="I807" s="35"/>
    </row>
    <row r="808">
      <c r="I808" s="35"/>
    </row>
    <row r="809">
      <c r="I809" s="35"/>
    </row>
    <row r="810">
      <c r="I810" s="35"/>
    </row>
    <row r="811">
      <c r="I811" s="35"/>
    </row>
    <row r="812">
      <c r="I812" s="35"/>
    </row>
    <row r="813">
      <c r="I813" s="35"/>
    </row>
    <row r="814">
      <c r="I814" s="35"/>
    </row>
    <row r="815">
      <c r="I815" s="35"/>
    </row>
    <row r="816">
      <c r="I816" s="35"/>
    </row>
    <row r="817">
      <c r="I817" s="35"/>
    </row>
    <row r="818">
      <c r="I818" s="35"/>
    </row>
    <row r="819">
      <c r="I819" s="35"/>
    </row>
    <row r="820">
      <c r="I820" s="35"/>
    </row>
    <row r="821">
      <c r="I821" s="35"/>
    </row>
    <row r="822">
      <c r="I822" s="35"/>
    </row>
    <row r="823">
      <c r="I823" s="35"/>
    </row>
    <row r="824">
      <c r="I824" s="35"/>
    </row>
    <row r="825">
      <c r="I825" s="35"/>
    </row>
    <row r="826">
      <c r="I826" s="35"/>
    </row>
    <row r="827">
      <c r="I827" s="35"/>
    </row>
    <row r="828">
      <c r="I828" s="35"/>
    </row>
    <row r="829">
      <c r="I829" s="35"/>
    </row>
    <row r="830">
      <c r="I830" s="35"/>
    </row>
    <row r="831">
      <c r="I831" s="35"/>
    </row>
    <row r="832">
      <c r="I832" s="35"/>
    </row>
    <row r="833">
      <c r="I833" s="35"/>
    </row>
    <row r="834">
      <c r="I834" s="35"/>
    </row>
    <row r="835">
      <c r="I835" s="35"/>
    </row>
    <row r="836">
      <c r="I836" s="35"/>
    </row>
    <row r="837">
      <c r="I837" s="35"/>
    </row>
    <row r="838">
      <c r="I838" s="35"/>
    </row>
    <row r="839">
      <c r="I839" s="35"/>
    </row>
    <row r="840">
      <c r="I840" s="35"/>
    </row>
    <row r="841">
      <c r="I841" s="35"/>
    </row>
    <row r="842">
      <c r="I842" s="35"/>
    </row>
    <row r="843">
      <c r="I843" s="35"/>
    </row>
    <row r="844">
      <c r="I844" s="35"/>
    </row>
    <row r="845">
      <c r="I845" s="35"/>
    </row>
    <row r="846">
      <c r="I846" s="35"/>
    </row>
    <row r="847">
      <c r="I847" s="35"/>
    </row>
    <row r="848">
      <c r="I848" s="35"/>
    </row>
    <row r="849">
      <c r="I849" s="35"/>
    </row>
    <row r="850">
      <c r="I850" s="35"/>
    </row>
    <row r="851">
      <c r="I851" s="35"/>
    </row>
    <row r="852">
      <c r="I852" s="35"/>
    </row>
    <row r="853">
      <c r="I853" s="35"/>
    </row>
    <row r="854">
      <c r="I854" s="35"/>
    </row>
    <row r="855">
      <c r="I855" s="35"/>
    </row>
    <row r="856">
      <c r="I856" s="35"/>
    </row>
    <row r="857">
      <c r="I857" s="35"/>
    </row>
    <row r="858">
      <c r="I858" s="35"/>
    </row>
    <row r="859">
      <c r="I859" s="35"/>
    </row>
    <row r="860">
      <c r="I860" s="35"/>
    </row>
    <row r="861">
      <c r="I861" s="35"/>
    </row>
    <row r="862">
      <c r="I862" s="35"/>
    </row>
    <row r="863">
      <c r="I863" s="35"/>
    </row>
    <row r="864">
      <c r="I864" s="35"/>
    </row>
    <row r="865">
      <c r="I865" s="35"/>
    </row>
    <row r="866">
      <c r="I866" s="35"/>
    </row>
    <row r="867">
      <c r="I867" s="35"/>
    </row>
    <row r="868">
      <c r="I868" s="35"/>
    </row>
    <row r="869">
      <c r="I869" s="35"/>
    </row>
    <row r="870">
      <c r="I870" s="35"/>
    </row>
    <row r="871">
      <c r="I871" s="35"/>
    </row>
    <row r="872">
      <c r="I872" s="35"/>
    </row>
    <row r="873">
      <c r="I873" s="35"/>
    </row>
    <row r="874">
      <c r="I874" s="35"/>
    </row>
    <row r="875">
      <c r="I875" s="35"/>
    </row>
    <row r="876">
      <c r="I876" s="35"/>
    </row>
    <row r="877">
      <c r="I877" s="35"/>
    </row>
    <row r="878">
      <c r="I878" s="35"/>
    </row>
    <row r="879">
      <c r="I879" s="35"/>
    </row>
    <row r="880">
      <c r="I880" s="35"/>
    </row>
    <row r="881">
      <c r="I881" s="35"/>
    </row>
    <row r="882">
      <c r="I882" s="35"/>
    </row>
    <row r="883">
      <c r="I883" s="35"/>
    </row>
    <row r="884">
      <c r="I884" s="35"/>
    </row>
    <row r="885">
      <c r="I885" s="35"/>
    </row>
    <row r="886">
      <c r="I886" s="35"/>
    </row>
    <row r="887">
      <c r="I887" s="35"/>
    </row>
    <row r="888">
      <c r="I888" s="35"/>
    </row>
    <row r="889">
      <c r="I889" s="35"/>
    </row>
    <row r="890">
      <c r="I890" s="35"/>
    </row>
    <row r="891">
      <c r="I891" s="35"/>
    </row>
    <row r="892">
      <c r="I892" s="35"/>
    </row>
    <row r="893">
      <c r="I893" s="35"/>
    </row>
    <row r="894">
      <c r="I894" s="35"/>
    </row>
    <row r="895">
      <c r="I895" s="35"/>
    </row>
    <row r="896">
      <c r="I896" s="35"/>
    </row>
    <row r="897">
      <c r="I897" s="35"/>
    </row>
    <row r="898">
      <c r="I898" s="35"/>
    </row>
    <row r="899">
      <c r="I899" s="35"/>
    </row>
    <row r="900">
      <c r="I900" s="35"/>
    </row>
    <row r="901">
      <c r="I901" s="35"/>
    </row>
    <row r="902">
      <c r="I902" s="35"/>
    </row>
    <row r="903">
      <c r="I903" s="35"/>
    </row>
    <row r="904">
      <c r="I904" s="35"/>
    </row>
    <row r="905">
      <c r="I905" s="35"/>
    </row>
    <row r="906">
      <c r="I906" s="35"/>
    </row>
    <row r="907">
      <c r="I907" s="35"/>
    </row>
    <row r="908">
      <c r="I908" s="35"/>
    </row>
    <row r="909">
      <c r="I909" s="35"/>
    </row>
    <row r="910">
      <c r="I910" s="35"/>
    </row>
    <row r="911">
      <c r="I911" s="35"/>
    </row>
    <row r="912">
      <c r="I912" s="35"/>
    </row>
    <row r="913">
      <c r="I913" s="35"/>
    </row>
    <row r="914">
      <c r="I914" s="35"/>
    </row>
    <row r="915">
      <c r="I915" s="35"/>
    </row>
    <row r="916">
      <c r="I916" s="35"/>
    </row>
    <row r="917">
      <c r="I917" s="35"/>
    </row>
    <row r="918">
      <c r="I918" s="35"/>
    </row>
    <row r="919">
      <c r="I919" s="35"/>
    </row>
    <row r="920">
      <c r="I920" s="35"/>
    </row>
    <row r="921">
      <c r="I921" s="35"/>
    </row>
    <row r="922">
      <c r="I922" s="35"/>
    </row>
    <row r="923">
      <c r="I923" s="35"/>
    </row>
    <row r="924">
      <c r="I924" s="35"/>
    </row>
    <row r="925">
      <c r="I925" s="35"/>
    </row>
    <row r="926">
      <c r="I926" s="35"/>
    </row>
    <row r="927">
      <c r="I927" s="35"/>
    </row>
    <row r="928">
      <c r="I928" s="35"/>
    </row>
    <row r="929">
      <c r="I929" s="35"/>
    </row>
    <row r="930">
      <c r="I930" s="35"/>
    </row>
    <row r="931">
      <c r="I931" s="35"/>
    </row>
    <row r="932">
      <c r="I932" s="35"/>
    </row>
    <row r="933">
      <c r="I933" s="35"/>
    </row>
    <row r="934">
      <c r="I934" s="35"/>
    </row>
    <row r="935">
      <c r="I935" s="35"/>
    </row>
    <row r="936">
      <c r="I936" s="35"/>
    </row>
    <row r="937">
      <c r="I937" s="35"/>
    </row>
    <row r="938">
      <c r="I938" s="35"/>
    </row>
    <row r="939">
      <c r="I939" s="35"/>
    </row>
    <row r="940">
      <c r="I940" s="35"/>
    </row>
    <row r="941">
      <c r="I941" s="35"/>
    </row>
    <row r="942">
      <c r="I942" s="35"/>
    </row>
    <row r="943">
      <c r="I943" s="35"/>
    </row>
    <row r="944">
      <c r="I944" s="35"/>
    </row>
    <row r="945">
      <c r="I945" s="35"/>
    </row>
    <row r="946">
      <c r="I946" s="35"/>
    </row>
    <row r="947">
      <c r="I947" s="35"/>
    </row>
    <row r="948">
      <c r="I948" s="35"/>
    </row>
    <row r="949">
      <c r="I949" s="35"/>
    </row>
    <row r="950">
      <c r="I950" s="35"/>
    </row>
    <row r="951">
      <c r="I951" s="35"/>
    </row>
    <row r="952">
      <c r="I952" s="35"/>
    </row>
    <row r="953">
      <c r="I953" s="35"/>
    </row>
    <row r="954">
      <c r="I954" s="35"/>
    </row>
    <row r="955">
      <c r="I955" s="35"/>
    </row>
    <row r="956">
      <c r="I956" s="35"/>
    </row>
    <row r="957">
      <c r="I957" s="35"/>
    </row>
    <row r="958">
      <c r="I958" s="35"/>
    </row>
    <row r="959">
      <c r="I959" s="35"/>
    </row>
    <row r="960">
      <c r="I960" s="35"/>
    </row>
    <row r="961">
      <c r="I961" s="35"/>
    </row>
    <row r="962">
      <c r="I962" s="35"/>
    </row>
    <row r="963">
      <c r="I963" s="35"/>
    </row>
    <row r="964">
      <c r="I964" s="35"/>
    </row>
    <row r="965">
      <c r="I965" s="35"/>
    </row>
    <row r="966">
      <c r="I966" s="35"/>
    </row>
    <row r="967">
      <c r="I967" s="35"/>
    </row>
    <row r="968">
      <c r="I968" s="35"/>
    </row>
    <row r="969">
      <c r="I969" s="35"/>
    </row>
    <row r="970">
      <c r="I970" s="35"/>
    </row>
    <row r="971">
      <c r="I971" s="35"/>
    </row>
    <row r="972">
      <c r="I972" s="35"/>
    </row>
    <row r="973">
      <c r="I973" s="35"/>
    </row>
    <row r="974">
      <c r="I974" s="35"/>
    </row>
    <row r="975">
      <c r="I975" s="35"/>
    </row>
    <row r="976">
      <c r="I976" s="35"/>
    </row>
    <row r="977">
      <c r="I977" s="35"/>
    </row>
    <row r="978">
      <c r="I978" s="35"/>
    </row>
    <row r="979">
      <c r="I979" s="35"/>
    </row>
    <row r="980">
      <c r="I980" s="35"/>
    </row>
    <row r="981">
      <c r="I981" s="35"/>
    </row>
    <row r="982">
      <c r="I982" s="35"/>
    </row>
    <row r="983">
      <c r="I983" s="35"/>
    </row>
    <row r="984">
      <c r="I984" s="35"/>
    </row>
    <row r="985">
      <c r="I985" s="35"/>
    </row>
    <row r="986">
      <c r="I986" s="35"/>
    </row>
    <row r="987">
      <c r="I987" s="35"/>
    </row>
    <row r="988">
      <c r="I988" s="35"/>
    </row>
    <row r="989">
      <c r="I989" s="35"/>
    </row>
    <row r="990">
      <c r="I990" s="35"/>
    </row>
    <row r="991">
      <c r="I991" s="35"/>
    </row>
    <row r="992">
      <c r="I992" s="35"/>
    </row>
    <row r="993">
      <c r="I993" s="35"/>
    </row>
    <row r="994">
      <c r="I994" s="35"/>
    </row>
    <row r="995">
      <c r="I995" s="35"/>
    </row>
    <row r="996">
      <c r="I996" s="35"/>
    </row>
    <row r="997">
      <c r="I997" s="35"/>
    </row>
    <row r="998">
      <c r="I998" s="35"/>
    </row>
    <row r="999">
      <c r="I999" s="35"/>
    </row>
    <row r="1000">
      <c r="I1000" s="35"/>
    </row>
    <row r="1001">
      <c r="I1001" s="35"/>
    </row>
    <row r="1002">
      <c r="I1002" s="35"/>
    </row>
  </sheetData>
  <autoFilter ref="$A$4:$AI$86"/>
  <mergeCells count="31">
    <mergeCell ref="F1:AH1"/>
    <mergeCell ref="F2:AH2"/>
    <mergeCell ref="A3:B3"/>
    <mergeCell ref="T5:U5"/>
    <mergeCell ref="V5:W5"/>
    <mergeCell ref="X5:Y5"/>
    <mergeCell ref="Z5:AA5"/>
    <mergeCell ref="AI5:AI6"/>
    <mergeCell ref="AK8:AK15"/>
    <mergeCell ref="AK17:AK20"/>
    <mergeCell ref="AH5:AH6"/>
    <mergeCell ref="AK7:AN7"/>
    <mergeCell ref="AO7:AP7"/>
    <mergeCell ref="AQ7:AR7"/>
    <mergeCell ref="AS7:AT7"/>
    <mergeCell ref="AU7:AV7"/>
    <mergeCell ref="AW7:AX7"/>
    <mergeCell ref="AL15:AN15"/>
    <mergeCell ref="AK16:AX16"/>
    <mergeCell ref="AM17:AN17"/>
    <mergeCell ref="AM18:AN18"/>
    <mergeCell ref="AM19:AN19"/>
    <mergeCell ref="AL20:AN20"/>
    <mergeCell ref="AK83:AN83"/>
    <mergeCell ref="AM8:AN8"/>
    <mergeCell ref="AM9:AN9"/>
    <mergeCell ref="AM10:AN10"/>
    <mergeCell ref="AM11:AN11"/>
    <mergeCell ref="AM12:AN12"/>
    <mergeCell ref="AM13:AN13"/>
    <mergeCell ref="AM14:AN14"/>
  </mergeCells>
  <conditionalFormatting sqref="AA3:AE4 AA6:AE6 AA90:AE1002">
    <cfRule type="timePeriod" dxfId="3" priority="1" timePeriod="last7Days"/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5"/>
    <col customWidth="1" min="3" max="3" width="10.0"/>
    <col customWidth="1" min="4" max="4" width="12.88"/>
    <col customWidth="1" min="5" max="5" width="18.75"/>
    <col customWidth="1" min="6" max="6" width="14.5"/>
    <col customWidth="1" min="7" max="7" width="14.88"/>
    <col customWidth="1" min="8" max="9" width="15.5"/>
  </cols>
  <sheetData>
    <row r="1">
      <c r="A1" s="479"/>
      <c r="B1" s="480" t="s">
        <v>847</v>
      </c>
      <c r="C1" s="481"/>
      <c r="D1" s="481"/>
      <c r="E1" s="481"/>
      <c r="F1" s="481"/>
      <c r="G1" s="481"/>
      <c r="H1" s="481"/>
      <c r="I1" s="482"/>
      <c r="J1" s="483"/>
      <c r="K1" s="483"/>
      <c r="L1" s="483"/>
      <c r="M1" s="483"/>
    </row>
    <row r="2">
      <c r="A2" s="479"/>
      <c r="B2" s="484"/>
      <c r="C2" s="284"/>
      <c r="D2" s="284"/>
      <c r="E2" s="284"/>
      <c r="F2" s="284"/>
      <c r="G2" s="284"/>
      <c r="H2" s="284"/>
      <c r="I2" s="485"/>
      <c r="J2" s="483"/>
      <c r="K2" s="483"/>
      <c r="L2" s="483"/>
      <c r="M2" s="483"/>
    </row>
    <row r="3">
      <c r="A3" s="432"/>
      <c r="B3" s="191"/>
      <c r="C3" s="191"/>
      <c r="D3" s="191"/>
      <c r="E3" s="191"/>
      <c r="F3" s="191"/>
      <c r="G3" s="191"/>
      <c r="H3" s="191"/>
      <c r="I3" s="191"/>
    </row>
    <row r="4">
      <c r="A4" s="486"/>
      <c r="B4" s="487" t="s">
        <v>2</v>
      </c>
      <c r="C4" s="487" t="s">
        <v>3</v>
      </c>
      <c r="D4" s="487" t="s">
        <v>4</v>
      </c>
      <c r="E4" s="487" t="s">
        <v>848</v>
      </c>
      <c r="F4" s="487" t="s">
        <v>849</v>
      </c>
      <c r="G4" s="487" t="s">
        <v>850</v>
      </c>
      <c r="H4" s="487" t="s">
        <v>851</v>
      </c>
      <c r="I4" s="487" t="s">
        <v>852</v>
      </c>
    </row>
    <row r="5" hidden="1">
      <c r="A5" s="233"/>
      <c r="B5" s="151">
        <v>1.0</v>
      </c>
      <c r="C5" s="151" t="s">
        <v>853</v>
      </c>
      <c r="D5" s="191"/>
      <c r="E5" s="151" t="s">
        <v>201</v>
      </c>
      <c r="F5" s="151" t="s">
        <v>200</v>
      </c>
      <c r="G5" s="488">
        <v>45938.0</v>
      </c>
      <c r="H5" s="488">
        <v>46303.0</v>
      </c>
      <c r="I5" s="151" t="s">
        <v>854</v>
      </c>
    </row>
    <row r="6" hidden="1">
      <c r="A6" s="233"/>
      <c r="B6" s="151">
        <v>2.0</v>
      </c>
      <c r="C6" s="151" t="s">
        <v>855</v>
      </c>
      <c r="D6" s="191"/>
      <c r="E6" s="151" t="s">
        <v>856</v>
      </c>
      <c r="F6" s="151" t="s">
        <v>857</v>
      </c>
      <c r="G6" s="488">
        <v>45967.0</v>
      </c>
      <c r="H6" s="488">
        <v>46332.0</v>
      </c>
      <c r="I6" s="151" t="s">
        <v>858</v>
      </c>
    </row>
    <row r="7" hidden="1">
      <c r="A7" s="233"/>
      <c r="B7" s="151">
        <v>3.0</v>
      </c>
      <c r="C7" s="151" t="s">
        <v>859</v>
      </c>
      <c r="D7" s="191"/>
      <c r="E7" s="151" t="s">
        <v>860</v>
      </c>
      <c r="F7" s="151" t="s">
        <v>861</v>
      </c>
      <c r="G7" s="488">
        <v>45967.0</v>
      </c>
      <c r="H7" s="488">
        <v>46332.0</v>
      </c>
      <c r="I7" s="151" t="s">
        <v>862</v>
      </c>
    </row>
    <row r="8" hidden="1">
      <c r="A8" s="233"/>
      <c r="B8" s="151">
        <v>4.0</v>
      </c>
      <c r="C8" s="151" t="s">
        <v>863</v>
      </c>
      <c r="D8" s="191"/>
      <c r="E8" s="151" t="s">
        <v>864</v>
      </c>
      <c r="F8" s="151" t="s">
        <v>865</v>
      </c>
      <c r="G8" s="488">
        <v>45967.0</v>
      </c>
      <c r="H8" s="488">
        <v>46332.0</v>
      </c>
      <c r="I8" s="151" t="s">
        <v>866</v>
      </c>
    </row>
    <row r="9">
      <c r="A9" s="233"/>
      <c r="B9" s="151">
        <v>5.0</v>
      </c>
      <c r="C9" s="151" t="s">
        <v>108</v>
      </c>
      <c r="D9" s="191"/>
      <c r="E9" s="151" t="s">
        <v>488</v>
      </c>
      <c r="F9" s="151" t="s">
        <v>487</v>
      </c>
      <c r="G9" s="489">
        <v>45979.0</v>
      </c>
      <c r="H9" s="489">
        <v>46344.0</v>
      </c>
      <c r="I9" s="151" t="s">
        <v>867</v>
      </c>
    </row>
    <row r="10">
      <c r="A10" s="233"/>
      <c r="B10" s="151">
        <v>6.0</v>
      </c>
      <c r="C10" s="151" t="s">
        <v>111</v>
      </c>
      <c r="D10" s="191"/>
      <c r="E10" s="151" t="s">
        <v>507</v>
      </c>
      <c r="F10" s="151" t="s">
        <v>506</v>
      </c>
      <c r="G10" s="489">
        <v>45979.0</v>
      </c>
      <c r="H10" s="489">
        <v>46344.0</v>
      </c>
      <c r="I10" s="151" t="s">
        <v>868</v>
      </c>
    </row>
    <row r="11">
      <c r="A11" s="233"/>
      <c r="B11" s="151">
        <v>7.0</v>
      </c>
      <c r="C11" s="151" t="s">
        <v>89</v>
      </c>
      <c r="D11" s="191"/>
      <c r="E11" s="151" t="s">
        <v>438</v>
      </c>
      <c r="F11" s="151" t="s">
        <v>437</v>
      </c>
      <c r="G11" s="489">
        <v>45979.0</v>
      </c>
      <c r="H11" s="489">
        <v>46344.0</v>
      </c>
      <c r="I11" s="151" t="s">
        <v>869</v>
      </c>
    </row>
    <row r="12">
      <c r="A12" s="233"/>
      <c r="B12" s="151">
        <v>8.0</v>
      </c>
      <c r="C12" s="151" t="s">
        <v>87</v>
      </c>
      <c r="D12" s="191"/>
      <c r="E12" s="151" t="s">
        <v>431</v>
      </c>
      <c r="F12" s="151" t="s">
        <v>430</v>
      </c>
      <c r="G12" s="489">
        <v>45979.0</v>
      </c>
      <c r="H12" s="489">
        <v>46344.0</v>
      </c>
      <c r="I12" s="151" t="s">
        <v>870</v>
      </c>
    </row>
    <row r="13">
      <c r="A13" s="233"/>
      <c r="B13" s="151">
        <v>9.0</v>
      </c>
      <c r="C13" s="151" t="s">
        <v>44</v>
      </c>
      <c r="D13" s="191"/>
      <c r="E13" s="151" t="s">
        <v>331</v>
      </c>
      <c r="F13" s="151" t="s">
        <v>330</v>
      </c>
      <c r="G13" s="489">
        <v>45979.0</v>
      </c>
      <c r="H13" s="489">
        <v>46344.0</v>
      </c>
      <c r="I13" s="151" t="s">
        <v>871</v>
      </c>
    </row>
    <row r="14">
      <c r="A14" s="233"/>
      <c r="B14" s="151">
        <v>10.0</v>
      </c>
      <c r="C14" s="151" t="s">
        <v>119</v>
      </c>
      <c r="D14" s="191"/>
      <c r="E14" s="151" t="s">
        <v>558</v>
      </c>
      <c r="F14" s="151" t="s">
        <v>557</v>
      </c>
      <c r="G14" s="489">
        <v>45979.0</v>
      </c>
      <c r="H14" s="489">
        <v>46344.0</v>
      </c>
      <c r="I14" s="151" t="s">
        <v>872</v>
      </c>
    </row>
    <row r="15">
      <c r="A15" s="233"/>
      <c r="B15" s="151">
        <v>11.0</v>
      </c>
      <c r="C15" s="151" t="s">
        <v>122</v>
      </c>
      <c r="D15" s="191"/>
      <c r="E15" s="151" t="s">
        <v>873</v>
      </c>
      <c r="F15" s="151" t="s">
        <v>596</v>
      </c>
      <c r="G15" s="489">
        <v>45979.0</v>
      </c>
      <c r="H15" s="489">
        <v>46344.0</v>
      </c>
      <c r="I15" s="151" t="s">
        <v>874</v>
      </c>
    </row>
    <row r="16">
      <c r="A16" s="233"/>
      <c r="B16" s="151">
        <v>12.0</v>
      </c>
      <c r="C16" s="151" t="s">
        <v>46</v>
      </c>
      <c r="D16" s="191"/>
      <c r="E16" s="151" t="s">
        <v>334</v>
      </c>
      <c r="F16" s="151" t="s">
        <v>333</v>
      </c>
      <c r="G16" s="489">
        <v>45979.0</v>
      </c>
      <c r="H16" s="489">
        <v>46344.0</v>
      </c>
      <c r="I16" s="151" t="s">
        <v>875</v>
      </c>
    </row>
    <row r="17">
      <c r="A17" s="233"/>
      <c r="B17" s="151">
        <v>13.0</v>
      </c>
      <c r="C17" s="151" t="s">
        <v>53</v>
      </c>
      <c r="D17" s="191"/>
      <c r="E17" s="151" t="s">
        <v>341</v>
      </c>
      <c r="F17" s="151" t="s">
        <v>340</v>
      </c>
      <c r="G17" s="489">
        <v>45979.0</v>
      </c>
      <c r="H17" s="489">
        <v>46344.0</v>
      </c>
      <c r="I17" s="151" t="s">
        <v>876</v>
      </c>
    </row>
    <row r="18">
      <c r="A18" s="233"/>
      <c r="B18" s="151">
        <v>14.0</v>
      </c>
      <c r="C18" s="151" t="s">
        <v>699</v>
      </c>
      <c r="D18" s="191"/>
      <c r="E18" s="151" t="s">
        <v>877</v>
      </c>
      <c r="F18" s="151" t="s">
        <v>701</v>
      </c>
      <c r="G18" s="489">
        <v>45979.0</v>
      </c>
      <c r="H18" s="489">
        <v>46344.0</v>
      </c>
      <c r="I18" s="151" t="s">
        <v>878</v>
      </c>
    </row>
    <row r="19">
      <c r="A19" s="233"/>
      <c r="B19" s="151">
        <v>15.0</v>
      </c>
      <c r="C19" s="151" t="s">
        <v>103</v>
      </c>
      <c r="D19" s="191"/>
      <c r="E19" s="151" t="s">
        <v>879</v>
      </c>
      <c r="F19" s="151" t="s">
        <v>880</v>
      </c>
      <c r="G19" s="489">
        <v>45979.0</v>
      </c>
      <c r="H19" s="489">
        <v>46344.0</v>
      </c>
      <c r="I19" s="151" t="s">
        <v>881</v>
      </c>
    </row>
    <row r="20">
      <c r="A20" s="233"/>
      <c r="B20" s="151">
        <v>16.0</v>
      </c>
      <c r="C20" s="151" t="s">
        <v>28</v>
      </c>
      <c r="D20" s="191"/>
      <c r="E20" s="151" t="s">
        <v>292</v>
      </c>
      <c r="F20" s="151" t="s">
        <v>291</v>
      </c>
      <c r="G20" s="489">
        <v>45979.0</v>
      </c>
      <c r="H20" s="489">
        <v>46344.0</v>
      </c>
      <c r="I20" s="151" t="s">
        <v>882</v>
      </c>
    </row>
    <row r="21">
      <c r="A21" s="233"/>
      <c r="B21" s="151">
        <v>17.0</v>
      </c>
      <c r="C21" s="151" t="s">
        <v>31</v>
      </c>
      <c r="D21" s="191"/>
      <c r="E21" s="151" t="s">
        <v>883</v>
      </c>
      <c r="F21" s="151" t="s">
        <v>310</v>
      </c>
      <c r="G21" s="489">
        <v>45979.0</v>
      </c>
      <c r="H21" s="489">
        <v>46344.0</v>
      </c>
      <c r="I21" s="151" t="s">
        <v>884</v>
      </c>
    </row>
    <row r="22">
      <c r="A22" s="233"/>
      <c r="B22" s="151">
        <v>18.0</v>
      </c>
      <c r="C22" s="151" t="s">
        <v>885</v>
      </c>
      <c r="D22" s="191"/>
      <c r="E22" s="151" t="s">
        <v>187</v>
      </c>
      <c r="F22" s="151" t="s">
        <v>186</v>
      </c>
      <c r="G22" s="489">
        <v>45979.0</v>
      </c>
      <c r="H22" s="489">
        <v>46344.0</v>
      </c>
      <c r="I22" s="151" t="s">
        <v>886</v>
      </c>
    </row>
    <row r="23">
      <c r="A23" s="233"/>
      <c r="B23" s="151">
        <v>19.0</v>
      </c>
      <c r="C23" s="151" t="s">
        <v>887</v>
      </c>
      <c r="D23" s="191"/>
      <c r="E23" s="151" t="s">
        <v>165</v>
      </c>
      <c r="F23" s="151" t="s">
        <v>164</v>
      </c>
      <c r="G23" s="489">
        <v>45979.0</v>
      </c>
      <c r="H23" s="489">
        <v>46344.0</v>
      </c>
      <c r="I23" s="151" t="s">
        <v>888</v>
      </c>
    </row>
    <row r="24">
      <c r="A24" s="233"/>
      <c r="B24" s="151">
        <v>20.0</v>
      </c>
      <c r="C24" s="151" t="s">
        <v>12</v>
      </c>
      <c r="D24" s="191"/>
      <c r="E24" s="151" t="s">
        <v>175</v>
      </c>
      <c r="F24" s="151" t="s">
        <v>174</v>
      </c>
      <c r="G24" s="489">
        <v>45979.0</v>
      </c>
      <c r="H24" s="489">
        <v>46344.0</v>
      </c>
      <c r="I24" s="151" t="s">
        <v>889</v>
      </c>
    </row>
    <row r="25">
      <c r="A25" s="233"/>
      <c r="B25" s="151">
        <v>21.0</v>
      </c>
      <c r="C25" s="151" t="s">
        <v>88</v>
      </c>
      <c r="D25" s="191"/>
      <c r="E25" s="151" t="s">
        <v>890</v>
      </c>
      <c r="F25" s="151" t="s">
        <v>434</v>
      </c>
      <c r="G25" s="489">
        <v>45979.0</v>
      </c>
      <c r="H25" s="489">
        <v>46344.0</v>
      </c>
      <c r="I25" s="151" t="s">
        <v>891</v>
      </c>
    </row>
    <row r="26">
      <c r="A26" s="233"/>
      <c r="B26" s="151">
        <v>22.0</v>
      </c>
      <c r="C26" s="151" t="s">
        <v>117</v>
      </c>
      <c r="D26" s="191"/>
      <c r="E26" s="151" t="s">
        <v>549</v>
      </c>
      <c r="F26" s="151" t="s">
        <v>548</v>
      </c>
      <c r="G26" s="489">
        <v>45979.0</v>
      </c>
      <c r="H26" s="489">
        <v>46344.0</v>
      </c>
      <c r="I26" s="151" t="s">
        <v>892</v>
      </c>
    </row>
    <row r="27">
      <c r="A27" s="233"/>
      <c r="B27" s="151">
        <v>23.0</v>
      </c>
      <c r="C27" s="151" t="s">
        <v>893</v>
      </c>
      <c r="D27" s="191"/>
      <c r="E27" s="151" t="s">
        <v>877</v>
      </c>
      <c r="F27" s="151" t="s">
        <v>701</v>
      </c>
      <c r="G27" s="489">
        <v>45979.0</v>
      </c>
      <c r="H27" s="489">
        <v>46344.0</v>
      </c>
      <c r="I27" s="151" t="s">
        <v>878</v>
      </c>
    </row>
    <row r="28">
      <c r="A28" s="233"/>
      <c r="B28" s="151">
        <v>24.0</v>
      </c>
      <c r="C28" s="151" t="s">
        <v>703</v>
      </c>
      <c r="D28" s="191"/>
      <c r="E28" s="151" t="s">
        <v>705</v>
      </c>
      <c r="F28" s="151" t="s">
        <v>894</v>
      </c>
      <c r="G28" s="489">
        <v>45979.0</v>
      </c>
      <c r="H28" s="489">
        <v>46344.0</v>
      </c>
      <c r="I28" s="151" t="s">
        <v>895</v>
      </c>
    </row>
    <row r="29">
      <c r="A29" s="233"/>
      <c r="B29" s="151">
        <v>25.0</v>
      </c>
      <c r="C29" s="151" t="s">
        <v>706</v>
      </c>
      <c r="D29" s="191"/>
      <c r="E29" s="151" t="s">
        <v>708</v>
      </c>
      <c r="F29" s="151" t="s">
        <v>707</v>
      </c>
      <c r="G29" s="489">
        <v>45979.0</v>
      </c>
      <c r="H29" s="489">
        <v>46344.0</v>
      </c>
      <c r="I29" s="151" t="s">
        <v>896</v>
      </c>
    </row>
    <row r="30">
      <c r="A30" s="233"/>
      <c r="B30" s="151">
        <v>26.0</v>
      </c>
      <c r="C30" s="151" t="s">
        <v>98</v>
      </c>
      <c r="D30" s="191"/>
      <c r="E30" s="151" t="s">
        <v>461</v>
      </c>
      <c r="F30" s="151" t="s">
        <v>897</v>
      </c>
      <c r="G30" s="489">
        <v>45979.0</v>
      </c>
      <c r="H30" s="489">
        <v>46344.0</v>
      </c>
      <c r="I30" s="151" t="s">
        <v>898</v>
      </c>
    </row>
  </sheetData>
  <autoFilter ref="$B$4:$I$30">
    <filterColumn colId="6">
      <filters>
        <filter val="18/11/2026"/>
      </filters>
    </filterColumn>
  </autoFilter>
  <mergeCells count="1">
    <mergeCell ref="B1:I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hidden="1" min="3" max="4" width="12.63"/>
    <col customWidth="1" min="5" max="5" width="30.0"/>
    <col hidden="1" min="6" max="19" width="12.63"/>
    <col customWidth="1" hidden="1" min="20" max="20" width="17.5"/>
    <col hidden="1" min="21" max="21" width="12.63"/>
    <col customWidth="1" min="22" max="22" width="18.0"/>
    <col customWidth="1" min="23" max="23" width="16.63"/>
    <col customWidth="1" min="24" max="24" width="19.0"/>
    <col customWidth="1" min="25" max="25" width="16.63"/>
    <col customWidth="1" min="26" max="26" width="16.38"/>
    <col customWidth="1" min="27" max="27" width="16.63"/>
    <col customWidth="1" min="28" max="28" width="17.63"/>
    <col customWidth="1" min="29" max="29" width="16.63"/>
    <col customWidth="1" min="30" max="30" width="20.63"/>
    <col customWidth="1" min="31" max="31" width="13.38"/>
    <col hidden="1" min="32" max="45" width="12.63"/>
  </cols>
  <sheetData>
    <row r="1" ht="28.5" customHeight="1">
      <c r="A1" s="1"/>
      <c r="B1" s="3" t="s">
        <v>1</v>
      </c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ht="28.5" customHeight="1">
      <c r="A2" s="1" t="str">
        <f>IFERROR(__xludf.DUMMYFUNCTION("QUERY(
  'Data MT Pola Sewa'!$A$6:$AI$85,
  ""select * 
   where U matches 'Akan Habis|Habis|Habis dalam 7-1 Hari' 
      or W matches 'Akan Habis|Habis|Habis dalam 7-1 Hari' 
      or Y matches 'Akan Habis|Habis|Habis dalam 7-1 Hari' 
      or AA matches"&amp;" 'Akan Habis|Habis|Habis dalam 7-1 Hari' 
      or AC matches 'Akan Habis|Habis|Habis dalam 7-1 Hari' 
      or AE matches 'Akan Habis|Habis|Habis dalam 7-1 Hari'"",
  1
)"),"NO")</f>
        <v>NO</v>
      </c>
      <c r="B2" s="13" t="str">
        <f>IFERROR(__xludf.DUMMYFUNCTION("""COMPUTED_VALUE"""),"NOPOL")</f>
        <v>NOPOL</v>
      </c>
      <c r="C2" s="13" t="str">
        <f>IFERROR(__xludf.DUMMYFUNCTION("""COMPUTED_VALUE"""),"KAP")</f>
        <v>KAP</v>
      </c>
      <c r="D2" s="13" t="str">
        <f>IFERROR(__xludf.DUMMYFUNCTION("""COMPUTED_VALUE"""),"")</f>
        <v/>
      </c>
      <c r="E2" s="13" t="str">
        <f>IFERROR(__xludf.DUMMYFUNCTION("""COMPUTED_VALUE"""),"TRANSPORTIR")</f>
        <v>TRANSPORTIR</v>
      </c>
      <c r="F2" s="13" t="str">
        <f>IFERROR(__xludf.DUMMYFUNCTION("""COMPUTED_VALUE"""),"TAHUN PEMBUATAN")</f>
        <v>TAHUN PEMBUATAN</v>
      </c>
      <c r="G2" s="13" t="str">
        <f>IFERROR(__xludf.DUMMYFUNCTION("""COMPUTED_VALUE"""),"REGISTRASI")</f>
        <v>REGISTRASI</v>
      </c>
      <c r="H2" s="13" t="str">
        <f>IFERROR(__xludf.DUMMYFUNCTION("""COMPUTED_VALUE"""),"MASA PEMAKAIAN HEAD")</f>
        <v>MASA PEMAKAIAN HEAD</v>
      </c>
      <c r="I2" s="13" t="str">
        <f>IFERROR(__xludf.DUMMYFUNCTION("""COMPUTED_VALUE"""),"TYPE")</f>
        <v>TYPE</v>
      </c>
      <c r="J2" s="13" t="str">
        <f>IFERROR(__xludf.DUMMYFUNCTION("""COMPUTED_VALUE"""),"CC")</f>
        <v>CC</v>
      </c>
      <c r="K2" s="13" t="str">
        <f>IFERROR(__xludf.DUMMYFUNCTION("""COMPUTED_VALUE"""),"EMISI MESIN")</f>
        <v>EMISI MESIN</v>
      </c>
      <c r="L2" s="13" t="str">
        <f>IFERROR(__xludf.DUMMYFUNCTION("""COMPUTED_VALUE"""),"JENIS (PTO/Standart)")</f>
        <v>JENIS (PTO/Standart)</v>
      </c>
      <c r="M2" s="13" t="str">
        <f>IFERROR(__xludf.DUMMYFUNCTION("""COMPUTED_VALUE"""),"KAROSERI")</f>
        <v>KAROSERI</v>
      </c>
      <c r="N2" s="13" t="str">
        <f>IFERROR(__xludf.DUMMYFUNCTION("""COMPUTED_VALUE"""),"TAHUN TANGKI")</f>
        <v>TAHUN TANGKI</v>
      </c>
      <c r="O2" s="13" t="str">
        <f>IFERROR(__xludf.DUMMYFUNCTION("""COMPUTED_VALUE"""),"MASA PEMAKAIAN TANGKI")</f>
        <v>MASA PEMAKAIAN TANGKI</v>
      </c>
      <c r="P2" s="13" t="str">
        <f>IFERROR(__xludf.DUMMYFUNCTION("""COMPUTED_VALUE"""),"MATERIAL TANGKI")</f>
        <v>MATERIAL TANGKI</v>
      </c>
      <c r="Q2" s="13" t="str">
        <f>IFERROR(__xludf.DUMMYFUNCTION("""COMPUTED_VALUE"""),"MERK")</f>
        <v>MERK</v>
      </c>
      <c r="R2" s="13" t="str">
        <f>IFERROR(__xludf.DUMMYFUNCTION("""COMPUTED_VALUE"""),"NO MESIN")</f>
        <v>NO MESIN</v>
      </c>
      <c r="S2" s="13" t="str">
        <f>IFERROR(__xludf.DUMMYFUNCTION("""COMPUTED_VALUE"""),"NO RANGKA")</f>
        <v>NO RANGKA</v>
      </c>
      <c r="T2" s="13" t="str">
        <f>IFERROR(__xludf.DUMMYFUNCTION("""COMPUTED_VALUE"""),"Tanggal  STNK")</f>
        <v>Tanggal  STNK</v>
      </c>
      <c r="U2" s="13" t="str">
        <f>IFERROR(__xludf.DUMMYFUNCTION("""COMPUTED_VALUE"""),"Status")</f>
        <v>Status</v>
      </c>
      <c r="V2" s="13" t="str">
        <f>IFERROR(__xludf.DUMMYFUNCTION("""COMPUTED_VALUE"""),"Tanggal PAJAK ")</f>
        <v>Tanggal PAJAK </v>
      </c>
      <c r="W2" s="13" t="str">
        <f>IFERROR(__xludf.DUMMYFUNCTION("""COMPUTED_VALUE"""),"Status")</f>
        <v>Status</v>
      </c>
      <c r="X2" s="13" t="str">
        <f>IFERROR(__xludf.DUMMYFUNCTION("""COMPUTED_VALUE"""),"Tanggal KEUR")</f>
        <v>Tanggal KEUR</v>
      </c>
      <c r="Y2" s="13" t="str">
        <f>IFERROR(__xludf.DUMMYFUNCTION("""COMPUTED_VALUE"""),"Status")</f>
        <v>Status</v>
      </c>
      <c r="Z2" s="13" t="str">
        <f>IFERROR(__xludf.DUMMYFUNCTION("""COMPUTED_VALUE"""),"Tanggal KIM")</f>
        <v>Tanggal KIM</v>
      </c>
      <c r="AA2" s="13" t="str">
        <f>IFERROR(__xludf.DUMMYFUNCTION("""COMPUTED_VALUE"""),"Status")</f>
        <v>Status</v>
      </c>
      <c r="AB2" s="13" t="str">
        <f>IFERROR(__xludf.DUMMYFUNCTION("""COMPUTED_VALUE"""),"Tanggal Tera")</f>
        <v>Tanggal Tera</v>
      </c>
      <c r="AC2" s="13" t="str">
        <f>IFERROR(__xludf.DUMMYFUNCTION("""COMPUTED_VALUE"""),"Status")</f>
        <v>Status</v>
      </c>
      <c r="AD2" s="13" t="str">
        <f>IFERROR(__xludf.DUMMYFUNCTION("""COMPUTED_VALUE"""),"Tanggal KEDAP")</f>
        <v>Tanggal KEDAP</v>
      </c>
      <c r="AE2" s="13" t="str">
        <f>IFERROR(__xludf.DUMMYFUNCTION("""COMPUTED_VALUE"""),"Status")</f>
        <v>Status</v>
      </c>
      <c r="AF2" s="13" t="str">
        <f>IFERROR(__xludf.DUMMYFUNCTION("""COMPUTED_VALUE"""),"Asuransi ")</f>
        <v>Asuransi </v>
      </c>
      <c r="AG2" s="13" t="str">
        <f>IFERROR(__xludf.DUMMYFUNCTION("""COMPUTED_VALUE"""),"Status")</f>
        <v>Status</v>
      </c>
      <c r="AH2" s="6" t="str">
        <f>IFERROR(__xludf.DUMMYFUNCTION("""COMPUTED_VALUE"""),"")</f>
        <v/>
      </c>
      <c r="AI2" s="6" t="str">
        <f>IFERROR(__xludf.DUMMYFUNCTION("""COMPUTED_VALUE"""),"")</f>
        <v/>
      </c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>
      <c r="A3" s="6">
        <f>IFERROR(__xludf.DUMMYFUNCTION("""COMPUTED_VALUE"""),7.0)</f>
        <v>7</v>
      </c>
      <c r="B3" s="6" t="str">
        <f>IFERROR(__xludf.DUMMYFUNCTION("""COMPUTED_VALUE"""),"B9300TFV")</f>
        <v>B9300TFV</v>
      </c>
      <c r="C3" s="6" t="str">
        <f>IFERROR(__xludf.DUMMYFUNCTION("""COMPUTED_VALUE"""),"8+8")</f>
        <v>8+8</v>
      </c>
      <c r="D3" s="6">
        <f>IFERROR(__xludf.DUMMYFUNCTION("""COMPUTED_VALUE"""),16.0)</f>
        <v>16</v>
      </c>
      <c r="E3" s="6" t="str">
        <f>IFERROR(__xludf.DUMMYFUNCTION("""COMPUTED_VALUE"""),"PT. ADAM TRANS")</f>
        <v>PT. ADAM TRANS</v>
      </c>
      <c r="F3" s="6">
        <f>IFERROR(__xludf.DUMMYFUNCTION("""COMPUTED_VALUE"""),2022.0)</f>
        <v>2022</v>
      </c>
      <c r="G3" s="6">
        <f>IFERROR(__xludf.DUMMYFUNCTION("""COMPUTED_VALUE"""),2022.0)</f>
        <v>2022</v>
      </c>
      <c r="H3" s="6">
        <f>IFERROR(__xludf.DUMMYFUNCTION("""COMPUTED_VALUE"""),4.0)</f>
        <v>4</v>
      </c>
      <c r="I3" s="6" t="str">
        <f>IFERROR(__xludf.DUMMYFUNCTION("""COMPUTED_VALUE"""),"FL8JN2A-PGJ")</f>
        <v>FL8JN2A-PGJ</v>
      </c>
      <c r="J3" s="6">
        <f>IFERROR(__xludf.DUMMYFUNCTION("""COMPUTED_VALUE"""),7684.0)</f>
        <v>7684</v>
      </c>
      <c r="K3" s="6" t="str">
        <f>IFERROR(__xludf.DUMMYFUNCTION("""COMPUTED_VALUE"""),"EURO 4")</f>
        <v>EURO 4</v>
      </c>
      <c r="L3" s="6" t="str">
        <f>IFERROR(__xludf.DUMMYFUNCTION("""COMPUTED_VALUE"""),"Standart")</f>
        <v>Standart</v>
      </c>
      <c r="M3" s="6" t="str">
        <f>IFERROR(__xludf.DUMMYFUNCTION("""COMPUTED_VALUE"""),"Geluran Adikarya")</f>
        <v>Geluran Adikarya</v>
      </c>
      <c r="N3" s="6">
        <f>IFERROR(__xludf.DUMMYFUNCTION("""COMPUTED_VALUE"""),2022.0)</f>
        <v>2022</v>
      </c>
      <c r="O3" s="6">
        <f>IFERROR(__xludf.DUMMYFUNCTION("""COMPUTED_VALUE"""),4.0)</f>
        <v>4</v>
      </c>
      <c r="P3" s="6" t="str">
        <f>IFERROR(__xludf.DUMMYFUNCTION("""COMPUTED_VALUE"""),"CS")</f>
        <v>CS</v>
      </c>
      <c r="Q3" s="6" t="str">
        <f>IFERROR(__xludf.DUMMYFUNCTION("""COMPUTED_VALUE"""),"HINO")</f>
        <v>HINO</v>
      </c>
      <c r="R3" s="6" t="str">
        <f>IFERROR(__xludf.DUMMYFUNCTION("""COMPUTED_VALUE"""),"J08EWEJ12088")</f>
        <v>J08EWEJ12088</v>
      </c>
      <c r="S3" s="6" t="str">
        <f>IFERROR(__xludf.DUMMYFUNCTION("""COMPUTED_VALUE"""),"MJEFL8JN2NJP10126")</f>
        <v>MJEFL8JN2NJP10126</v>
      </c>
      <c r="T3" s="31">
        <f>IFERROR(__xludf.DUMMYFUNCTION("""COMPUTED_VALUE"""),46730.0)</f>
        <v>46730</v>
      </c>
      <c r="U3" s="6" t="str">
        <f>IFERROR(__xludf.DUMMYFUNCTION("""COMPUTED_VALUE"""),"Berlaku")</f>
        <v>Berlaku</v>
      </c>
      <c r="V3" s="31">
        <f>IFERROR(__xludf.DUMMYFUNCTION("""COMPUTED_VALUE"""),46365.0)</f>
        <v>46365</v>
      </c>
      <c r="W3" s="6" t="str">
        <f>IFERROR(__xludf.DUMMYFUNCTION("""COMPUTED_VALUE"""),"Berlaku")</f>
        <v>Berlaku</v>
      </c>
      <c r="X3" s="31"/>
      <c r="Y3" s="6" t="str">
        <f>IFERROR(__xludf.DUMMYFUNCTION("""COMPUTED_VALUE"""),"Habis")</f>
        <v>Habis</v>
      </c>
      <c r="Z3" s="31">
        <f>IFERROR(__xludf.DUMMYFUNCTION("""COMPUTED_VALUE"""),46303.0)</f>
        <v>46303</v>
      </c>
      <c r="AA3" s="6" t="str">
        <f>IFERROR(__xludf.DUMMYFUNCTION("""COMPUTED_VALUE"""),"Akan Habis")</f>
        <v>Akan Habis</v>
      </c>
      <c r="AB3" s="31">
        <f>IFERROR(__xludf.DUMMYFUNCTION("""COMPUTED_VALUE"""),46337.0)</f>
        <v>46337</v>
      </c>
      <c r="AC3" s="6" t="str">
        <f>IFERROR(__xludf.DUMMYFUNCTION("""COMPUTED_VALUE"""),"Akan Habis")</f>
        <v>Akan Habis</v>
      </c>
      <c r="AD3" s="33">
        <f>IFERROR(__xludf.DUMMYFUNCTION("""COMPUTED_VALUE"""),46347.0)</f>
        <v>46347</v>
      </c>
      <c r="AE3" s="6" t="str">
        <f>IFERROR(__xludf.DUMMYFUNCTION("""COMPUTED_VALUE"""),"Berlaku")</f>
        <v>Berlaku</v>
      </c>
      <c r="AF3" s="6" t="str">
        <f>IFERROR(__xludf.DUMMYFUNCTION("""COMPUTED_VALUE"""),"TUGU")</f>
        <v>TUGU</v>
      </c>
      <c r="AG3" s="6" t="str">
        <f>IFERROR(__xludf.DUMMYFUNCTION("""COMPUTED_VALUE"""),"AKTIF ")</f>
        <v>AKTIF </v>
      </c>
      <c r="AH3" s="6"/>
      <c r="AI3" s="6" t="str">
        <f>IFERROR(__xludf.DUMMYFUNCTION("""COMPUTED_VALUE"""),"R1880CK")</f>
        <v>R1880CK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>
      <c r="A4" s="6">
        <f>IFERROR(__xludf.DUMMYFUNCTION("""COMPUTED_VALUE"""),8.0)</f>
        <v>8</v>
      </c>
      <c r="B4" s="6" t="str">
        <f>IFERROR(__xludf.DUMMYFUNCTION("""COMPUTED_VALUE"""),"B9378TFV")</f>
        <v>B9378TFV</v>
      </c>
      <c r="C4" s="6" t="str">
        <f>IFERROR(__xludf.DUMMYFUNCTION("""COMPUTED_VALUE"""),"8+8")</f>
        <v>8+8</v>
      </c>
      <c r="D4" s="6">
        <f>IFERROR(__xludf.DUMMYFUNCTION("""COMPUTED_VALUE"""),16.0)</f>
        <v>16</v>
      </c>
      <c r="E4" s="6" t="str">
        <f>IFERROR(__xludf.DUMMYFUNCTION("""COMPUTED_VALUE"""),"PT. ADAM TRANS")</f>
        <v>PT. ADAM TRANS</v>
      </c>
      <c r="F4" s="6">
        <f>IFERROR(__xludf.DUMMYFUNCTION("""COMPUTED_VALUE"""),2023.0)</f>
        <v>2023</v>
      </c>
      <c r="G4" s="6">
        <f>IFERROR(__xludf.DUMMYFUNCTION("""COMPUTED_VALUE"""),2023.0)</f>
        <v>2023</v>
      </c>
      <c r="H4" s="6">
        <f>IFERROR(__xludf.DUMMYFUNCTION("""COMPUTED_VALUE"""),3.0)</f>
        <v>3</v>
      </c>
      <c r="I4" s="6" t="str">
        <f>IFERROR(__xludf.DUMMYFUNCTION("""COMPUTED_VALUE"""),"2523 R/4500 6X2 MT")</f>
        <v>2523 R/4500 6X2 MT</v>
      </c>
      <c r="J4" s="6">
        <f>IFERROR(__xludf.DUMMYFUNCTION("""COMPUTED_VALUE"""),6374.0)</f>
        <v>6374</v>
      </c>
      <c r="K4" s="6" t="str">
        <f>IFERROR(__xludf.DUMMYFUNCTION("""COMPUTED_VALUE"""),"EURO 5")</f>
        <v>EURO 5</v>
      </c>
      <c r="L4" s="6" t="str">
        <f>IFERROR(__xludf.DUMMYFUNCTION("""COMPUTED_VALUE"""),"Standart")</f>
        <v>Standart</v>
      </c>
      <c r="M4" s="6" t="str">
        <f>IFERROR(__xludf.DUMMYFUNCTION("""COMPUTED_VALUE"""),"Meco")</f>
        <v>Meco</v>
      </c>
      <c r="N4" s="6">
        <f>IFERROR(__xludf.DUMMYFUNCTION("""COMPUTED_VALUE"""),2023.0)</f>
        <v>2023</v>
      </c>
      <c r="O4" s="6">
        <f>IFERROR(__xludf.DUMMYFUNCTION("""COMPUTED_VALUE"""),3.0)</f>
        <v>3</v>
      </c>
      <c r="P4" s="6" t="str">
        <f>IFERROR(__xludf.DUMMYFUNCTION("""COMPUTED_VALUE"""),"CS")</f>
        <v>CS</v>
      </c>
      <c r="Q4" s="6" t="str">
        <f>IFERROR(__xludf.DUMMYFUNCTION("""COMPUTED_VALUE"""),"MERCEDES BENZ")</f>
        <v>MERCEDES BENZ</v>
      </c>
      <c r="R4" s="6" t="str">
        <f>IFERROR(__xludf.DUMMYFUNCTION("""COMPUTED_VALUE"""),"400952D0139091")</f>
        <v>400952D0139091</v>
      </c>
      <c r="S4" s="6" t="str">
        <f>IFERROR(__xludf.DUMMYFUNCTION("""COMPUTED_VALUE"""),"MEC2126BAPP133277")</f>
        <v>MEC2126BAPP133277</v>
      </c>
      <c r="T4" s="31">
        <f>IFERROR(__xludf.DUMMYFUNCTION("""COMPUTED_VALUE"""),47025.0)</f>
        <v>47025</v>
      </c>
      <c r="U4" s="6" t="str">
        <f>IFERROR(__xludf.DUMMYFUNCTION("""COMPUTED_VALUE"""),"Berlaku")</f>
        <v>Berlaku</v>
      </c>
      <c r="V4" s="31">
        <f>IFERROR(__xludf.DUMMYFUNCTION("""COMPUTED_VALUE"""),46659.0)</f>
        <v>46659</v>
      </c>
      <c r="W4" s="6" t="str">
        <f>IFERROR(__xludf.DUMMYFUNCTION("""COMPUTED_VALUE"""),"Berlaku")</f>
        <v>Berlaku</v>
      </c>
      <c r="X4" s="31"/>
      <c r="Y4" s="6" t="str">
        <f>IFERROR(__xludf.DUMMYFUNCTION("""COMPUTED_VALUE"""),"Habis")</f>
        <v>Habis</v>
      </c>
      <c r="Z4" s="31">
        <f>IFERROR(__xludf.DUMMYFUNCTION("""COMPUTED_VALUE"""),46446.0)</f>
        <v>46446</v>
      </c>
      <c r="AA4" s="6" t="str">
        <f>IFERROR(__xludf.DUMMYFUNCTION("""COMPUTED_VALUE"""),"Berlaku")</f>
        <v>Berlaku</v>
      </c>
      <c r="AB4" s="31">
        <f>IFERROR(__xludf.DUMMYFUNCTION("""COMPUTED_VALUE"""),46688.0)</f>
        <v>46688</v>
      </c>
      <c r="AC4" s="6" t="str">
        <f>IFERROR(__xludf.DUMMYFUNCTION("""COMPUTED_VALUE"""),"Berlaku")</f>
        <v>Berlaku</v>
      </c>
      <c r="AD4" s="33">
        <f>IFERROR(__xludf.DUMMYFUNCTION("""COMPUTED_VALUE"""),46459.0)</f>
        <v>46459</v>
      </c>
      <c r="AE4" s="6" t="str">
        <f>IFERROR(__xludf.DUMMYFUNCTION("""COMPUTED_VALUE"""),"Berlaku")</f>
        <v>Berlaku</v>
      </c>
      <c r="AF4" s="6" t="str">
        <f>IFERROR(__xludf.DUMMYFUNCTION("""COMPUTED_VALUE"""),"TUGU")</f>
        <v>TUGU</v>
      </c>
      <c r="AG4" s="6" t="str">
        <f>IFERROR(__xludf.DUMMYFUNCTION("""COMPUTED_VALUE"""),"AKTIF ")</f>
        <v>AKTIF </v>
      </c>
      <c r="AH4" s="6"/>
      <c r="AI4" s="6" t="str">
        <f>IFERROR(__xludf.DUMMYFUNCTION("""COMPUTED_VALUE"""),"Menggantikan MT AA1895FP PT. TANAH PUTIH")</f>
        <v>Menggantikan MT AA1895FP PT. TANAH PUTIH</v>
      </c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>
      <c r="A5" s="6">
        <f>IFERROR(__xludf.DUMMYFUNCTION("""COMPUTED_VALUE"""),9.0)</f>
        <v>9</v>
      </c>
      <c r="B5" s="6" t="str">
        <f>IFERROR(__xludf.DUMMYFUNCTION("""COMPUTED_VALUE"""),"B9376TFV")</f>
        <v>B9376TFV</v>
      </c>
      <c r="C5" s="6" t="str">
        <f>IFERROR(__xludf.DUMMYFUNCTION("""COMPUTED_VALUE"""),"8+8")</f>
        <v>8+8</v>
      </c>
      <c r="D5" s="6">
        <f>IFERROR(__xludf.DUMMYFUNCTION("""COMPUTED_VALUE"""),16.0)</f>
        <v>16</v>
      </c>
      <c r="E5" s="6" t="str">
        <f>IFERROR(__xludf.DUMMYFUNCTION("""COMPUTED_VALUE"""),"PT. ADAM TRANS")</f>
        <v>PT. ADAM TRANS</v>
      </c>
      <c r="F5" s="6">
        <f>IFERROR(__xludf.DUMMYFUNCTION("""COMPUTED_VALUE"""),2023.0)</f>
        <v>2023</v>
      </c>
      <c r="G5" s="6">
        <f>IFERROR(__xludf.DUMMYFUNCTION("""COMPUTED_VALUE"""),2023.0)</f>
        <v>2023</v>
      </c>
      <c r="H5" s="6">
        <f>IFERROR(__xludf.DUMMYFUNCTION("""COMPUTED_VALUE"""),3.0)</f>
        <v>3</v>
      </c>
      <c r="I5" s="6" t="str">
        <f>IFERROR(__xludf.DUMMYFUNCTION("""COMPUTED_VALUE"""),"2523 R/4500 6X2 MT")</f>
        <v>2523 R/4500 6X2 MT</v>
      </c>
      <c r="J5" s="6">
        <f>IFERROR(__xludf.DUMMYFUNCTION("""COMPUTED_VALUE"""),6374.0)</f>
        <v>6374</v>
      </c>
      <c r="K5" s="6" t="str">
        <f>IFERROR(__xludf.DUMMYFUNCTION("""COMPUTED_VALUE"""),"EURO 5")</f>
        <v>EURO 5</v>
      </c>
      <c r="L5" s="6" t="str">
        <f>IFERROR(__xludf.DUMMYFUNCTION("""COMPUTED_VALUE"""),"Standart")</f>
        <v>Standart</v>
      </c>
      <c r="M5" s="6" t="str">
        <f>IFERROR(__xludf.DUMMYFUNCTION("""COMPUTED_VALUE"""),"Meco")</f>
        <v>Meco</v>
      </c>
      <c r="N5" s="6">
        <f>IFERROR(__xludf.DUMMYFUNCTION("""COMPUTED_VALUE"""),2023.0)</f>
        <v>2023</v>
      </c>
      <c r="O5" s="6">
        <f>IFERROR(__xludf.DUMMYFUNCTION("""COMPUTED_VALUE"""),3.0)</f>
        <v>3</v>
      </c>
      <c r="P5" s="6" t="str">
        <f>IFERROR(__xludf.DUMMYFUNCTION("""COMPUTED_VALUE"""),"CS")</f>
        <v>CS</v>
      </c>
      <c r="Q5" s="6" t="str">
        <f>IFERROR(__xludf.DUMMYFUNCTION("""COMPUTED_VALUE"""),"MERCEDES BENZ")</f>
        <v>MERCEDES BENZ</v>
      </c>
      <c r="R5" s="6" t="str">
        <f>IFERROR(__xludf.DUMMYFUNCTION("""COMPUTED_VALUE"""),"400952D0139088")</f>
        <v>400952D0139088</v>
      </c>
      <c r="S5" s="6" t="str">
        <f>IFERROR(__xludf.DUMMYFUNCTION("""COMPUTED_VALUE"""),"MEC2126BAPP133268")</f>
        <v>MEC2126BAPP133268</v>
      </c>
      <c r="T5" s="31">
        <f>IFERROR(__xludf.DUMMYFUNCTION("""COMPUTED_VALUE"""),47025.0)</f>
        <v>47025</v>
      </c>
      <c r="U5" s="6" t="str">
        <f>IFERROR(__xludf.DUMMYFUNCTION("""COMPUTED_VALUE"""),"Berlaku")</f>
        <v>Berlaku</v>
      </c>
      <c r="V5" s="31">
        <f>IFERROR(__xludf.DUMMYFUNCTION("""COMPUTED_VALUE"""),46659.0)</f>
        <v>46659</v>
      </c>
      <c r="W5" s="6" t="str">
        <f>IFERROR(__xludf.DUMMYFUNCTION("""COMPUTED_VALUE"""),"Berlaku")</f>
        <v>Berlaku</v>
      </c>
      <c r="X5" s="31"/>
      <c r="Y5" s="6" t="str">
        <f>IFERROR(__xludf.DUMMYFUNCTION("""COMPUTED_VALUE"""),"Habis")</f>
        <v>Habis</v>
      </c>
      <c r="Z5" s="31">
        <f>IFERROR(__xludf.DUMMYFUNCTION("""COMPUTED_VALUE"""),46447.0)</f>
        <v>46447</v>
      </c>
      <c r="AA5" s="6" t="str">
        <f>IFERROR(__xludf.DUMMYFUNCTION("""COMPUTED_VALUE"""),"Berlaku")</f>
        <v>Berlaku</v>
      </c>
      <c r="AB5" s="31">
        <f>IFERROR(__xludf.DUMMYFUNCTION("""COMPUTED_VALUE"""),46684.0)</f>
        <v>46684</v>
      </c>
      <c r="AC5" s="6" t="str">
        <f>IFERROR(__xludf.DUMMYFUNCTION("""COMPUTED_VALUE"""),"Berlaku")</f>
        <v>Berlaku</v>
      </c>
      <c r="AD5" s="33">
        <f>IFERROR(__xludf.DUMMYFUNCTION("""COMPUTED_VALUE"""),46459.0)</f>
        <v>46459</v>
      </c>
      <c r="AE5" s="6" t="str">
        <f>IFERROR(__xludf.DUMMYFUNCTION("""COMPUTED_VALUE"""),"Berlaku")</f>
        <v>Berlaku</v>
      </c>
      <c r="AF5" s="6" t="str">
        <f>IFERROR(__xludf.DUMMYFUNCTION("""COMPUTED_VALUE"""),"TUGU")</f>
        <v>TUGU</v>
      </c>
      <c r="AG5" s="6" t="str">
        <f>IFERROR(__xludf.DUMMYFUNCTION("""COMPUTED_VALUE"""),"AKTIF ")</f>
        <v>AKTIF </v>
      </c>
      <c r="AH5" s="6"/>
      <c r="AI5" s="6" t="str">
        <f>IFERROR(__xludf.DUMMYFUNCTION("""COMPUTED_VALUE"""),"Menggantikan MT AA1894FP PT. TANAH PUTIH")</f>
        <v>Menggantikan MT AA1894FP PT. TANAH PUTIH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hidden="1">
      <c r="A6" s="6">
        <f>IFERROR(__xludf.DUMMYFUNCTION("""COMPUTED_VALUE"""),10.0)</f>
        <v>10</v>
      </c>
      <c r="B6" s="6" t="str">
        <f>IFERROR(__xludf.DUMMYFUNCTION("""COMPUTED_VALUE"""),"B9290TFV")</f>
        <v>B9290TFV</v>
      </c>
      <c r="C6" s="6" t="str">
        <f>IFERROR(__xludf.DUMMYFUNCTION("""COMPUTED_VALUE"""),"8+8+8")</f>
        <v>8+8+8</v>
      </c>
      <c r="D6" s="6">
        <f>IFERROR(__xludf.DUMMYFUNCTION("""COMPUTED_VALUE"""),24.0)</f>
        <v>24</v>
      </c>
      <c r="E6" s="6" t="str">
        <f>IFERROR(__xludf.DUMMYFUNCTION("""COMPUTED_VALUE"""),"PT. ADAM TRANS")</f>
        <v>PT. ADAM TRANS</v>
      </c>
      <c r="F6" s="6">
        <f>IFERROR(__xludf.DUMMYFUNCTION("""COMPUTED_VALUE"""),2022.0)</f>
        <v>2022</v>
      </c>
      <c r="G6" s="6">
        <f>IFERROR(__xludf.DUMMYFUNCTION("""COMPUTED_VALUE"""),2022.0)</f>
        <v>2022</v>
      </c>
      <c r="H6" s="6">
        <f>IFERROR(__xludf.DUMMYFUNCTION("""COMPUTED_VALUE"""),4.0)</f>
        <v>4</v>
      </c>
      <c r="I6" s="6" t="str">
        <f>IFERROR(__xludf.DUMMYFUNCTION("""COMPUTED_VALUE"""),"SG8JF2B-XGJ")</f>
        <v>SG8JF2B-XGJ</v>
      </c>
      <c r="J6" s="6">
        <f>IFERROR(__xludf.DUMMYFUNCTION("""COMPUTED_VALUE"""),7684.0)</f>
        <v>7684</v>
      </c>
      <c r="K6" s="6" t="str">
        <f>IFERROR(__xludf.DUMMYFUNCTION("""COMPUTED_VALUE"""),"EURO 4")</f>
        <v>EURO 4</v>
      </c>
      <c r="L6" s="6" t="str">
        <f>IFERROR(__xludf.DUMMYFUNCTION("""COMPUTED_VALUE"""),"Standart")</f>
        <v>Standart</v>
      </c>
      <c r="M6" s="6" t="str">
        <f>IFERROR(__xludf.DUMMYFUNCTION("""COMPUTED_VALUE"""),"Meco")</f>
        <v>Meco</v>
      </c>
      <c r="N6" s="6">
        <f>IFERROR(__xludf.DUMMYFUNCTION("""COMPUTED_VALUE"""),2022.0)</f>
        <v>2022</v>
      </c>
      <c r="O6" s="6">
        <f>IFERROR(__xludf.DUMMYFUNCTION("""COMPUTED_VALUE"""),4.0)</f>
        <v>4</v>
      </c>
      <c r="P6" s="6" t="str">
        <f>IFERROR(__xludf.DUMMYFUNCTION("""COMPUTED_VALUE"""),"AA")</f>
        <v>AA</v>
      </c>
      <c r="Q6" s="6" t="str">
        <f>IFERROR(__xludf.DUMMYFUNCTION("""COMPUTED_VALUE"""),"HINO")</f>
        <v>HINO</v>
      </c>
      <c r="R6" s="6" t="str">
        <f>IFERROR(__xludf.DUMMYFUNCTION("""COMPUTED_VALUE"""),"J08EWDJ13408")</f>
        <v>J08EWDJ13408</v>
      </c>
      <c r="S6" s="6" t="str">
        <f>IFERROR(__xludf.DUMMYFUNCTION("""COMPUTED_VALUE"""),"MJESG8JF2NJX102576")</f>
        <v>MJESG8JF2NJX102576</v>
      </c>
      <c r="T6" s="31">
        <f>IFERROR(__xludf.DUMMYFUNCTION("""COMPUTED_VALUE"""),46713.0)</f>
        <v>46713</v>
      </c>
      <c r="U6" s="6" t="str">
        <f>IFERROR(__xludf.DUMMYFUNCTION("""COMPUTED_VALUE"""),"Berlaku")</f>
        <v>Berlaku</v>
      </c>
      <c r="V6" s="31">
        <f>IFERROR(__xludf.DUMMYFUNCTION("""COMPUTED_VALUE"""),46348.0)</f>
        <v>46348</v>
      </c>
      <c r="W6" s="6" t="str">
        <f>IFERROR(__xludf.DUMMYFUNCTION("""COMPUTED_VALUE"""),"Berlaku")</f>
        <v>Berlaku</v>
      </c>
      <c r="X6" s="31">
        <f>IFERROR(__xludf.DUMMYFUNCTION("""COMPUTED_VALUE"""),46303.0)</f>
        <v>46303</v>
      </c>
      <c r="Y6" s="6" t="str">
        <f>IFERROR(__xludf.DUMMYFUNCTION("""COMPUTED_VALUE"""),"Akan Habis")</f>
        <v>Akan Habis</v>
      </c>
      <c r="Z6" s="31">
        <f>IFERROR(__xludf.DUMMYFUNCTION("""COMPUTED_VALUE"""),46303.0)</f>
        <v>46303</v>
      </c>
      <c r="AA6" s="6" t="str">
        <f>IFERROR(__xludf.DUMMYFUNCTION("""COMPUTED_VALUE"""),"Akan Habis")</f>
        <v>Akan Habis</v>
      </c>
      <c r="AB6" s="31">
        <f>IFERROR(__xludf.DUMMYFUNCTION("""COMPUTED_VALUE"""),46548.0)</f>
        <v>46548</v>
      </c>
      <c r="AC6" s="6" t="str">
        <f>IFERROR(__xludf.DUMMYFUNCTION("""COMPUTED_VALUE"""),"Berlaku")</f>
        <v>Berlaku</v>
      </c>
      <c r="AD6" s="33">
        <f>IFERROR(__xludf.DUMMYFUNCTION("""COMPUTED_VALUE"""),46311.0)</f>
        <v>46311</v>
      </c>
      <c r="AE6" s="6" t="str">
        <f>IFERROR(__xludf.DUMMYFUNCTION("""COMPUTED_VALUE"""),"Akan Habis")</f>
        <v>Akan Habis</v>
      </c>
      <c r="AF6" s="6" t="str">
        <f>IFERROR(__xludf.DUMMYFUNCTION("""COMPUTED_VALUE"""),"TUGU")</f>
        <v>TUGU</v>
      </c>
      <c r="AG6" s="6" t="str">
        <f>IFERROR(__xludf.DUMMYFUNCTION("""COMPUTED_VALUE"""),"AKTIF ")</f>
        <v>AKTIF </v>
      </c>
      <c r="AH6" s="6"/>
      <c r="AI6" s="6" t="str">
        <f>IFERROR(__xludf.DUMMYFUNCTION("""COMPUTED_VALUE"""),"Menggantikan MT R 1892 DK PT Gelora yang afkir dan tidak diremajakan")</f>
        <v>Menggantikan MT R 1892 DK PT Gelora yang afkir dan tidak diremajakan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hidden="1">
      <c r="A7" s="6">
        <f>IFERROR(__xludf.DUMMYFUNCTION("""COMPUTED_VALUE"""),11.0)</f>
        <v>11</v>
      </c>
      <c r="B7" s="6" t="str">
        <f>IFERROR(__xludf.DUMMYFUNCTION("""COMPUTED_VALUE"""),"B9355TFV")</f>
        <v>B9355TFV</v>
      </c>
      <c r="C7" s="6" t="str">
        <f>IFERROR(__xludf.DUMMYFUNCTION("""COMPUTED_VALUE"""),"8+8+8")</f>
        <v>8+8+8</v>
      </c>
      <c r="D7" s="6">
        <f>IFERROR(__xludf.DUMMYFUNCTION("""COMPUTED_VALUE"""),24.0)</f>
        <v>24</v>
      </c>
      <c r="E7" s="6" t="str">
        <f>IFERROR(__xludf.DUMMYFUNCTION("""COMPUTED_VALUE"""),"PT. ADAM TRANS")</f>
        <v>PT. ADAM TRANS</v>
      </c>
      <c r="F7" s="6">
        <f>IFERROR(__xludf.DUMMYFUNCTION("""COMPUTED_VALUE"""),2022.0)</f>
        <v>2022</v>
      </c>
      <c r="G7" s="6">
        <f>IFERROR(__xludf.DUMMYFUNCTION("""COMPUTED_VALUE"""),2022.0)</f>
        <v>2022</v>
      </c>
      <c r="H7" s="6">
        <f>IFERROR(__xludf.DUMMYFUNCTION("""COMPUTED_VALUE"""),4.0)</f>
        <v>4</v>
      </c>
      <c r="I7" s="6" t="str">
        <f>IFERROR(__xludf.DUMMYFUNCTION("""COMPUTED_VALUE"""),"SG8JF2B-XGJ")</f>
        <v>SG8JF2B-XGJ</v>
      </c>
      <c r="J7" s="6">
        <f>IFERROR(__xludf.DUMMYFUNCTION("""COMPUTED_VALUE"""),7684.0)</f>
        <v>7684</v>
      </c>
      <c r="K7" s="6" t="str">
        <f>IFERROR(__xludf.DUMMYFUNCTION("""COMPUTED_VALUE"""),"EURO 4")</f>
        <v>EURO 4</v>
      </c>
      <c r="L7" s="6" t="str">
        <f>IFERROR(__xludf.DUMMYFUNCTION("""COMPUTED_VALUE"""),"Standart")</f>
        <v>Standart</v>
      </c>
      <c r="M7" s="6" t="str">
        <f>IFERROR(__xludf.DUMMYFUNCTION("""COMPUTED_VALUE"""),"Meco")</f>
        <v>Meco</v>
      </c>
      <c r="N7" s="6">
        <f>IFERROR(__xludf.DUMMYFUNCTION("""COMPUTED_VALUE"""),2022.0)</f>
        <v>2022</v>
      </c>
      <c r="O7" s="6">
        <f>IFERROR(__xludf.DUMMYFUNCTION("""COMPUTED_VALUE"""),4.0)</f>
        <v>4</v>
      </c>
      <c r="P7" s="6" t="str">
        <f>IFERROR(__xludf.DUMMYFUNCTION("""COMPUTED_VALUE"""),"AA")</f>
        <v>AA</v>
      </c>
      <c r="Q7" s="6" t="str">
        <f>IFERROR(__xludf.DUMMYFUNCTION("""COMPUTED_VALUE"""),"HINO")</f>
        <v>HINO</v>
      </c>
      <c r="R7" s="6" t="str">
        <f>IFERROR(__xludf.DUMMYFUNCTION("""COMPUTED_VALUE"""),"J08EWOJ13150")</f>
        <v>J08EWOJ13150</v>
      </c>
      <c r="S7" s="6" t="str">
        <f>IFERROR(__xludf.DUMMYFUNCTION("""COMPUTED_VALUE"""),"MJESG8JF2NJX10254")</f>
        <v>MJESG8JF2NJX10254</v>
      </c>
      <c r="T7" s="31">
        <f>IFERROR(__xludf.DUMMYFUNCTION("""COMPUTED_VALUE"""),46680.0)</f>
        <v>46680</v>
      </c>
      <c r="U7" s="6" t="str">
        <f>IFERROR(__xludf.DUMMYFUNCTION("""COMPUTED_VALUE"""),"Berlaku")</f>
        <v>Berlaku</v>
      </c>
      <c r="V7" s="31">
        <f>IFERROR(__xludf.DUMMYFUNCTION("""COMPUTED_VALUE"""),46315.0)</f>
        <v>46315</v>
      </c>
      <c r="W7" s="6" t="str">
        <f>IFERROR(__xludf.DUMMYFUNCTION("""COMPUTED_VALUE"""),"Akan Habis")</f>
        <v>Akan Habis</v>
      </c>
      <c r="X7" s="31">
        <f>IFERROR(__xludf.DUMMYFUNCTION("""COMPUTED_VALUE"""),46303.0)</f>
        <v>46303</v>
      </c>
      <c r="Y7" s="6" t="str">
        <f>IFERROR(__xludf.DUMMYFUNCTION("""COMPUTED_VALUE"""),"Akan Habis")</f>
        <v>Akan Habis</v>
      </c>
      <c r="Z7" s="31">
        <f>IFERROR(__xludf.DUMMYFUNCTION("""COMPUTED_VALUE"""),46303.0)</f>
        <v>46303</v>
      </c>
      <c r="AA7" s="6" t="str">
        <f>IFERROR(__xludf.DUMMYFUNCTION("""COMPUTED_VALUE"""),"Akan Habis")</f>
        <v>Akan Habis</v>
      </c>
      <c r="AB7" s="31">
        <f>IFERROR(__xludf.DUMMYFUNCTION("""COMPUTED_VALUE"""),46402.0)</f>
        <v>46402</v>
      </c>
      <c r="AC7" s="6" t="str">
        <f>IFERROR(__xludf.DUMMYFUNCTION("""COMPUTED_VALUE"""),"Berlaku")</f>
        <v>Berlaku</v>
      </c>
      <c r="AD7" s="33">
        <f>IFERROR(__xludf.DUMMYFUNCTION("""COMPUTED_VALUE"""),46311.0)</f>
        <v>46311</v>
      </c>
      <c r="AE7" s="6" t="str">
        <f>IFERROR(__xludf.DUMMYFUNCTION("""COMPUTED_VALUE"""),"Akan Habis")</f>
        <v>Akan Habis</v>
      </c>
      <c r="AF7" s="6" t="str">
        <f>IFERROR(__xludf.DUMMYFUNCTION("""COMPUTED_VALUE"""),"TUGU")</f>
        <v>TUGU</v>
      </c>
      <c r="AG7" s="6" t="str">
        <f>IFERROR(__xludf.DUMMYFUNCTION("""COMPUTED_VALUE"""),"AKTIF ")</f>
        <v>AKTIF </v>
      </c>
      <c r="AH7" s="6"/>
      <c r="AI7" s="6" t="str">
        <f>IFERROR(__xludf.DUMMYFUNCTION("""COMPUTED_VALUE"""),"Menggantikan MT R 1893 DK PT Gelora yang afkir dan tidak diremajakan")</f>
        <v>Menggantikan MT R 1893 DK PT Gelora yang afkir dan tidak diremajakan</v>
      </c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>
      <c r="A8" s="6">
        <f>IFERROR(__xludf.DUMMYFUNCTION("""COMPUTED_VALUE"""),12.0)</f>
        <v>12</v>
      </c>
      <c r="B8" s="6" t="str">
        <f>IFERROR(__xludf.DUMMYFUNCTION("""COMPUTED_VALUE"""),"R8435CM")</f>
        <v>R8435CM</v>
      </c>
      <c r="C8" s="6" t="str">
        <f>IFERROR(__xludf.DUMMYFUNCTION("""COMPUTED_VALUE"""),"8+8+8")</f>
        <v>8+8+8</v>
      </c>
      <c r="D8" s="6">
        <f>IFERROR(__xludf.DUMMYFUNCTION("""COMPUTED_VALUE"""),24.0)</f>
        <v>24</v>
      </c>
      <c r="E8" s="6" t="str">
        <f>IFERROR(__xludf.DUMMYFUNCTION("""COMPUTED_VALUE"""),"PT. KATRACO PUTRA SELARAS")</f>
        <v>PT. KATRACO PUTRA SELARAS</v>
      </c>
      <c r="F8" s="6">
        <f>IFERROR(__xludf.DUMMYFUNCTION("""COMPUTED_VALUE"""),2022.0)</f>
        <v>2022</v>
      </c>
      <c r="G8" s="6">
        <f>IFERROR(__xludf.DUMMYFUNCTION("""COMPUTED_VALUE"""),2022.0)</f>
        <v>2022</v>
      </c>
      <c r="H8" s="6">
        <f>IFERROR(__xludf.DUMMYFUNCTION("""COMPUTED_VALUE"""),4.0)</f>
        <v>4</v>
      </c>
      <c r="I8" s="6" t="str">
        <f>IFERROR(__xludf.DUMMYFUNCTION("""COMPUTED_VALUE"""),"SG8JF2B-XGJ (4X2)")</f>
        <v>SG8JF2B-XGJ (4X2)</v>
      </c>
      <c r="J8" s="6">
        <f>IFERROR(__xludf.DUMMYFUNCTION("""COMPUTED_VALUE"""),7960.0)</f>
        <v>7960</v>
      </c>
      <c r="K8" s="6" t="str">
        <f>IFERROR(__xludf.DUMMYFUNCTION("""COMPUTED_VALUE"""),"EURO 4")</f>
        <v>EURO 4</v>
      </c>
      <c r="L8" s="6" t="str">
        <f>IFERROR(__xludf.DUMMYFUNCTION("""COMPUTED_VALUE"""),"Standart")</f>
        <v>Standart</v>
      </c>
      <c r="M8" s="6" t="str">
        <f>IFERROR(__xludf.DUMMYFUNCTION("""COMPUTED_VALUE"""),"Meco")</f>
        <v>Meco</v>
      </c>
      <c r="N8" s="6">
        <f>IFERROR(__xludf.DUMMYFUNCTION("""COMPUTED_VALUE"""),2012.0)</f>
        <v>2012</v>
      </c>
      <c r="O8" s="6">
        <f>IFERROR(__xludf.DUMMYFUNCTION("""COMPUTED_VALUE"""),14.0)</f>
        <v>14</v>
      </c>
      <c r="P8" s="6" t="str">
        <f>IFERROR(__xludf.DUMMYFUNCTION("""COMPUTED_VALUE"""),"AA")</f>
        <v>AA</v>
      </c>
      <c r="Q8" s="6" t="str">
        <f>IFERROR(__xludf.DUMMYFUNCTION("""COMPUTED_VALUE"""),"HINO")</f>
        <v>HINO</v>
      </c>
      <c r="R8" s="6" t="str">
        <f>IFERROR(__xludf.DUMMYFUNCTION("""COMPUTED_VALUE"""),"J08EWDJ15223")</f>
        <v>J08EWDJ15223</v>
      </c>
      <c r="S8" s="6" t="str">
        <f>IFERROR(__xludf.DUMMYFUNCTION("""COMPUTED_VALUE"""),"MJESG8JF2NJX10417")</f>
        <v>MJESG8JF2NJX10417</v>
      </c>
      <c r="T8" s="31">
        <f>IFERROR(__xludf.DUMMYFUNCTION("""COMPUTED_VALUE"""),46708.0)</f>
        <v>46708</v>
      </c>
      <c r="U8" s="6" t="str">
        <f>IFERROR(__xludf.DUMMYFUNCTION("""COMPUTED_VALUE"""),"Berlaku")</f>
        <v>Berlaku</v>
      </c>
      <c r="V8" s="31">
        <f>IFERROR(__xludf.DUMMYFUNCTION("""COMPUTED_VALUE"""),46343.0)</f>
        <v>46343</v>
      </c>
      <c r="W8" s="6" t="str">
        <f>IFERROR(__xludf.DUMMYFUNCTION("""COMPUTED_VALUE"""),"Akan Habis")</f>
        <v>Akan Habis</v>
      </c>
      <c r="X8" s="31">
        <f>IFERROR(__xludf.DUMMYFUNCTION("""COMPUTED_VALUE"""),46352.0)</f>
        <v>46352</v>
      </c>
      <c r="Y8" s="6" t="str">
        <f>IFERROR(__xludf.DUMMYFUNCTION("""COMPUTED_VALUE"""),"Berlaku")</f>
        <v>Berlaku</v>
      </c>
      <c r="Z8" s="31">
        <f>IFERROR(__xludf.DUMMYFUNCTION("""COMPUTED_VALUE"""),46352.0)</f>
        <v>46352</v>
      </c>
      <c r="AA8" s="6" t="str">
        <f>IFERROR(__xludf.DUMMYFUNCTION("""COMPUTED_VALUE"""),"Berlaku")</f>
        <v>Berlaku</v>
      </c>
      <c r="AB8" s="31">
        <f>IFERROR(__xludf.DUMMYFUNCTION("""COMPUTED_VALUE"""),46339.0)</f>
        <v>46339</v>
      </c>
      <c r="AC8" s="6" t="str">
        <f>IFERROR(__xludf.DUMMYFUNCTION("""COMPUTED_VALUE"""),"Akan Habis")</f>
        <v>Akan Habis</v>
      </c>
      <c r="AD8" s="33">
        <f>IFERROR(__xludf.DUMMYFUNCTION("""COMPUTED_VALUE"""),46340.0)</f>
        <v>46340</v>
      </c>
      <c r="AE8" s="6" t="str">
        <f>IFERROR(__xludf.DUMMYFUNCTION("""COMPUTED_VALUE"""),"Berlaku")</f>
        <v>Berlaku</v>
      </c>
      <c r="AF8" s="6" t="str">
        <f>IFERROR(__xludf.DUMMYFUNCTION("""COMPUTED_VALUE"""),"TUGU")</f>
        <v>TUGU</v>
      </c>
      <c r="AG8" s="6" t="str">
        <f>IFERROR(__xludf.DUMMYFUNCTION("""COMPUTED_VALUE"""),"AKTIF ")</f>
        <v>AKTIF 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>
      <c r="A9" s="6">
        <f>IFERROR(__xludf.DUMMYFUNCTION("""COMPUTED_VALUE"""),14.0)</f>
        <v>14</v>
      </c>
      <c r="B9" s="6" t="str">
        <f>IFERROR(__xludf.DUMMYFUNCTION("""COMPUTED_VALUE"""),"B9697SFV")</f>
        <v>B9697SFV</v>
      </c>
      <c r="C9" s="6" t="str">
        <f>IFERROR(__xludf.DUMMYFUNCTION("""COMPUTED_VALUE"""),"4+4")</f>
        <v>4+4</v>
      </c>
      <c r="D9" s="6">
        <f>IFERROR(__xludf.DUMMYFUNCTION("""COMPUTED_VALUE"""),8.0)</f>
        <v>8</v>
      </c>
      <c r="E9" s="6" t="str">
        <f>IFERROR(__xludf.DUMMYFUNCTION("""COMPUTED_VALUE"""),"PT. ELNUSA PETROFIN")</f>
        <v>PT. ELNUSA PETROFIN</v>
      </c>
      <c r="F9" s="6">
        <f>IFERROR(__xludf.DUMMYFUNCTION("""COMPUTED_VALUE"""),2022.0)</f>
        <v>2022</v>
      </c>
      <c r="G9" s="6">
        <f>IFERROR(__xludf.DUMMYFUNCTION("""COMPUTED_VALUE"""),2023.0)</f>
        <v>2023</v>
      </c>
      <c r="H9" s="6">
        <f>IFERROR(__xludf.DUMMYFUNCTION("""COMPUTED_VALUE"""),4.0)</f>
        <v>4</v>
      </c>
      <c r="I9" s="6" t="str">
        <f>IFERROR(__xludf.DUMMYFUNCTION("""COMPUTED_VALUE"""),"FG8JK2A-PGJ")</f>
        <v>FG8JK2A-PGJ</v>
      </c>
      <c r="J9" s="6">
        <f>IFERROR(__xludf.DUMMYFUNCTION("""COMPUTED_VALUE"""),7684.0)</f>
        <v>7684</v>
      </c>
      <c r="K9" s="6" t="str">
        <f>IFERROR(__xludf.DUMMYFUNCTION("""COMPUTED_VALUE"""),"EURO 4")</f>
        <v>EURO 4</v>
      </c>
      <c r="L9" s="6" t="str">
        <f>IFERROR(__xludf.DUMMYFUNCTION("""COMPUTED_VALUE"""),"Standart")</f>
        <v>Standart</v>
      </c>
      <c r="M9" s="6" t="str">
        <f>IFERROR(__xludf.DUMMYFUNCTION("""COMPUTED_VALUE"""),"Geluran Adikarya")</f>
        <v>Geluran Adikarya</v>
      </c>
      <c r="N9" s="6">
        <f>IFERROR(__xludf.DUMMYFUNCTION("""COMPUTED_VALUE"""),2023.0)</f>
        <v>2023</v>
      </c>
      <c r="O9" s="6">
        <f>IFERROR(__xludf.DUMMYFUNCTION("""COMPUTED_VALUE"""),3.0)</f>
        <v>3</v>
      </c>
      <c r="P9" s="6" t="str">
        <f>IFERROR(__xludf.DUMMYFUNCTION("""COMPUTED_VALUE"""),"CS")</f>
        <v>CS</v>
      </c>
      <c r="Q9" s="6" t="str">
        <f>IFERROR(__xludf.DUMMYFUNCTION("""COMPUTED_VALUE"""),"HINO")</f>
        <v>HINO</v>
      </c>
      <c r="R9" s="6" t="str">
        <f>IFERROR(__xludf.DUMMYFUNCTION("""COMPUTED_VALUE"""),"JO8EWEJ15259")</f>
        <v>JO8EWEJ15259</v>
      </c>
      <c r="S9" s="6" t="str">
        <f>IFERROR(__xludf.DUMMYFUNCTION("""COMPUTED_VALUE"""),"MJEFG8JK2NJP1018")</f>
        <v>MJEFG8JK2NJP1018</v>
      </c>
      <c r="T9" s="31">
        <f>IFERROR(__xludf.DUMMYFUNCTION("""COMPUTED_VALUE"""),46981.0)</f>
        <v>46981</v>
      </c>
      <c r="U9" s="6" t="str">
        <f>IFERROR(__xludf.DUMMYFUNCTION("""COMPUTED_VALUE"""),"Berlaku")</f>
        <v>Berlaku</v>
      </c>
      <c r="V9" s="31">
        <f>IFERROR(__xludf.DUMMYFUNCTION("""COMPUTED_VALUE"""),46615.0)</f>
        <v>46615</v>
      </c>
      <c r="W9" s="6" t="str">
        <f>IFERROR(__xludf.DUMMYFUNCTION("""COMPUTED_VALUE"""),"Berlaku")</f>
        <v>Berlaku</v>
      </c>
      <c r="X9" s="31"/>
      <c r="Y9" s="6" t="str">
        <f>IFERROR(__xludf.DUMMYFUNCTION("""COMPUTED_VALUE"""),"Habis")</f>
        <v>Habis</v>
      </c>
      <c r="Z9" s="31">
        <f>IFERROR(__xludf.DUMMYFUNCTION("""COMPUTED_VALUE"""),46424.0)</f>
        <v>46424</v>
      </c>
      <c r="AA9" s="6" t="str">
        <f>IFERROR(__xludf.DUMMYFUNCTION("""COMPUTED_VALUE"""),"Berlaku")</f>
        <v>Berlaku</v>
      </c>
      <c r="AB9" s="31">
        <f>IFERROR(__xludf.DUMMYFUNCTION("""COMPUTED_VALUE"""),46684.0)</f>
        <v>46684</v>
      </c>
      <c r="AC9" s="6" t="str">
        <f>IFERROR(__xludf.DUMMYFUNCTION("""COMPUTED_VALUE"""),"Berlaku")</f>
        <v>Berlaku</v>
      </c>
      <c r="AD9" s="33">
        <f>IFERROR(__xludf.DUMMYFUNCTION("""COMPUTED_VALUE"""),46340.0)</f>
        <v>46340</v>
      </c>
      <c r="AE9" s="6" t="str">
        <f>IFERROR(__xludf.DUMMYFUNCTION("""COMPUTED_VALUE"""),"Berlaku")</f>
        <v>Berlaku</v>
      </c>
      <c r="AF9" s="6" t="str">
        <f>IFERROR(__xludf.DUMMYFUNCTION("""COMPUTED_VALUE"""),"MANDIRI")</f>
        <v>MANDIRI</v>
      </c>
      <c r="AG9" s="6" t="str">
        <f>IFERROR(__xludf.DUMMYFUNCTION("""COMPUTED_VALUE"""),"AKTIF ")</f>
        <v>AKTIF </v>
      </c>
      <c r="AH9" s="6"/>
      <c r="AI9" s="6" t="str">
        <f>IFERROR(__xludf.DUMMYFUNCTION("""COMPUTED_VALUE"""),"Menggantikan MT AA1959EF PT. TANAH PUTIH")</f>
        <v>Menggantikan MT AA1959EF PT. TANAH PUTIH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>
      <c r="A10" s="6">
        <f>IFERROR(__xludf.DUMMYFUNCTION("""COMPUTED_VALUE"""),15.0)</f>
        <v>15</v>
      </c>
      <c r="B10" s="6" t="str">
        <f>IFERROR(__xludf.DUMMYFUNCTION("""COMPUTED_VALUE"""),"B9061SFV")</f>
        <v>B9061SFV</v>
      </c>
      <c r="C10" s="6" t="str">
        <f>IFERROR(__xludf.DUMMYFUNCTION("""COMPUTED_VALUE"""),"8+8")</f>
        <v>8+8</v>
      </c>
      <c r="D10" s="6">
        <f>IFERROR(__xludf.DUMMYFUNCTION("""COMPUTED_VALUE"""),16.0)</f>
        <v>16</v>
      </c>
      <c r="E10" s="6" t="str">
        <f>IFERROR(__xludf.DUMMYFUNCTION("""COMPUTED_VALUE"""),"PT. ELNUSA PETROFIN")</f>
        <v>PT. ELNUSA PETROFIN</v>
      </c>
      <c r="F10" s="6">
        <f>IFERROR(__xludf.DUMMYFUNCTION("""COMPUTED_VALUE"""),2018.0)</f>
        <v>2018</v>
      </c>
      <c r="G10" s="6">
        <f>IFERROR(__xludf.DUMMYFUNCTION("""COMPUTED_VALUE"""),2018.0)</f>
        <v>2018</v>
      </c>
      <c r="H10" s="6">
        <f>IFERROR(__xludf.DUMMYFUNCTION("""COMPUTED_VALUE"""),8.0)</f>
        <v>8</v>
      </c>
      <c r="I10" s="6" t="str">
        <f>IFERROR(__xludf.DUMMYFUNCTION("""COMPUTED_VALUE"""),"CDE250 6X2R WB5100MM")</f>
        <v>CDE250 6X2R WB5100MM</v>
      </c>
      <c r="J10" s="6">
        <f>IFERROR(__xludf.DUMMYFUNCTION("""COMPUTED_VALUE"""),7698.0)</f>
        <v>7698</v>
      </c>
      <c r="K10" s="6" t="str">
        <f>IFERROR(__xludf.DUMMYFUNCTION("""COMPUTED_VALUE"""),"EURO 2")</f>
        <v>EURO 2</v>
      </c>
      <c r="L10" s="6" t="str">
        <f>IFERROR(__xludf.DUMMYFUNCTION("""COMPUTED_VALUE"""),"PTO")</f>
        <v>PTO</v>
      </c>
      <c r="M10" s="6" t="str">
        <f>IFERROR(__xludf.DUMMYFUNCTION("""COMPUTED_VALUE"""),"Geluran Adikarya")</f>
        <v>Geluran Adikarya</v>
      </c>
      <c r="N10" s="6">
        <f>IFERROR(__xludf.DUMMYFUNCTION("""COMPUTED_VALUE"""),2018.0)</f>
        <v>2018</v>
      </c>
      <c r="O10" s="6">
        <f>IFERROR(__xludf.DUMMYFUNCTION("""COMPUTED_VALUE"""),8.0)</f>
        <v>8</v>
      </c>
      <c r="P10" s="6" t="str">
        <f>IFERROR(__xludf.DUMMYFUNCTION("""COMPUTED_VALUE"""),"CS")</f>
        <v>CS</v>
      </c>
      <c r="Q10" s="6" t="str">
        <f>IFERROR(__xludf.DUMMYFUNCTION("""COMPUTED_VALUE"""),"UD TRUCKS")</f>
        <v>UD TRUCKS</v>
      </c>
      <c r="R10" s="6" t="str">
        <f>IFERROR(__xludf.DUMMYFUNCTION("""COMPUTED_VALUE"""),"GH8465224A1P")</f>
        <v>GH8465224A1P</v>
      </c>
      <c r="S10" s="6" t="str">
        <f>IFERROR(__xludf.DUMMYFUNCTION("""COMPUTED_VALUE"""),"JPCZX22C8JT020521")</f>
        <v>JPCZX22C8JT020521</v>
      </c>
      <c r="T10" s="31">
        <f>IFERROR(__xludf.DUMMYFUNCTION("""COMPUTED_VALUE"""),46877.0)</f>
        <v>46877</v>
      </c>
      <c r="U10" s="6" t="str">
        <f>IFERROR(__xludf.DUMMYFUNCTION("""COMPUTED_VALUE"""),"Berlaku")</f>
        <v>Berlaku</v>
      </c>
      <c r="V10" s="31">
        <f>IFERROR(__xludf.DUMMYFUNCTION("""COMPUTED_VALUE"""),46511.0)</f>
        <v>46511</v>
      </c>
      <c r="W10" s="6" t="str">
        <f>IFERROR(__xludf.DUMMYFUNCTION("""COMPUTED_VALUE"""),"Berlaku")</f>
        <v>Berlaku</v>
      </c>
      <c r="X10" s="31"/>
      <c r="Y10" s="6" t="str">
        <f>IFERROR(__xludf.DUMMYFUNCTION("""COMPUTED_VALUE"""),"Habis")</f>
        <v>Habis</v>
      </c>
      <c r="Z10" s="31">
        <f>IFERROR(__xludf.DUMMYFUNCTION("""COMPUTED_VALUE"""),46424.0)</f>
        <v>46424</v>
      </c>
      <c r="AA10" s="6" t="str">
        <f>IFERROR(__xludf.DUMMYFUNCTION("""COMPUTED_VALUE"""),"Berlaku")</f>
        <v>Berlaku</v>
      </c>
      <c r="AB10" s="31">
        <f>IFERROR(__xludf.DUMMYFUNCTION("""COMPUTED_VALUE"""),46505.0)</f>
        <v>46505</v>
      </c>
      <c r="AC10" s="6" t="str">
        <f>IFERROR(__xludf.DUMMYFUNCTION("""COMPUTED_VALUE"""),"Berlaku")</f>
        <v>Berlaku</v>
      </c>
      <c r="AD10" s="33">
        <f>IFERROR(__xludf.DUMMYFUNCTION("""COMPUTED_VALUE"""),46340.0)</f>
        <v>46340</v>
      </c>
      <c r="AE10" s="6" t="str">
        <f>IFERROR(__xludf.DUMMYFUNCTION("""COMPUTED_VALUE"""),"Berlaku")</f>
        <v>Berlaku</v>
      </c>
      <c r="AF10" s="6" t="str">
        <f>IFERROR(__xludf.DUMMYFUNCTION("""COMPUTED_VALUE"""),"MANDIRI")</f>
        <v>MANDIRI</v>
      </c>
      <c r="AG10" s="6" t="str">
        <f>IFERROR(__xludf.DUMMYFUNCTION("""COMPUTED_VALUE"""),"AKTIF ")</f>
        <v>AKTIF 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>
      <c r="A11" s="6">
        <f>IFERROR(__xludf.DUMMYFUNCTION("""COMPUTED_VALUE"""),16.0)</f>
        <v>16</v>
      </c>
      <c r="B11" s="6" t="str">
        <f>IFERROR(__xludf.DUMMYFUNCTION("""COMPUTED_VALUE"""),"E9225YC")</f>
        <v>E9225YC</v>
      </c>
      <c r="C11" s="6" t="str">
        <f>IFERROR(__xludf.DUMMYFUNCTION("""COMPUTED_VALUE"""),"8+8+8")</f>
        <v>8+8+8</v>
      </c>
      <c r="D11" s="6">
        <f>IFERROR(__xludf.DUMMYFUNCTION("""COMPUTED_VALUE"""),24.0)</f>
        <v>24</v>
      </c>
      <c r="E11" s="6" t="str">
        <f>IFERROR(__xludf.DUMMYFUNCTION("""COMPUTED_VALUE"""),"PT. PUSPITA CIPTA")</f>
        <v>PT. PUSPITA CIPTA</v>
      </c>
      <c r="F11" s="6">
        <f>IFERROR(__xludf.DUMMYFUNCTION("""COMPUTED_VALUE"""),2022.0)</f>
        <v>2022</v>
      </c>
      <c r="G11" s="6">
        <f>IFERROR(__xludf.DUMMYFUNCTION("""COMPUTED_VALUE"""),2022.0)</f>
        <v>2022</v>
      </c>
      <c r="H11" s="6">
        <f>IFERROR(__xludf.DUMMYFUNCTION("""COMPUTED_VALUE"""),4.0)</f>
        <v>4</v>
      </c>
      <c r="I11" s="6" t="str">
        <f>IFERROR(__xludf.DUMMYFUNCTION("""COMPUTED_VALUE"""),"SG8JF2B-XGJ")</f>
        <v>SG8JF2B-XGJ</v>
      </c>
      <c r="J11" s="6">
        <f>IFERROR(__xludf.DUMMYFUNCTION("""COMPUTED_VALUE"""),7684.0)</f>
        <v>7684</v>
      </c>
      <c r="K11" s="6" t="str">
        <f>IFERROR(__xludf.DUMMYFUNCTION("""COMPUTED_VALUE"""),"EURO 4")</f>
        <v>EURO 4</v>
      </c>
      <c r="L11" s="6" t="str">
        <f>IFERROR(__xludf.DUMMYFUNCTION("""COMPUTED_VALUE"""),"Standart")</f>
        <v>Standart</v>
      </c>
      <c r="M11" s="6" t="str">
        <f>IFERROR(__xludf.DUMMYFUNCTION("""COMPUTED_VALUE"""),"Aweco")</f>
        <v>Aweco</v>
      </c>
      <c r="N11" s="6">
        <f>IFERROR(__xludf.DUMMYFUNCTION("""COMPUTED_VALUE"""),2012.0)</f>
        <v>2012</v>
      </c>
      <c r="O11" s="6">
        <f>IFERROR(__xludf.DUMMYFUNCTION("""COMPUTED_VALUE"""),14.0)</f>
        <v>14</v>
      </c>
      <c r="P11" s="6" t="str">
        <f>IFERROR(__xludf.DUMMYFUNCTION("""COMPUTED_VALUE"""),"AA")</f>
        <v>AA</v>
      </c>
      <c r="Q11" s="6" t="str">
        <f>IFERROR(__xludf.DUMMYFUNCTION("""COMPUTED_VALUE"""),"HINO")</f>
        <v>HINO</v>
      </c>
      <c r="R11" s="6" t="str">
        <f>IFERROR(__xludf.DUMMYFUNCTION("""COMPUTED_VALUE"""),"J08EWDJ13442")</f>
        <v>J08EWDJ13442</v>
      </c>
      <c r="S11" s="6" t="str">
        <f>IFERROR(__xludf.DUMMYFUNCTION("""COMPUTED_VALUE"""),"MJESG8JF2NJX10278")</f>
        <v>MJESG8JF2NJX10278</v>
      </c>
      <c r="T11" s="31">
        <f>IFERROR(__xludf.DUMMYFUNCTION("""COMPUTED_VALUE"""),46672.0)</f>
        <v>46672</v>
      </c>
      <c r="U11" s="6" t="str">
        <f>IFERROR(__xludf.DUMMYFUNCTION("""COMPUTED_VALUE"""),"Berlaku")</f>
        <v>Berlaku</v>
      </c>
      <c r="V11" s="31">
        <f>IFERROR(__xludf.DUMMYFUNCTION("""COMPUTED_VALUE"""),46307.0)</f>
        <v>46307</v>
      </c>
      <c r="W11" s="6" t="str">
        <f>IFERROR(__xludf.DUMMYFUNCTION("""COMPUTED_VALUE"""),"Akan Habis")</f>
        <v>Akan Habis</v>
      </c>
      <c r="X11" s="31">
        <f>IFERROR(__xludf.DUMMYFUNCTION("""COMPUTED_VALUE"""),46315.0)</f>
        <v>46315</v>
      </c>
      <c r="Y11" s="6" t="str">
        <f>IFERROR(__xludf.DUMMYFUNCTION("""COMPUTED_VALUE"""),"Akan Habis")</f>
        <v>Akan Habis</v>
      </c>
      <c r="Z11" s="31">
        <f>IFERROR(__xludf.DUMMYFUNCTION("""COMPUTED_VALUE"""),46315.0)</f>
        <v>46315</v>
      </c>
      <c r="AA11" s="6" t="str">
        <f>IFERROR(__xludf.DUMMYFUNCTION("""COMPUTED_VALUE"""),"Akan Habis")</f>
        <v>Akan Habis</v>
      </c>
      <c r="AB11" s="31">
        <f>IFERROR(__xludf.DUMMYFUNCTION("""COMPUTED_VALUE"""),46437.0)</f>
        <v>46437</v>
      </c>
      <c r="AC11" s="6" t="str">
        <f>IFERROR(__xludf.DUMMYFUNCTION("""COMPUTED_VALUE"""),"Berlaku")</f>
        <v>Berlaku</v>
      </c>
      <c r="AD11" s="33">
        <f>IFERROR(__xludf.DUMMYFUNCTION("""COMPUTED_VALUE"""),46340.0)</f>
        <v>46340</v>
      </c>
      <c r="AE11" s="6" t="str">
        <f>IFERROR(__xludf.DUMMYFUNCTION("""COMPUTED_VALUE"""),"Berlaku")</f>
        <v>Berlaku</v>
      </c>
      <c r="AF11" s="6" t="str">
        <f>IFERROR(__xludf.DUMMYFUNCTION("""COMPUTED_VALUE"""),"TUGU")</f>
        <v>TUGU</v>
      </c>
      <c r="AG11" s="6" t="str">
        <f>IFERROR(__xludf.DUMMYFUNCTION("""COMPUTED_VALUE"""),"AKTIF ")</f>
        <v>AKTIF </v>
      </c>
      <c r="AH11" s="6"/>
      <c r="AI11" s="6" t="str">
        <f>IFERROR(__xludf.DUMMYFUNCTION("""COMPUTED_VALUE"""),"Menggantikan MT E 9632 YA sama-sama PT Puspita Cipta")</f>
        <v>Menggantikan MT E 9632 YA sama-sama PT Puspita Cipta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>
      <c r="A12" s="6">
        <f>IFERROR(__xludf.DUMMYFUNCTION("""COMPUTED_VALUE"""),18.0)</f>
        <v>18</v>
      </c>
      <c r="B12" s="6" t="str">
        <f>IFERROR(__xludf.DUMMYFUNCTION("""COMPUTED_VALUE"""),"E9334YC")</f>
        <v>E9334YC</v>
      </c>
      <c r="C12" s="6" t="str">
        <f>IFERROR(__xludf.DUMMYFUNCTION("""COMPUTED_VALUE"""),"8+8+8")</f>
        <v>8+8+8</v>
      </c>
      <c r="D12" s="6">
        <f>IFERROR(__xludf.DUMMYFUNCTION("""COMPUTED_VALUE"""),24.0)</f>
        <v>24</v>
      </c>
      <c r="E12" s="6" t="str">
        <f>IFERROR(__xludf.DUMMYFUNCTION("""COMPUTED_VALUE"""),"PT. PUSPITA CIPTA")</f>
        <v>PT. PUSPITA CIPTA</v>
      </c>
      <c r="F12" s="6">
        <f>IFERROR(__xludf.DUMMYFUNCTION("""COMPUTED_VALUE"""),2023.0)</f>
        <v>2023</v>
      </c>
      <c r="G12" s="6">
        <f>IFERROR(__xludf.DUMMYFUNCTION("""COMPUTED_VALUE"""),2023.0)</f>
        <v>2023</v>
      </c>
      <c r="H12" s="6">
        <f>IFERROR(__xludf.DUMMYFUNCTION("""COMPUTED_VALUE"""),3.0)</f>
        <v>3</v>
      </c>
      <c r="I12" s="6" t="str">
        <f>IFERROR(__xludf.DUMMYFUNCTION("""COMPUTED_VALUE"""),"4028T")</f>
        <v>4028T</v>
      </c>
      <c r="J12" s="6">
        <f>IFERROR(__xludf.DUMMYFUNCTION("""COMPUTED_VALUE"""),6374.0)</f>
        <v>6374</v>
      </c>
      <c r="K12" s="6" t="str">
        <f>IFERROR(__xludf.DUMMYFUNCTION("""COMPUTED_VALUE"""),"EURO 5")</f>
        <v>EURO 5</v>
      </c>
      <c r="L12" s="6" t="str">
        <f>IFERROR(__xludf.DUMMYFUNCTION("""COMPUTED_VALUE"""),"Standart")</f>
        <v>Standart</v>
      </c>
      <c r="M12" s="6" t="str">
        <f>IFERROR(__xludf.DUMMYFUNCTION("""COMPUTED_VALUE"""),"Geluran Adikarya")</f>
        <v>Geluran Adikarya</v>
      </c>
      <c r="N12" s="6">
        <f>IFERROR(__xludf.DUMMYFUNCTION("""COMPUTED_VALUE"""),2013.0)</f>
        <v>2013</v>
      </c>
      <c r="O12" s="6">
        <f>IFERROR(__xludf.DUMMYFUNCTION("""COMPUTED_VALUE"""),13.0)</f>
        <v>13</v>
      </c>
      <c r="P12" s="6" t="str">
        <f>IFERROR(__xludf.DUMMYFUNCTION("""COMPUTED_VALUE"""),"AA")</f>
        <v>AA</v>
      </c>
      <c r="Q12" s="6" t="str">
        <f>IFERROR(__xludf.DUMMYFUNCTION("""COMPUTED_VALUE"""),"MERCEDES BENZ")</f>
        <v>MERCEDES BENZ</v>
      </c>
      <c r="R12" s="6" t="str">
        <f>IFERROR(__xludf.DUMMYFUNCTION("""COMPUTED_VALUE"""),"400953D0141214")</f>
        <v>400953D0141214</v>
      </c>
      <c r="S12" s="6" t="str">
        <f>IFERROR(__xludf.DUMMYFUNCTION("""COMPUTED_VALUE"""),"MFJ400262PJ002664")</f>
        <v>MFJ400262PJ002664</v>
      </c>
      <c r="T12" s="31">
        <f>IFERROR(__xludf.DUMMYFUNCTION("""COMPUTED_VALUE"""),47114.0)</f>
        <v>47114</v>
      </c>
      <c r="U12" s="6" t="str">
        <f>IFERROR(__xludf.DUMMYFUNCTION("""COMPUTED_VALUE"""),"Berlaku")</f>
        <v>Berlaku</v>
      </c>
      <c r="V12" s="31">
        <f>IFERROR(__xludf.DUMMYFUNCTION("""COMPUTED_VALUE"""),46383.0)</f>
        <v>46383</v>
      </c>
      <c r="W12" s="6" t="str">
        <f>IFERROR(__xludf.DUMMYFUNCTION("""COMPUTED_VALUE"""),"Berlaku")</f>
        <v>Berlaku</v>
      </c>
      <c r="X12" s="31">
        <f>IFERROR(__xludf.DUMMYFUNCTION("""COMPUTED_VALUE"""),46331.0)</f>
        <v>46331</v>
      </c>
      <c r="Y12" s="6" t="str">
        <f>IFERROR(__xludf.DUMMYFUNCTION("""COMPUTED_VALUE"""),"Akan Habis")</f>
        <v>Akan Habis</v>
      </c>
      <c r="Z12" s="31">
        <f>IFERROR(__xludf.DUMMYFUNCTION("""COMPUTED_VALUE"""),46331.0)</f>
        <v>46331</v>
      </c>
      <c r="AA12" s="6" t="str">
        <f>IFERROR(__xludf.DUMMYFUNCTION("""COMPUTED_VALUE"""),"Berlaku")</f>
        <v>Berlaku</v>
      </c>
      <c r="AB12" s="31">
        <f>IFERROR(__xludf.DUMMYFUNCTION("""COMPUTED_VALUE"""),46884.0)</f>
        <v>46884</v>
      </c>
      <c r="AC12" s="6" t="str">
        <f>IFERROR(__xludf.DUMMYFUNCTION("""COMPUTED_VALUE"""),"Berlaku")</f>
        <v>Berlaku</v>
      </c>
      <c r="AD12" s="33">
        <f>IFERROR(__xludf.DUMMYFUNCTION("""COMPUTED_VALUE"""),46360.0)</f>
        <v>46360</v>
      </c>
      <c r="AE12" s="6" t="str">
        <f>IFERROR(__xludf.DUMMYFUNCTION("""COMPUTED_VALUE"""),"Berlaku")</f>
        <v>Berlaku</v>
      </c>
      <c r="AF12" s="6" t="str">
        <f>IFERROR(__xludf.DUMMYFUNCTION("""COMPUTED_VALUE"""),"TUGU")</f>
        <v>TUGU</v>
      </c>
      <c r="AG12" s="6" t="str">
        <f>IFERROR(__xludf.DUMMYFUNCTION("""COMPUTED_VALUE"""),"AKTIF ")</f>
        <v>AKTIF </v>
      </c>
      <c r="AH12" s="6"/>
      <c r="AI12" s="6" t="str">
        <f>IFERROR(__xludf.DUMMYFUNCTION("""COMPUTED_VALUE"""),"Menggantikan MT E 9795 YA sama-sama PT Puspita Cipta afkir setelah dispensasi ke 4 tgl 27 Januari 2024")</f>
        <v>Menggantikan MT E 9795 YA sama-sama PT Puspita Cipta afkir setelah dispensasi ke 4 tgl 27 Januari 2024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>
      <c r="A13" s="6">
        <f>IFERROR(__xludf.DUMMYFUNCTION("""COMPUTED_VALUE"""),19.0)</f>
        <v>19</v>
      </c>
      <c r="B13" s="6" t="str">
        <f>IFERROR(__xludf.DUMMYFUNCTION("""COMPUTED_VALUE"""),"E9335YC")</f>
        <v>E9335YC</v>
      </c>
      <c r="C13" s="6" t="str">
        <f>IFERROR(__xludf.DUMMYFUNCTION("""COMPUTED_VALUE"""),"8+8+8")</f>
        <v>8+8+8</v>
      </c>
      <c r="D13" s="6">
        <f>IFERROR(__xludf.DUMMYFUNCTION("""COMPUTED_VALUE"""),24.0)</f>
        <v>24</v>
      </c>
      <c r="E13" s="6" t="str">
        <f>IFERROR(__xludf.DUMMYFUNCTION("""COMPUTED_VALUE"""),"PT. PUSPITA CIPTA")</f>
        <v>PT. PUSPITA CIPTA</v>
      </c>
      <c r="F13" s="6">
        <f>IFERROR(__xludf.DUMMYFUNCTION("""COMPUTED_VALUE"""),2023.0)</f>
        <v>2023</v>
      </c>
      <c r="G13" s="6">
        <f>IFERROR(__xludf.DUMMYFUNCTION("""COMPUTED_VALUE"""),2023.0)</f>
        <v>2023</v>
      </c>
      <c r="H13" s="6">
        <f>IFERROR(__xludf.DUMMYFUNCTION("""COMPUTED_VALUE"""),3.0)</f>
        <v>3</v>
      </c>
      <c r="I13" s="6" t="str">
        <f>IFERROR(__xludf.DUMMYFUNCTION("""COMPUTED_VALUE"""),"4028T")</f>
        <v>4028T</v>
      </c>
      <c r="J13" s="6">
        <f>IFERROR(__xludf.DUMMYFUNCTION("""COMPUTED_VALUE"""),6374.0)</f>
        <v>6374</v>
      </c>
      <c r="K13" s="6" t="str">
        <f>IFERROR(__xludf.DUMMYFUNCTION("""COMPUTED_VALUE"""),"EURO 5")</f>
        <v>EURO 5</v>
      </c>
      <c r="L13" s="6" t="str">
        <f>IFERROR(__xludf.DUMMYFUNCTION("""COMPUTED_VALUE"""),"Standart")</f>
        <v>Standart</v>
      </c>
      <c r="M13" s="6" t="str">
        <f>IFERROR(__xludf.DUMMYFUNCTION("""COMPUTED_VALUE"""),"Geluran Adikarya")</f>
        <v>Geluran Adikarya</v>
      </c>
      <c r="N13" s="6">
        <f>IFERROR(__xludf.DUMMYFUNCTION("""COMPUTED_VALUE"""),2013.0)</f>
        <v>2013</v>
      </c>
      <c r="O13" s="6">
        <f>IFERROR(__xludf.DUMMYFUNCTION("""COMPUTED_VALUE"""),13.0)</f>
        <v>13</v>
      </c>
      <c r="P13" s="6" t="str">
        <f>IFERROR(__xludf.DUMMYFUNCTION("""COMPUTED_VALUE"""),"AA")</f>
        <v>AA</v>
      </c>
      <c r="Q13" s="6" t="str">
        <f>IFERROR(__xludf.DUMMYFUNCTION("""COMPUTED_VALUE"""),"MERCEDES BENZ")</f>
        <v>MERCEDES BENZ</v>
      </c>
      <c r="R13" s="6" t="str">
        <f>IFERROR(__xludf.DUMMYFUNCTION("""COMPUTED_VALUE"""),"400953D0141220")</f>
        <v>400953D0141220</v>
      </c>
      <c r="S13" s="6" t="str">
        <f>IFERROR(__xludf.DUMMYFUNCTION("""COMPUTED_VALUE"""),"MFJ400262PJ002663")</f>
        <v>MFJ400262PJ002663</v>
      </c>
      <c r="T13" s="31">
        <f>IFERROR(__xludf.DUMMYFUNCTION("""COMPUTED_VALUE"""),47114.0)</f>
        <v>47114</v>
      </c>
      <c r="U13" s="6" t="str">
        <f>IFERROR(__xludf.DUMMYFUNCTION("""COMPUTED_VALUE"""),"Berlaku")</f>
        <v>Berlaku</v>
      </c>
      <c r="V13" s="31">
        <f>IFERROR(__xludf.DUMMYFUNCTION("""COMPUTED_VALUE"""),46383.0)</f>
        <v>46383</v>
      </c>
      <c r="W13" s="6" t="str">
        <f>IFERROR(__xludf.DUMMYFUNCTION("""COMPUTED_VALUE"""),"Berlaku")</f>
        <v>Berlaku</v>
      </c>
      <c r="X13" s="31">
        <f>IFERROR(__xludf.DUMMYFUNCTION("""COMPUTED_VALUE"""),46331.0)</f>
        <v>46331</v>
      </c>
      <c r="Y13" s="6" t="str">
        <f>IFERROR(__xludf.DUMMYFUNCTION("""COMPUTED_VALUE"""),"Akan Habis")</f>
        <v>Akan Habis</v>
      </c>
      <c r="Z13" s="31">
        <f>IFERROR(__xludf.DUMMYFUNCTION("""COMPUTED_VALUE"""),46331.0)</f>
        <v>46331</v>
      </c>
      <c r="AA13" s="6" t="str">
        <f>IFERROR(__xludf.DUMMYFUNCTION("""COMPUTED_VALUE"""),"Berlaku")</f>
        <v>Berlaku</v>
      </c>
      <c r="AB13" s="31">
        <f>IFERROR(__xludf.DUMMYFUNCTION("""COMPUTED_VALUE"""),46912.0)</f>
        <v>46912</v>
      </c>
      <c r="AC13" s="6" t="str">
        <f>IFERROR(__xludf.DUMMYFUNCTION("""COMPUTED_VALUE"""),"Berlaku")</f>
        <v>Berlaku</v>
      </c>
      <c r="AD13" s="33">
        <f>IFERROR(__xludf.DUMMYFUNCTION("""COMPUTED_VALUE"""),46360.0)</f>
        <v>46360</v>
      </c>
      <c r="AE13" s="6" t="str">
        <f>IFERROR(__xludf.DUMMYFUNCTION("""COMPUTED_VALUE"""),"Berlaku")</f>
        <v>Berlaku</v>
      </c>
      <c r="AF13" s="6" t="str">
        <f>IFERROR(__xludf.DUMMYFUNCTION("""COMPUTED_VALUE"""),"TUGU")</f>
        <v>TUGU</v>
      </c>
      <c r="AG13" s="6" t="str">
        <f>IFERROR(__xludf.DUMMYFUNCTION("""COMPUTED_VALUE"""),"AKTIF ")</f>
        <v>AKTIF </v>
      </c>
      <c r="AH13" s="6"/>
      <c r="AI13" s="6" t="str">
        <f>IFERROR(__xludf.DUMMYFUNCTION("""COMPUTED_VALUE"""),"Menggantikan MT E 9854 YA sama-sama PT Puspita Cipta afkir setelah dispensasi 3 sd 27 Februari 2024")</f>
        <v>Menggantikan MT E 9854 YA sama-sama PT Puspita Cipta afkir setelah dispensasi 3 sd 27 Februari 2024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>
      <c r="A14" s="6">
        <f>IFERROR(__xludf.DUMMYFUNCTION("""COMPUTED_VALUE"""),20.0)</f>
        <v>20</v>
      </c>
      <c r="B14" s="6" t="str">
        <f>IFERROR(__xludf.DUMMYFUNCTION("""COMPUTED_VALUE"""),"E9412YC")</f>
        <v>E9412YC</v>
      </c>
      <c r="C14" s="6" t="str">
        <f>IFERROR(__xludf.DUMMYFUNCTION("""COMPUTED_VALUE"""),"8+8+8")</f>
        <v>8+8+8</v>
      </c>
      <c r="D14" s="6">
        <f>IFERROR(__xludf.DUMMYFUNCTION("""COMPUTED_VALUE"""),24.0)</f>
        <v>24</v>
      </c>
      <c r="E14" s="6" t="str">
        <f>IFERROR(__xludf.DUMMYFUNCTION("""COMPUTED_VALUE"""),"PT. PUSPITA CIPTA")</f>
        <v>PT. PUSPITA CIPTA</v>
      </c>
      <c r="F14" s="6">
        <f>IFERROR(__xludf.DUMMYFUNCTION("""COMPUTED_VALUE"""),2024.0)</f>
        <v>2024</v>
      </c>
      <c r="G14" s="6">
        <f>IFERROR(__xludf.DUMMYFUNCTION("""COMPUTED_VALUE"""),2024.0)</f>
        <v>2024</v>
      </c>
      <c r="H14" s="6">
        <f>IFERROR(__xludf.DUMMYFUNCTION("""COMPUTED_VALUE"""),2.0)</f>
        <v>2</v>
      </c>
      <c r="I14" s="6" t="str">
        <f>IFERROR(__xludf.DUMMYFUNCTION("""COMPUTED_VALUE"""),"4028T")</f>
        <v>4028T</v>
      </c>
      <c r="J14" s="6">
        <f>IFERROR(__xludf.DUMMYFUNCTION("""COMPUTED_VALUE"""),6374.0)</f>
        <v>6374</v>
      </c>
      <c r="K14" s="6" t="str">
        <f>IFERROR(__xludf.DUMMYFUNCTION("""COMPUTED_VALUE"""),"EURO 5")</f>
        <v>EURO 5</v>
      </c>
      <c r="L14" s="6" t="str">
        <f>IFERROR(__xludf.DUMMYFUNCTION("""COMPUTED_VALUE"""),"Standart")</f>
        <v>Standart</v>
      </c>
      <c r="M14" s="6" t="str">
        <f>IFERROR(__xludf.DUMMYFUNCTION("""COMPUTED_VALUE"""),"Geluran Adikarya")</f>
        <v>Geluran Adikarya</v>
      </c>
      <c r="N14" s="6">
        <f>IFERROR(__xludf.DUMMYFUNCTION("""COMPUTED_VALUE"""),2014.0)</f>
        <v>2014</v>
      </c>
      <c r="O14" s="6">
        <f>IFERROR(__xludf.DUMMYFUNCTION("""COMPUTED_VALUE"""),12.0)</f>
        <v>12</v>
      </c>
      <c r="P14" s="6" t="str">
        <f>IFERROR(__xludf.DUMMYFUNCTION("""COMPUTED_VALUE"""),"AA")</f>
        <v>AA</v>
      </c>
      <c r="Q14" s="6" t="str">
        <f>IFERROR(__xludf.DUMMYFUNCTION("""COMPUTED_VALUE"""),"MERCEDES BENZ")</f>
        <v>MERCEDES BENZ</v>
      </c>
      <c r="R14" s="6" t="str">
        <f>IFERROR(__xludf.DUMMYFUNCTION("""COMPUTED_VALUE"""),"400953D0157253")</f>
        <v>400953D0157253</v>
      </c>
      <c r="S14" s="6" t="str">
        <f>IFERROR(__xludf.DUMMYFUNCTION("""COMPUTED_VALUE"""),"MFJ400262RJ003239")</f>
        <v>MFJ400262RJ003239</v>
      </c>
      <c r="T14" s="31">
        <f>IFERROR(__xludf.DUMMYFUNCTION("""COMPUTED_VALUE"""),47429.0)</f>
        <v>47429</v>
      </c>
      <c r="U14" s="6" t="str">
        <f>IFERROR(__xludf.DUMMYFUNCTION("""COMPUTED_VALUE"""),"Berlaku")</f>
        <v>Berlaku</v>
      </c>
      <c r="V14" s="31">
        <f>IFERROR(__xludf.DUMMYFUNCTION("""COMPUTED_VALUE"""),46333.0)</f>
        <v>46333</v>
      </c>
      <c r="W14" s="6" t="str">
        <f>IFERROR(__xludf.DUMMYFUNCTION("""COMPUTED_VALUE"""),"Akan Habis")</f>
        <v>Akan Habis</v>
      </c>
      <c r="X14" s="31">
        <f>IFERROR(__xludf.DUMMYFUNCTION("""COMPUTED_VALUE"""),46331.0)</f>
        <v>46331</v>
      </c>
      <c r="Y14" s="6" t="str">
        <f>IFERROR(__xludf.DUMMYFUNCTION("""COMPUTED_VALUE"""),"Akan Habis")</f>
        <v>Akan Habis</v>
      </c>
      <c r="Z14" s="31">
        <f>IFERROR(__xludf.DUMMYFUNCTION("""COMPUTED_VALUE"""),46331.0)</f>
        <v>46331</v>
      </c>
      <c r="AA14" s="6" t="str">
        <f>IFERROR(__xludf.DUMMYFUNCTION("""COMPUTED_VALUE"""),"Berlaku")</f>
        <v>Berlaku</v>
      </c>
      <c r="AB14" s="31">
        <f>IFERROR(__xludf.DUMMYFUNCTION("""COMPUTED_VALUE"""),46351.0)</f>
        <v>46351</v>
      </c>
      <c r="AC14" s="6" t="str">
        <f>IFERROR(__xludf.DUMMYFUNCTION("""COMPUTED_VALUE"""),"Akan Habis")</f>
        <v>Akan Habis</v>
      </c>
      <c r="AD14" s="33">
        <f>IFERROR(__xludf.DUMMYFUNCTION("""COMPUTED_VALUE"""),46340.0)</f>
        <v>46340</v>
      </c>
      <c r="AE14" s="6" t="str">
        <f>IFERROR(__xludf.DUMMYFUNCTION("""COMPUTED_VALUE"""),"Berlaku")</f>
        <v>Berlaku</v>
      </c>
      <c r="AF14" s="6" t="str">
        <f>IFERROR(__xludf.DUMMYFUNCTION("""COMPUTED_VALUE"""),"TUGU")</f>
        <v>TUGU</v>
      </c>
      <c r="AG14" s="6" t="str">
        <f>IFERROR(__xludf.DUMMYFUNCTION("""COMPUTED_VALUE"""),"AKTIF ")</f>
        <v>AKTIF </v>
      </c>
      <c r="AH14" s="6"/>
      <c r="AI14" s="6" t="str">
        <f>IFERROR(__xludf.DUMMYFUNCTION("""COMPUTED_VALUE"""),"Meremajakan MT E 9212 YB")</f>
        <v>Meremajakan MT E 9212 YB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>
      <c r="A15" s="6">
        <f>IFERROR(__xludf.DUMMYFUNCTION("""COMPUTED_VALUE"""),23.0)</f>
        <v>23</v>
      </c>
      <c r="B15" s="6" t="str">
        <f>IFERROR(__xludf.DUMMYFUNCTION("""COMPUTED_VALUE"""),"E9445YC")</f>
        <v>E9445YC</v>
      </c>
      <c r="C15" s="6" t="str">
        <f>IFERROR(__xludf.DUMMYFUNCTION("""COMPUTED_VALUE"""),"8+8+8")</f>
        <v>8+8+8</v>
      </c>
      <c r="D15" s="6">
        <f>IFERROR(__xludf.DUMMYFUNCTION("""COMPUTED_VALUE"""),24.0)</f>
        <v>24</v>
      </c>
      <c r="E15" s="6" t="str">
        <f>IFERROR(__xludf.DUMMYFUNCTION("""COMPUTED_VALUE"""),"PT. PUSPITA CIPTA")</f>
        <v>PT. PUSPITA CIPTA</v>
      </c>
      <c r="F15" s="6">
        <f>IFERROR(__xludf.DUMMYFUNCTION("""COMPUTED_VALUE"""),2024.0)</f>
        <v>2024</v>
      </c>
      <c r="G15" s="6">
        <f>IFERROR(__xludf.DUMMYFUNCTION("""COMPUTED_VALUE"""),2024.0)</f>
        <v>2024</v>
      </c>
      <c r="H15" s="6">
        <f>IFERROR(__xludf.DUMMYFUNCTION("""COMPUTED_VALUE"""),2.0)</f>
        <v>2</v>
      </c>
      <c r="I15" s="6" t="str">
        <f>IFERROR(__xludf.DUMMYFUNCTION("""COMPUTED_VALUE"""),"4028T")</f>
        <v>4028T</v>
      </c>
      <c r="J15" s="6">
        <f>IFERROR(__xludf.DUMMYFUNCTION("""COMPUTED_VALUE"""),6374.0)</f>
        <v>6374</v>
      </c>
      <c r="K15" s="6" t="str">
        <f>IFERROR(__xludf.DUMMYFUNCTION("""COMPUTED_VALUE"""),"EURO 5")</f>
        <v>EURO 5</v>
      </c>
      <c r="L15" s="6" t="str">
        <f>IFERROR(__xludf.DUMMYFUNCTION("""COMPUTED_VALUE"""),"Standart")</f>
        <v>Standart</v>
      </c>
      <c r="M15" s="6" t="str">
        <f>IFERROR(__xludf.DUMMYFUNCTION("""COMPUTED_VALUE"""),"Geluran Adikarya")</f>
        <v>Geluran Adikarya</v>
      </c>
      <c r="N15" s="6">
        <f>IFERROR(__xludf.DUMMYFUNCTION("""COMPUTED_VALUE"""),2014.0)</f>
        <v>2014</v>
      </c>
      <c r="O15" s="6">
        <f>IFERROR(__xludf.DUMMYFUNCTION("""COMPUTED_VALUE"""),12.0)</f>
        <v>12</v>
      </c>
      <c r="P15" s="6" t="str">
        <f>IFERROR(__xludf.DUMMYFUNCTION("""COMPUTED_VALUE"""),"AA")</f>
        <v>AA</v>
      </c>
      <c r="Q15" s="6" t="str">
        <f>IFERROR(__xludf.DUMMYFUNCTION("""COMPUTED_VALUE"""),"MERCEDES BENZ")</f>
        <v>MERCEDES BENZ</v>
      </c>
      <c r="R15" s="6" t="str">
        <f>IFERROR(__xludf.DUMMYFUNCTION("""COMPUTED_VALUE"""),"400953D0160558")</f>
        <v>400953D0160558</v>
      </c>
      <c r="S15" s="6" t="str">
        <f>IFERROR(__xludf.DUMMYFUNCTION("""COMPUTED_VALUE"""),"MFJ400262RJ003564")</f>
        <v>MFJ400262RJ003564</v>
      </c>
      <c r="T15" s="31">
        <f>IFERROR(__xludf.DUMMYFUNCTION("""COMPUTED_VALUE"""),47475.0)</f>
        <v>47475</v>
      </c>
      <c r="U15" s="6" t="str">
        <f>IFERROR(__xludf.DUMMYFUNCTION("""COMPUTED_VALUE"""),"Berlaku")</f>
        <v>Berlaku</v>
      </c>
      <c r="V15" s="31">
        <f>IFERROR(__xludf.DUMMYFUNCTION("""COMPUTED_VALUE"""),46379.0)</f>
        <v>46379</v>
      </c>
      <c r="W15" s="6" t="str">
        <f>IFERROR(__xludf.DUMMYFUNCTION("""COMPUTED_VALUE"""),"Berlaku")</f>
        <v>Berlaku</v>
      </c>
      <c r="X15" s="31">
        <f>IFERROR(__xludf.DUMMYFUNCTION("""COMPUTED_VALUE"""),46332.0)</f>
        <v>46332</v>
      </c>
      <c r="Y15" s="6" t="str">
        <f>IFERROR(__xludf.DUMMYFUNCTION("""COMPUTED_VALUE"""),"Akan Habis")</f>
        <v>Akan Habis</v>
      </c>
      <c r="Z15" s="31">
        <f>IFERROR(__xludf.DUMMYFUNCTION("""COMPUTED_VALUE"""),46332.0)</f>
        <v>46332</v>
      </c>
      <c r="AA15" s="6" t="str">
        <f>IFERROR(__xludf.DUMMYFUNCTION("""COMPUTED_VALUE"""),"Berlaku")</f>
        <v>Berlaku</v>
      </c>
      <c r="AB15" s="31">
        <f>IFERROR(__xludf.DUMMYFUNCTION("""COMPUTED_VALUE"""),46452.0)</f>
        <v>46452</v>
      </c>
      <c r="AC15" s="6" t="str">
        <f>IFERROR(__xludf.DUMMYFUNCTION("""COMPUTED_VALUE"""),"Berlaku")</f>
        <v>Berlaku</v>
      </c>
      <c r="AD15" s="33">
        <f>IFERROR(__xludf.DUMMYFUNCTION("""COMPUTED_VALUE"""),46340.0)</f>
        <v>46340</v>
      </c>
      <c r="AE15" s="6" t="str">
        <f>IFERROR(__xludf.DUMMYFUNCTION("""COMPUTED_VALUE"""),"Berlaku")</f>
        <v>Berlaku</v>
      </c>
      <c r="AF15" s="6" t="str">
        <f>IFERROR(__xludf.DUMMYFUNCTION("""COMPUTED_VALUE"""),"TUGU")</f>
        <v>TUGU</v>
      </c>
      <c r="AG15" s="6" t="str">
        <f>IFERROR(__xludf.DUMMYFUNCTION("""COMPUTED_VALUE"""),"AKTIF ")</f>
        <v>AKTIF </v>
      </c>
      <c r="AH15" s="6"/>
      <c r="AI15" s="6" t="str">
        <f>IFERROR(__xludf.DUMMYFUNCTION("""COMPUTED_VALUE"""),"Meremajakan MT E9330YB")</f>
        <v>Meremajakan MT E9330YB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>
      <c r="A16" s="6">
        <f>IFERROR(__xludf.DUMMYFUNCTION("""COMPUTED_VALUE"""),24.0)</f>
        <v>24</v>
      </c>
      <c r="B16" s="6" t="str">
        <f>IFERROR(__xludf.DUMMYFUNCTION("""COMPUTED_VALUE"""),"E9552YC")</f>
        <v>E9552YC</v>
      </c>
      <c r="C16" s="6" t="str">
        <f>IFERROR(__xludf.DUMMYFUNCTION("""COMPUTED_VALUE"""),"8+8+8")</f>
        <v>8+8+8</v>
      </c>
      <c r="D16" s="6">
        <f>IFERROR(__xludf.DUMMYFUNCTION("""COMPUTED_VALUE"""),24.0)</f>
        <v>24</v>
      </c>
      <c r="E16" s="6" t="str">
        <f>IFERROR(__xludf.DUMMYFUNCTION("""COMPUTED_VALUE"""),"PT. PUSPITA CIPTA")</f>
        <v>PT. PUSPITA CIPTA</v>
      </c>
      <c r="F16" s="6">
        <f>IFERROR(__xludf.DUMMYFUNCTION("""COMPUTED_VALUE"""),2025.0)</f>
        <v>2025</v>
      </c>
      <c r="G16" s="6">
        <f>IFERROR(__xludf.DUMMYFUNCTION("""COMPUTED_VALUE"""),2025.0)</f>
        <v>2025</v>
      </c>
      <c r="H16" s="6">
        <f>IFERROR(__xludf.DUMMYFUNCTION("""COMPUTED_VALUE"""),1.0)</f>
        <v>1</v>
      </c>
      <c r="I16" s="6" t="str">
        <f>IFERROR(__xludf.DUMMYFUNCTION("""COMPUTED_VALUE"""),"4028T")</f>
        <v>4028T</v>
      </c>
      <c r="J16" s="6">
        <f>IFERROR(__xludf.DUMMYFUNCTION("""COMPUTED_VALUE"""),6374.0)</f>
        <v>6374</v>
      </c>
      <c r="K16" s="6" t="str">
        <f>IFERROR(__xludf.DUMMYFUNCTION("""COMPUTED_VALUE"""),"EURO 5")</f>
        <v>EURO 5</v>
      </c>
      <c r="L16" s="6" t="str">
        <f>IFERROR(__xludf.DUMMYFUNCTION("""COMPUTED_VALUE"""),"Standart")</f>
        <v>Standart</v>
      </c>
      <c r="M16" s="6" t="str">
        <f>IFERROR(__xludf.DUMMYFUNCTION("""COMPUTED_VALUE"""),"Geluran Adikarya")</f>
        <v>Geluran Adikarya</v>
      </c>
      <c r="N16" s="6">
        <f>IFERROR(__xludf.DUMMYFUNCTION("""COMPUTED_VALUE"""),2015.0)</f>
        <v>2015</v>
      </c>
      <c r="O16" s="6">
        <f>IFERROR(__xludf.DUMMYFUNCTION("""COMPUTED_VALUE"""),11.0)</f>
        <v>11</v>
      </c>
      <c r="P16" s="6" t="str">
        <f>IFERROR(__xludf.DUMMYFUNCTION("""COMPUTED_VALUE"""),"AA")</f>
        <v>AA</v>
      </c>
      <c r="Q16" s="6" t="str">
        <f>IFERROR(__xludf.DUMMYFUNCTION("""COMPUTED_VALUE"""),"MERCEDES BENZ")</f>
        <v>MERCEDES BENZ</v>
      </c>
      <c r="R16" s="6" t="str">
        <f>IFERROR(__xludf.DUMMYFUNCTION("""COMPUTED_VALUE"""),"400953D0195229")</f>
        <v>400953D0195229</v>
      </c>
      <c r="S16" s="6" t="str">
        <f>IFERROR(__xludf.DUMMYFUNCTION("""COMPUTED_VALUE"""),"MFJ400262SJ004827")</f>
        <v>MFJ400262SJ004827</v>
      </c>
      <c r="T16" s="31">
        <f>IFERROR(__xludf.DUMMYFUNCTION("""COMPUTED_VALUE"""),47833.0)</f>
        <v>47833</v>
      </c>
      <c r="U16" s="6" t="str">
        <f>IFERROR(__xludf.DUMMYFUNCTION("""COMPUTED_VALUE"""),"Berlaku")</f>
        <v>Berlaku</v>
      </c>
      <c r="V16" s="31">
        <f>IFERROR(__xludf.DUMMYFUNCTION("""COMPUTED_VALUE"""),46372.0)</f>
        <v>46372</v>
      </c>
      <c r="W16" s="6" t="str">
        <f>IFERROR(__xludf.DUMMYFUNCTION("""COMPUTED_VALUE"""),"Berlaku")</f>
        <v>Berlaku</v>
      </c>
      <c r="X16" s="31">
        <f>IFERROR(__xludf.DUMMYFUNCTION("""COMPUTED_VALUE"""),46332.0)</f>
        <v>46332</v>
      </c>
      <c r="Y16" s="6" t="str">
        <f>IFERROR(__xludf.DUMMYFUNCTION("""COMPUTED_VALUE"""),"Akan Habis")</f>
        <v>Akan Habis</v>
      </c>
      <c r="Z16" s="31">
        <f>IFERROR(__xludf.DUMMYFUNCTION("""COMPUTED_VALUE"""),46332.0)</f>
        <v>46332</v>
      </c>
      <c r="AA16" s="6" t="str">
        <f>IFERROR(__xludf.DUMMYFUNCTION("""COMPUTED_VALUE"""),"Berlaku")</f>
        <v>Berlaku</v>
      </c>
      <c r="AB16" s="31">
        <f>IFERROR(__xludf.DUMMYFUNCTION("""COMPUTED_VALUE"""),46814.0)</f>
        <v>46814</v>
      </c>
      <c r="AC16" s="6" t="str">
        <f>IFERROR(__xludf.DUMMYFUNCTION("""COMPUTED_VALUE"""),"Berlaku")</f>
        <v>Berlaku</v>
      </c>
      <c r="AD16" s="33">
        <f>IFERROR(__xludf.DUMMYFUNCTION("""COMPUTED_VALUE"""),46459.0)</f>
        <v>46459</v>
      </c>
      <c r="AE16" s="6" t="str">
        <f>IFERROR(__xludf.DUMMYFUNCTION("""COMPUTED_VALUE"""),"Berlaku")</f>
        <v>Berlaku</v>
      </c>
      <c r="AF16" s="6" t="str">
        <f>IFERROR(__xludf.DUMMYFUNCTION("""COMPUTED_VALUE"""),"TUGU")</f>
        <v>TUGU</v>
      </c>
      <c r="AG16" s="6" t="str">
        <f>IFERROR(__xludf.DUMMYFUNCTION("""COMPUTED_VALUE"""),"AKTIF ")</f>
        <v>AKTIF </v>
      </c>
      <c r="AH16" s="6"/>
      <c r="AI16" s="6" t="str">
        <f>IFERROR(__xludf.DUMMYFUNCTION("""COMPUTED_VALUE"""),"Peremajaan E9553YB")</f>
        <v>Peremajaan E9553YB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>
      <c r="A17" s="6">
        <f>IFERROR(__xludf.DUMMYFUNCTION("""COMPUTED_VALUE"""),25.0)</f>
        <v>25</v>
      </c>
      <c r="B17" s="6" t="str">
        <f>IFERROR(__xludf.DUMMYFUNCTION("""COMPUTED_VALUE"""),"E9554YC")</f>
        <v>E9554YC</v>
      </c>
      <c r="C17" s="6" t="str">
        <f>IFERROR(__xludf.DUMMYFUNCTION("""COMPUTED_VALUE"""),"8+8+8")</f>
        <v>8+8+8</v>
      </c>
      <c r="D17" s="6">
        <f>IFERROR(__xludf.DUMMYFUNCTION("""COMPUTED_VALUE"""),24.0)</f>
        <v>24</v>
      </c>
      <c r="E17" s="6" t="str">
        <f>IFERROR(__xludf.DUMMYFUNCTION("""COMPUTED_VALUE"""),"PT. PUSPITA CIPTA")</f>
        <v>PT. PUSPITA CIPTA</v>
      </c>
      <c r="F17" s="6">
        <f>IFERROR(__xludf.DUMMYFUNCTION("""COMPUTED_VALUE"""),2025.0)</f>
        <v>2025</v>
      </c>
      <c r="G17" s="6">
        <f>IFERROR(__xludf.DUMMYFUNCTION("""COMPUTED_VALUE"""),2025.0)</f>
        <v>2025</v>
      </c>
      <c r="H17" s="6">
        <f>IFERROR(__xludf.DUMMYFUNCTION("""COMPUTED_VALUE"""),1.0)</f>
        <v>1</v>
      </c>
      <c r="I17" s="6" t="str">
        <f>IFERROR(__xludf.DUMMYFUNCTION("""COMPUTED_VALUE"""),"4028T")</f>
        <v>4028T</v>
      </c>
      <c r="J17" s="6">
        <f>IFERROR(__xludf.DUMMYFUNCTION("""COMPUTED_VALUE"""),6374.0)</f>
        <v>6374</v>
      </c>
      <c r="K17" s="6" t="str">
        <f>IFERROR(__xludf.DUMMYFUNCTION("""COMPUTED_VALUE"""),"EURO 5")</f>
        <v>EURO 5</v>
      </c>
      <c r="L17" s="6" t="str">
        <f>IFERROR(__xludf.DUMMYFUNCTION("""COMPUTED_VALUE"""),"Standart")</f>
        <v>Standart</v>
      </c>
      <c r="M17" s="6" t="str">
        <f>IFERROR(__xludf.DUMMYFUNCTION("""COMPUTED_VALUE"""),"Geluran Adikarya")</f>
        <v>Geluran Adikarya</v>
      </c>
      <c r="N17" s="6">
        <f>IFERROR(__xludf.DUMMYFUNCTION("""COMPUTED_VALUE"""),2015.0)</f>
        <v>2015</v>
      </c>
      <c r="O17" s="6">
        <f>IFERROR(__xludf.DUMMYFUNCTION("""COMPUTED_VALUE"""),11.0)</f>
        <v>11</v>
      </c>
      <c r="P17" s="6" t="str">
        <f>IFERROR(__xludf.DUMMYFUNCTION("""COMPUTED_VALUE"""),"AA")</f>
        <v>AA</v>
      </c>
      <c r="Q17" s="6" t="str">
        <f>IFERROR(__xludf.DUMMYFUNCTION("""COMPUTED_VALUE"""),"MERCEDES BENZ")</f>
        <v>MERCEDES BENZ</v>
      </c>
      <c r="R17" s="6" t="str">
        <f>IFERROR(__xludf.DUMMYFUNCTION("""COMPUTED_VALUE"""),"400953D0195257")</f>
        <v>400953D0195257</v>
      </c>
      <c r="S17" s="6" t="str">
        <f>IFERROR(__xludf.DUMMYFUNCTION("""COMPUTED_VALUE"""),"MFJ400262SJ004829")</f>
        <v>MFJ400262SJ004829</v>
      </c>
      <c r="T17" s="31">
        <f>IFERROR(__xludf.DUMMYFUNCTION("""COMPUTED_VALUE"""),47833.0)</f>
        <v>47833</v>
      </c>
      <c r="U17" s="6" t="str">
        <f>IFERROR(__xludf.DUMMYFUNCTION("""COMPUTED_VALUE"""),"Berlaku")</f>
        <v>Berlaku</v>
      </c>
      <c r="V17" s="31">
        <f>IFERROR(__xludf.DUMMYFUNCTION("""COMPUTED_VALUE"""),46372.0)</f>
        <v>46372</v>
      </c>
      <c r="W17" s="6" t="str">
        <f>IFERROR(__xludf.DUMMYFUNCTION("""COMPUTED_VALUE"""),"Berlaku")</f>
        <v>Berlaku</v>
      </c>
      <c r="X17" s="31">
        <f>IFERROR(__xludf.DUMMYFUNCTION("""COMPUTED_VALUE"""),46332.0)</f>
        <v>46332</v>
      </c>
      <c r="Y17" s="6" t="str">
        <f>IFERROR(__xludf.DUMMYFUNCTION("""COMPUTED_VALUE"""),"Akan Habis")</f>
        <v>Akan Habis</v>
      </c>
      <c r="Z17" s="31">
        <f>IFERROR(__xludf.DUMMYFUNCTION("""COMPUTED_VALUE"""),46332.0)</f>
        <v>46332</v>
      </c>
      <c r="AA17" s="6" t="str">
        <f>IFERROR(__xludf.DUMMYFUNCTION("""COMPUTED_VALUE"""),"Berlaku")</f>
        <v>Berlaku</v>
      </c>
      <c r="AB17" s="31">
        <f>IFERROR(__xludf.DUMMYFUNCTION("""COMPUTED_VALUE"""),46816.0)</f>
        <v>46816</v>
      </c>
      <c r="AC17" s="6" t="str">
        <f>IFERROR(__xludf.DUMMYFUNCTION("""COMPUTED_VALUE"""),"Berlaku")</f>
        <v>Berlaku</v>
      </c>
      <c r="AD17" s="33">
        <f>IFERROR(__xludf.DUMMYFUNCTION("""COMPUTED_VALUE"""),46459.0)</f>
        <v>46459</v>
      </c>
      <c r="AE17" s="6" t="str">
        <f>IFERROR(__xludf.DUMMYFUNCTION("""COMPUTED_VALUE"""),"Berlaku")</f>
        <v>Berlaku</v>
      </c>
      <c r="AF17" s="6" t="str">
        <f>IFERROR(__xludf.DUMMYFUNCTION("""COMPUTED_VALUE"""),"TUGU")</f>
        <v>TUGU</v>
      </c>
      <c r="AG17" s="6" t="str">
        <f>IFERROR(__xludf.DUMMYFUNCTION("""COMPUTED_VALUE"""),"AKTIF ")</f>
        <v>AKTIF </v>
      </c>
      <c r="AH17" s="6"/>
      <c r="AI17" s="6" t="str">
        <f>IFERROR(__xludf.DUMMYFUNCTION("""COMPUTED_VALUE"""),"Peremajaan E9557YB")</f>
        <v>Peremajaan E9557YB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>
      <c r="A18" s="6">
        <f>IFERROR(__xludf.DUMMYFUNCTION("""COMPUTED_VALUE"""),26.0)</f>
        <v>26</v>
      </c>
      <c r="B18" s="6" t="str">
        <f>IFERROR(__xludf.DUMMYFUNCTION("""COMPUTED_VALUE"""),"E9556YC")</f>
        <v>E9556YC</v>
      </c>
      <c r="C18" s="6" t="str">
        <f>IFERROR(__xludf.DUMMYFUNCTION("""COMPUTED_VALUE"""),"8+8+8")</f>
        <v>8+8+8</v>
      </c>
      <c r="D18" s="6">
        <f>IFERROR(__xludf.DUMMYFUNCTION("""COMPUTED_VALUE"""),24.0)</f>
        <v>24</v>
      </c>
      <c r="E18" s="6" t="str">
        <f>IFERROR(__xludf.DUMMYFUNCTION("""COMPUTED_VALUE"""),"PT. PUSPITA CIPTA")</f>
        <v>PT. PUSPITA CIPTA</v>
      </c>
      <c r="F18" s="6">
        <f>IFERROR(__xludf.DUMMYFUNCTION("""COMPUTED_VALUE"""),2025.0)</f>
        <v>2025</v>
      </c>
      <c r="G18" s="6">
        <f>IFERROR(__xludf.DUMMYFUNCTION("""COMPUTED_VALUE"""),2025.0)</f>
        <v>2025</v>
      </c>
      <c r="H18" s="6">
        <f>IFERROR(__xludf.DUMMYFUNCTION("""COMPUTED_VALUE"""),1.0)</f>
        <v>1</v>
      </c>
      <c r="I18" s="6" t="str">
        <f>IFERROR(__xludf.DUMMYFUNCTION("""COMPUTED_VALUE"""),"4028T")</f>
        <v>4028T</v>
      </c>
      <c r="J18" s="6">
        <f>IFERROR(__xludf.DUMMYFUNCTION("""COMPUTED_VALUE"""),6374.0)</f>
        <v>6374</v>
      </c>
      <c r="K18" s="6" t="str">
        <f>IFERROR(__xludf.DUMMYFUNCTION("""COMPUTED_VALUE"""),"EURO 5")</f>
        <v>EURO 5</v>
      </c>
      <c r="L18" s="6" t="str">
        <f>IFERROR(__xludf.DUMMYFUNCTION("""COMPUTED_VALUE"""),"Standart")</f>
        <v>Standart</v>
      </c>
      <c r="M18" s="6" t="str">
        <f>IFERROR(__xludf.DUMMYFUNCTION("""COMPUTED_VALUE"""),"Geluran Adikarya")</f>
        <v>Geluran Adikarya</v>
      </c>
      <c r="N18" s="6">
        <f>IFERROR(__xludf.DUMMYFUNCTION("""COMPUTED_VALUE"""),2015.0)</f>
        <v>2015</v>
      </c>
      <c r="O18" s="6">
        <f>IFERROR(__xludf.DUMMYFUNCTION("""COMPUTED_VALUE"""),11.0)</f>
        <v>11</v>
      </c>
      <c r="P18" s="6" t="str">
        <f>IFERROR(__xludf.DUMMYFUNCTION("""COMPUTED_VALUE"""),"AA")</f>
        <v>AA</v>
      </c>
      <c r="Q18" s="6" t="str">
        <f>IFERROR(__xludf.DUMMYFUNCTION("""COMPUTED_VALUE"""),"MERCEDES BENZ")</f>
        <v>MERCEDES BENZ</v>
      </c>
      <c r="R18" s="6" t="str">
        <f>IFERROR(__xludf.DUMMYFUNCTION("""COMPUTED_VALUE"""),"400953D0195053")</f>
        <v>400953D0195053</v>
      </c>
      <c r="S18" s="6" t="str">
        <f>IFERROR(__xludf.DUMMYFUNCTION("""COMPUTED_VALUE"""),"MFJ400262SJ004770")</f>
        <v>MFJ400262SJ004770</v>
      </c>
      <c r="T18" s="31">
        <f>IFERROR(__xludf.DUMMYFUNCTION("""COMPUTED_VALUE"""),47833.0)</f>
        <v>47833</v>
      </c>
      <c r="U18" s="6" t="str">
        <f>IFERROR(__xludf.DUMMYFUNCTION("""COMPUTED_VALUE"""),"Berlaku")</f>
        <v>Berlaku</v>
      </c>
      <c r="V18" s="31">
        <f>IFERROR(__xludf.DUMMYFUNCTION("""COMPUTED_VALUE"""),46372.0)</f>
        <v>46372</v>
      </c>
      <c r="W18" s="6" t="str">
        <f>IFERROR(__xludf.DUMMYFUNCTION("""COMPUTED_VALUE"""),"Berlaku")</f>
        <v>Berlaku</v>
      </c>
      <c r="X18" s="31">
        <f>IFERROR(__xludf.DUMMYFUNCTION("""COMPUTED_VALUE"""),46332.0)</f>
        <v>46332</v>
      </c>
      <c r="Y18" s="6" t="str">
        <f>IFERROR(__xludf.DUMMYFUNCTION("""COMPUTED_VALUE"""),"Akan Habis")</f>
        <v>Akan Habis</v>
      </c>
      <c r="Z18" s="31">
        <f>IFERROR(__xludf.DUMMYFUNCTION("""COMPUTED_VALUE"""),46332.0)</f>
        <v>46332</v>
      </c>
      <c r="AA18" s="6" t="str">
        <f>IFERROR(__xludf.DUMMYFUNCTION("""COMPUTED_VALUE"""),"Berlaku")</f>
        <v>Berlaku</v>
      </c>
      <c r="AB18" s="31">
        <f>IFERROR(__xludf.DUMMYFUNCTION("""COMPUTED_VALUE"""),46817.0)</f>
        <v>46817</v>
      </c>
      <c r="AC18" s="6" t="str">
        <f>IFERROR(__xludf.DUMMYFUNCTION("""COMPUTED_VALUE"""),"Berlaku")</f>
        <v>Berlaku</v>
      </c>
      <c r="AD18" s="33">
        <f>IFERROR(__xludf.DUMMYFUNCTION("""COMPUTED_VALUE"""),46459.0)</f>
        <v>46459</v>
      </c>
      <c r="AE18" s="6" t="str">
        <f>IFERROR(__xludf.DUMMYFUNCTION("""COMPUTED_VALUE"""),"Berlaku")</f>
        <v>Berlaku</v>
      </c>
      <c r="AF18" s="6" t="str">
        <f>IFERROR(__xludf.DUMMYFUNCTION("""COMPUTED_VALUE"""),"TUGU")</f>
        <v>TUGU</v>
      </c>
      <c r="AG18" s="6" t="str">
        <f>IFERROR(__xludf.DUMMYFUNCTION("""COMPUTED_VALUE"""),"AKTIF ")</f>
        <v>AKTIF </v>
      </c>
      <c r="AH18" s="6"/>
      <c r="AI18" s="6" t="str">
        <f>IFERROR(__xludf.DUMMYFUNCTION("""COMPUTED_VALUE"""),"Peremajaan E9560YB")</f>
        <v>Peremajaan E9560YB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>
      <c r="A19" s="6">
        <f>IFERROR(__xludf.DUMMYFUNCTION("""COMPUTED_VALUE"""),27.0)</f>
        <v>27</v>
      </c>
      <c r="B19" s="6" t="str">
        <f>IFERROR(__xludf.DUMMYFUNCTION("""COMPUTED_VALUE"""),"E9493YC")</f>
        <v>E9493YC</v>
      </c>
      <c r="C19" s="6" t="str">
        <f>IFERROR(__xludf.DUMMYFUNCTION("""COMPUTED_VALUE"""),"8+8+8")</f>
        <v>8+8+8</v>
      </c>
      <c r="D19" s="6">
        <f>IFERROR(__xludf.DUMMYFUNCTION("""COMPUTED_VALUE"""),24.0)</f>
        <v>24</v>
      </c>
      <c r="E19" s="6" t="str">
        <f>IFERROR(__xludf.DUMMYFUNCTION("""COMPUTED_VALUE"""),"PT. PUSPITA CIPTA")</f>
        <v>PT. PUSPITA CIPTA</v>
      </c>
      <c r="F19" s="6">
        <f>IFERROR(__xludf.DUMMYFUNCTION("""COMPUTED_VALUE"""),2025.0)</f>
        <v>2025</v>
      </c>
      <c r="G19" s="6">
        <f>IFERROR(__xludf.DUMMYFUNCTION("""COMPUTED_VALUE"""),2025.0)</f>
        <v>2025</v>
      </c>
      <c r="H19" s="6">
        <f>IFERROR(__xludf.DUMMYFUNCTION("""COMPUTED_VALUE"""),1.0)</f>
        <v>1</v>
      </c>
      <c r="I19" s="6" t="str">
        <f>IFERROR(__xludf.DUMMYFUNCTION("""COMPUTED_VALUE"""),"4028 T")</f>
        <v>4028 T</v>
      </c>
      <c r="J19" s="6">
        <f>IFERROR(__xludf.DUMMYFUNCTION("""COMPUTED_VALUE"""),6374.0)</f>
        <v>6374</v>
      </c>
      <c r="K19" s="6" t="str">
        <f>IFERROR(__xludf.DUMMYFUNCTION("""COMPUTED_VALUE"""),"EURO 5")</f>
        <v>EURO 5</v>
      </c>
      <c r="L19" s="6" t="str">
        <f>IFERROR(__xludf.DUMMYFUNCTION("""COMPUTED_VALUE"""),"Standart")</f>
        <v>Standart</v>
      </c>
      <c r="M19" s="6" t="str">
        <f>IFERROR(__xludf.DUMMYFUNCTION("""COMPUTED_VALUE"""),"Geluran Adikarya")</f>
        <v>Geluran Adikarya</v>
      </c>
      <c r="N19" s="6">
        <f>IFERROR(__xludf.DUMMYFUNCTION("""COMPUTED_VALUE"""),2015.0)</f>
        <v>2015</v>
      </c>
      <c r="O19" s="6">
        <f>IFERROR(__xludf.DUMMYFUNCTION("""COMPUTED_VALUE"""),11.0)</f>
        <v>11</v>
      </c>
      <c r="P19" s="6" t="str">
        <f>IFERROR(__xludf.DUMMYFUNCTION("""COMPUTED_VALUE"""),"AA")</f>
        <v>AA</v>
      </c>
      <c r="Q19" s="6" t="str">
        <f>IFERROR(__xludf.DUMMYFUNCTION("""COMPUTED_VALUE"""),"MERCEDES BENZ")</f>
        <v>MERCEDES BENZ</v>
      </c>
      <c r="R19" s="6" t="str">
        <f>IFERROR(__xludf.DUMMYFUNCTION("""COMPUTED_VALUE"""),"400953D0177908")</f>
        <v>400953D0177908</v>
      </c>
      <c r="S19" s="6" t="str">
        <f>IFERROR(__xludf.DUMMYFUNCTION("""COMPUTED_VALUE"""),"MFJ400262SJ004431")</f>
        <v>MFJ400262SJ004431</v>
      </c>
      <c r="T19" s="31">
        <f>IFERROR(__xludf.DUMMYFUNCTION("""COMPUTED_VALUE"""),47625.0)</f>
        <v>47625</v>
      </c>
      <c r="U19" s="6" t="str">
        <f>IFERROR(__xludf.DUMMYFUNCTION("""COMPUTED_VALUE"""),"Berlaku")</f>
        <v>Berlaku</v>
      </c>
      <c r="V19" s="31">
        <f>IFERROR(__xludf.DUMMYFUNCTION("""COMPUTED_VALUE"""),46529.0)</f>
        <v>46529</v>
      </c>
      <c r="W19" s="6" t="str">
        <f>IFERROR(__xludf.DUMMYFUNCTION("""COMPUTED_VALUE"""),"Berlaku")</f>
        <v>Berlaku</v>
      </c>
      <c r="X19" s="31">
        <f>IFERROR(__xludf.DUMMYFUNCTION("""COMPUTED_VALUE"""),46331.0)</f>
        <v>46331</v>
      </c>
      <c r="Y19" s="6" t="str">
        <f>IFERROR(__xludf.DUMMYFUNCTION("""COMPUTED_VALUE"""),"Akan Habis")</f>
        <v>Akan Habis</v>
      </c>
      <c r="Z19" s="31">
        <f>IFERROR(__xludf.DUMMYFUNCTION("""COMPUTED_VALUE"""),46331.0)</f>
        <v>46331</v>
      </c>
      <c r="AA19" s="6" t="str">
        <f>IFERROR(__xludf.DUMMYFUNCTION("""COMPUTED_VALUE"""),"Berlaku")</f>
        <v>Berlaku</v>
      </c>
      <c r="AB19" s="31">
        <f>IFERROR(__xludf.DUMMYFUNCTION("""COMPUTED_VALUE"""),46571.0)</f>
        <v>46571</v>
      </c>
      <c r="AC19" s="6" t="str">
        <f>IFERROR(__xludf.DUMMYFUNCTION("""COMPUTED_VALUE"""),"Berlaku")</f>
        <v>Berlaku</v>
      </c>
      <c r="AD19" s="33">
        <f>IFERROR(__xludf.DUMMYFUNCTION("""COMPUTED_VALUE"""),46340.0)</f>
        <v>46340</v>
      </c>
      <c r="AE19" s="6" t="str">
        <f>IFERROR(__xludf.DUMMYFUNCTION("""COMPUTED_VALUE"""),"Berlaku")</f>
        <v>Berlaku</v>
      </c>
      <c r="AF19" s="6" t="str">
        <f>IFERROR(__xludf.DUMMYFUNCTION("""COMPUTED_VALUE"""),"TUGU")</f>
        <v>TUGU</v>
      </c>
      <c r="AG19" s="6" t="str">
        <f>IFERROR(__xludf.DUMMYFUNCTION("""COMPUTED_VALUE"""),"AKTIF ")</f>
        <v>AKTIF </v>
      </c>
      <c r="AH19" s="6"/>
      <c r="AI19" s="6" t="str">
        <f>IFERROR(__xludf.DUMMYFUNCTION("""COMPUTED_VALUE"""),"Meremajakan MT E9389YB")</f>
        <v>Meremajakan MT E9389YB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>
      <c r="A20" s="6">
        <f>IFERROR(__xludf.DUMMYFUNCTION("""COMPUTED_VALUE"""),29.0)</f>
        <v>29</v>
      </c>
      <c r="B20" s="6" t="str">
        <f>IFERROR(__xludf.DUMMYFUNCTION("""COMPUTED_VALUE"""),"E9496YC")</f>
        <v>E9496YC</v>
      </c>
      <c r="C20" s="6" t="str">
        <f>IFERROR(__xludf.DUMMYFUNCTION("""COMPUTED_VALUE"""),"8+8+8")</f>
        <v>8+8+8</v>
      </c>
      <c r="D20" s="6">
        <f>IFERROR(__xludf.DUMMYFUNCTION("""COMPUTED_VALUE"""),24.0)</f>
        <v>24</v>
      </c>
      <c r="E20" s="6" t="str">
        <f>IFERROR(__xludf.DUMMYFUNCTION("""COMPUTED_VALUE"""),"PT. PUSPITA CIPTA")</f>
        <v>PT. PUSPITA CIPTA</v>
      </c>
      <c r="F20" s="6">
        <f>IFERROR(__xludf.DUMMYFUNCTION("""COMPUTED_VALUE"""),2025.0)</f>
        <v>2025</v>
      </c>
      <c r="G20" s="6">
        <f>IFERROR(__xludf.DUMMYFUNCTION("""COMPUTED_VALUE"""),2025.0)</f>
        <v>2025</v>
      </c>
      <c r="H20" s="6">
        <f>IFERROR(__xludf.DUMMYFUNCTION("""COMPUTED_VALUE"""),1.0)</f>
        <v>1</v>
      </c>
      <c r="I20" s="6" t="str">
        <f>IFERROR(__xludf.DUMMYFUNCTION("""COMPUTED_VALUE"""),"4028 T")</f>
        <v>4028 T</v>
      </c>
      <c r="J20" s="6">
        <f>IFERROR(__xludf.DUMMYFUNCTION("""COMPUTED_VALUE"""),6374.0)</f>
        <v>6374</v>
      </c>
      <c r="K20" s="6" t="str">
        <f>IFERROR(__xludf.DUMMYFUNCTION("""COMPUTED_VALUE"""),"EURO 5")</f>
        <v>EURO 5</v>
      </c>
      <c r="L20" s="6" t="str">
        <f>IFERROR(__xludf.DUMMYFUNCTION("""COMPUTED_VALUE"""),"Standart")</f>
        <v>Standart</v>
      </c>
      <c r="M20" s="6" t="str">
        <f>IFERROR(__xludf.DUMMYFUNCTION("""COMPUTED_VALUE"""),"Geluran Adikarya")</f>
        <v>Geluran Adikarya</v>
      </c>
      <c r="N20" s="6">
        <f>IFERROR(__xludf.DUMMYFUNCTION("""COMPUTED_VALUE"""),2015.0)</f>
        <v>2015</v>
      </c>
      <c r="O20" s="6">
        <f>IFERROR(__xludf.DUMMYFUNCTION("""COMPUTED_VALUE"""),11.0)</f>
        <v>11</v>
      </c>
      <c r="P20" s="6" t="str">
        <f>IFERROR(__xludf.DUMMYFUNCTION("""COMPUTED_VALUE"""),"AA")</f>
        <v>AA</v>
      </c>
      <c r="Q20" s="6" t="str">
        <f>IFERROR(__xludf.DUMMYFUNCTION("""COMPUTED_VALUE"""),"MERCEDES BENZ")</f>
        <v>MERCEDES BENZ</v>
      </c>
      <c r="R20" s="6" t="str">
        <f>IFERROR(__xludf.DUMMYFUNCTION("""COMPUTED_VALUE"""),"400953DO177878")</f>
        <v>400953DO177878</v>
      </c>
      <c r="S20" s="6" t="str">
        <f>IFERROR(__xludf.DUMMYFUNCTION("""COMPUTED_VALUE"""),"MFJ400262SJ004429")</f>
        <v>MFJ400262SJ004429</v>
      </c>
      <c r="T20" s="31">
        <f>IFERROR(__xludf.DUMMYFUNCTION("""COMPUTED_VALUE"""),47625.0)</f>
        <v>47625</v>
      </c>
      <c r="U20" s="6" t="str">
        <f>IFERROR(__xludf.DUMMYFUNCTION("""COMPUTED_VALUE"""),"Berlaku")</f>
        <v>Berlaku</v>
      </c>
      <c r="V20" s="31">
        <f>IFERROR(__xludf.DUMMYFUNCTION("""COMPUTED_VALUE"""),46529.0)</f>
        <v>46529</v>
      </c>
      <c r="W20" s="6" t="str">
        <f>IFERROR(__xludf.DUMMYFUNCTION("""COMPUTED_VALUE"""),"Berlaku")</f>
        <v>Berlaku</v>
      </c>
      <c r="X20" s="31">
        <f>IFERROR(__xludf.DUMMYFUNCTION("""COMPUTED_VALUE"""),46331.0)</f>
        <v>46331</v>
      </c>
      <c r="Y20" s="6" t="str">
        <f>IFERROR(__xludf.DUMMYFUNCTION("""COMPUTED_VALUE"""),"Akan Habis")</f>
        <v>Akan Habis</v>
      </c>
      <c r="Z20" s="31">
        <f>IFERROR(__xludf.DUMMYFUNCTION("""COMPUTED_VALUE"""),46331.0)</f>
        <v>46331</v>
      </c>
      <c r="AA20" s="6" t="str">
        <f>IFERROR(__xludf.DUMMYFUNCTION("""COMPUTED_VALUE"""),"Berlaku")</f>
        <v>Berlaku</v>
      </c>
      <c r="AB20" s="31">
        <f>IFERROR(__xludf.DUMMYFUNCTION("""COMPUTED_VALUE"""),46570.0)</f>
        <v>46570</v>
      </c>
      <c r="AC20" s="6" t="str">
        <f>IFERROR(__xludf.DUMMYFUNCTION("""COMPUTED_VALUE"""),"Berlaku")</f>
        <v>Berlaku</v>
      </c>
      <c r="AD20" s="33">
        <f>IFERROR(__xludf.DUMMYFUNCTION("""COMPUTED_VALUE"""),46340.0)</f>
        <v>46340</v>
      </c>
      <c r="AE20" s="6" t="str">
        <f>IFERROR(__xludf.DUMMYFUNCTION("""COMPUTED_VALUE"""),"Berlaku")</f>
        <v>Berlaku</v>
      </c>
      <c r="AF20" s="6" t="str">
        <f>IFERROR(__xludf.DUMMYFUNCTION("""COMPUTED_VALUE"""),"TUGU")</f>
        <v>TUGU</v>
      </c>
      <c r="AG20" s="6" t="str">
        <f>IFERROR(__xludf.DUMMYFUNCTION("""COMPUTED_VALUE"""),"AKTIF ")</f>
        <v>AKTIF </v>
      </c>
      <c r="AH20" s="6"/>
      <c r="AI20" s="6" t="str">
        <f>IFERROR(__xludf.DUMMYFUNCTION("""COMPUTED_VALUE"""),"Meremajakan MT E9391YB")</f>
        <v>Meremajakan MT E9391YB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>
      <c r="A21" s="6">
        <f>IFERROR(__xludf.DUMMYFUNCTION("""COMPUTED_VALUE"""),30.0)</f>
        <v>30</v>
      </c>
      <c r="B21" s="6" t="str">
        <f>IFERROR(__xludf.DUMMYFUNCTION("""COMPUTED_VALUE"""),"E9512YC")</f>
        <v>E9512YC</v>
      </c>
      <c r="C21" s="6" t="str">
        <f>IFERROR(__xludf.DUMMYFUNCTION("""COMPUTED_VALUE"""),"8+8+8")</f>
        <v>8+8+8</v>
      </c>
      <c r="D21" s="6">
        <f>IFERROR(__xludf.DUMMYFUNCTION("""COMPUTED_VALUE"""),24.0)</f>
        <v>24</v>
      </c>
      <c r="E21" s="6" t="str">
        <f>IFERROR(__xludf.DUMMYFUNCTION("""COMPUTED_VALUE"""),"PT. PUSPITA CIPTA")</f>
        <v>PT. PUSPITA CIPTA</v>
      </c>
      <c r="F21" s="6">
        <f>IFERROR(__xludf.DUMMYFUNCTION("""COMPUTED_VALUE"""),2025.0)</f>
        <v>2025</v>
      </c>
      <c r="G21" s="6">
        <f>IFERROR(__xludf.DUMMYFUNCTION("""COMPUTED_VALUE"""),2025.0)</f>
        <v>2025</v>
      </c>
      <c r="H21" s="6">
        <f>IFERROR(__xludf.DUMMYFUNCTION("""COMPUTED_VALUE"""),1.0)</f>
        <v>1</v>
      </c>
      <c r="I21" s="6" t="str">
        <f>IFERROR(__xludf.DUMMYFUNCTION("""COMPUTED_VALUE"""),"4028 T")</f>
        <v>4028 T</v>
      </c>
      <c r="J21" s="6">
        <f>IFERROR(__xludf.DUMMYFUNCTION("""COMPUTED_VALUE"""),6374.0)</f>
        <v>6374</v>
      </c>
      <c r="K21" s="6" t="str">
        <f>IFERROR(__xludf.DUMMYFUNCTION("""COMPUTED_VALUE"""),"EURO 5")</f>
        <v>EURO 5</v>
      </c>
      <c r="L21" s="6" t="str">
        <f>IFERROR(__xludf.DUMMYFUNCTION("""COMPUTED_VALUE"""),"Standart")</f>
        <v>Standart</v>
      </c>
      <c r="M21" s="6" t="str">
        <f>IFERROR(__xludf.DUMMYFUNCTION("""COMPUTED_VALUE"""),"Geluran Adikarya")</f>
        <v>Geluran Adikarya</v>
      </c>
      <c r="N21" s="6">
        <f>IFERROR(__xludf.DUMMYFUNCTION("""COMPUTED_VALUE"""),2015.0)</f>
        <v>2015</v>
      </c>
      <c r="O21" s="6">
        <f>IFERROR(__xludf.DUMMYFUNCTION("""COMPUTED_VALUE"""),11.0)</f>
        <v>11</v>
      </c>
      <c r="P21" s="6" t="str">
        <f>IFERROR(__xludf.DUMMYFUNCTION("""COMPUTED_VALUE"""),"AA")</f>
        <v>AA</v>
      </c>
      <c r="Q21" s="6" t="str">
        <f>IFERROR(__xludf.DUMMYFUNCTION("""COMPUTED_VALUE"""),"MERCEDES BENZ")</f>
        <v>MERCEDES BENZ</v>
      </c>
      <c r="R21" s="6" t="str">
        <f>IFERROR(__xludf.DUMMYFUNCTION("""COMPUTED_VALUE"""),"400963001792246")</f>
        <v>400963001792246</v>
      </c>
      <c r="S21" s="6" t="str">
        <f>IFERROR(__xludf.DUMMYFUNCTION("""COMPUTED_VALUE"""),"MFJ400262SJ004440")</f>
        <v>MFJ400262SJ004440</v>
      </c>
      <c r="T21" s="31">
        <f>IFERROR(__xludf.DUMMYFUNCTION("""COMPUTED_VALUE"""),47716.0)</f>
        <v>47716</v>
      </c>
      <c r="U21" s="6" t="str">
        <f>IFERROR(__xludf.DUMMYFUNCTION("""COMPUTED_VALUE"""),"Berlaku")</f>
        <v>Berlaku</v>
      </c>
      <c r="V21" s="31">
        <f>IFERROR(__xludf.DUMMYFUNCTION("""COMPUTED_VALUE"""),46620.0)</f>
        <v>46620</v>
      </c>
      <c r="W21" s="6" t="str">
        <f>IFERROR(__xludf.DUMMYFUNCTION("""COMPUTED_VALUE"""),"Berlaku")</f>
        <v>Berlaku</v>
      </c>
      <c r="X21" s="31">
        <f>IFERROR(__xludf.DUMMYFUNCTION("""COMPUTED_VALUE"""),46311.0)</f>
        <v>46311</v>
      </c>
      <c r="Y21" s="6" t="str">
        <f>IFERROR(__xludf.DUMMYFUNCTION("""COMPUTED_VALUE"""),"Akan Habis")</f>
        <v>Akan Habis</v>
      </c>
      <c r="Z21" s="31">
        <f>IFERROR(__xludf.DUMMYFUNCTION("""COMPUTED_VALUE"""),46311.0)</f>
        <v>46311</v>
      </c>
      <c r="AA21" s="6" t="str">
        <f>IFERROR(__xludf.DUMMYFUNCTION("""COMPUTED_VALUE"""),"Akan Habis")</f>
        <v>Akan Habis</v>
      </c>
      <c r="AB21" s="31">
        <f>IFERROR(__xludf.DUMMYFUNCTION("""COMPUTED_VALUE"""),46688.0)</f>
        <v>46688</v>
      </c>
      <c r="AC21" s="6" t="str">
        <f>IFERROR(__xludf.DUMMYFUNCTION("""COMPUTED_VALUE"""),"Berlaku")</f>
        <v>Berlaku</v>
      </c>
      <c r="AD21" s="33">
        <f>IFERROR(__xludf.DUMMYFUNCTION("""COMPUTED_VALUE"""),46332.0)</f>
        <v>46332</v>
      </c>
      <c r="AE21" s="6" t="str">
        <f>IFERROR(__xludf.DUMMYFUNCTION("""COMPUTED_VALUE"""),"Berlaku")</f>
        <v>Berlaku</v>
      </c>
      <c r="AF21" s="6" t="str">
        <f>IFERROR(__xludf.DUMMYFUNCTION("""COMPUTED_VALUE"""),"TUGU")</f>
        <v>TUGU</v>
      </c>
      <c r="AG21" s="6" t="str">
        <f>IFERROR(__xludf.DUMMYFUNCTION("""COMPUTED_VALUE"""),"AKTIF ")</f>
        <v>AKTIF </v>
      </c>
      <c r="AH21" s="6"/>
      <c r="AI21" s="6" t="str">
        <f>IFERROR(__xludf.DUMMYFUNCTION("""COMPUTED_VALUE"""),"Meremajakan MT E9446YB")</f>
        <v>Meremajakan MT E9446YB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>
      <c r="A22" s="6">
        <f>IFERROR(__xludf.DUMMYFUNCTION("""COMPUTED_VALUE"""),31.0)</f>
        <v>31</v>
      </c>
      <c r="B22" s="6" t="str">
        <f>IFERROR(__xludf.DUMMYFUNCTION("""COMPUTED_VALUE"""),"E9535YC")</f>
        <v>E9535YC</v>
      </c>
      <c r="C22" s="6" t="str">
        <f>IFERROR(__xludf.DUMMYFUNCTION("""COMPUTED_VALUE"""),"8+8+8")</f>
        <v>8+8+8</v>
      </c>
      <c r="D22" s="6">
        <f>IFERROR(__xludf.DUMMYFUNCTION("""COMPUTED_VALUE"""),24.0)</f>
        <v>24</v>
      </c>
      <c r="E22" s="6" t="str">
        <f>IFERROR(__xludf.DUMMYFUNCTION("""COMPUTED_VALUE"""),"PT. PUSPITA CIPTA")</f>
        <v>PT. PUSPITA CIPTA</v>
      </c>
      <c r="F22" s="6">
        <f>IFERROR(__xludf.DUMMYFUNCTION("""COMPUTED_VALUE"""),2025.0)</f>
        <v>2025</v>
      </c>
      <c r="G22" s="6">
        <f>IFERROR(__xludf.DUMMYFUNCTION("""COMPUTED_VALUE"""),2025.0)</f>
        <v>2025</v>
      </c>
      <c r="H22" s="6">
        <f>IFERROR(__xludf.DUMMYFUNCTION("""COMPUTED_VALUE"""),1.0)</f>
        <v>1</v>
      </c>
      <c r="I22" s="6" t="str">
        <f>IFERROR(__xludf.DUMMYFUNCTION("""COMPUTED_VALUE"""),"4028 T")</f>
        <v>4028 T</v>
      </c>
      <c r="J22" s="6">
        <f>IFERROR(__xludf.DUMMYFUNCTION("""COMPUTED_VALUE"""),6374.0)</f>
        <v>6374</v>
      </c>
      <c r="K22" s="6" t="str">
        <f>IFERROR(__xludf.DUMMYFUNCTION("""COMPUTED_VALUE"""),"EURO 5")</f>
        <v>EURO 5</v>
      </c>
      <c r="L22" s="6" t="str">
        <f>IFERROR(__xludf.DUMMYFUNCTION("""COMPUTED_VALUE"""),"Standart")</f>
        <v>Standart</v>
      </c>
      <c r="M22" s="6" t="str">
        <f>IFERROR(__xludf.DUMMYFUNCTION("""COMPUTED_VALUE"""),"Geluran Adikarya")</f>
        <v>Geluran Adikarya</v>
      </c>
      <c r="N22" s="6">
        <f>IFERROR(__xludf.DUMMYFUNCTION("""COMPUTED_VALUE"""),2014.0)</f>
        <v>2014</v>
      </c>
      <c r="O22" s="6">
        <f>IFERROR(__xludf.DUMMYFUNCTION("""COMPUTED_VALUE"""),12.0)</f>
        <v>12</v>
      </c>
      <c r="P22" s="6" t="str">
        <f>IFERROR(__xludf.DUMMYFUNCTION("""COMPUTED_VALUE"""),"AA")</f>
        <v>AA</v>
      </c>
      <c r="Q22" s="6" t="str">
        <f>IFERROR(__xludf.DUMMYFUNCTION("""COMPUTED_VALUE"""),"MERCEDES BENZ")</f>
        <v>MERCEDES BENZ</v>
      </c>
      <c r="R22" s="6" t="str">
        <f>IFERROR(__xludf.DUMMYFUNCTION("""COMPUTED_VALUE"""),"400953D0179262")</f>
        <v>400953D0179262</v>
      </c>
      <c r="S22" s="6" t="str">
        <f>IFERROR(__xludf.DUMMYFUNCTION("""COMPUTED_VALUE"""),"MFJ400262SJ004445")</f>
        <v>MFJ400262SJ004445</v>
      </c>
      <c r="T22" s="31">
        <f>IFERROR(__xludf.DUMMYFUNCTION("""COMPUTED_VALUE"""),47779.0)</f>
        <v>47779</v>
      </c>
      <c r="U22" s="6" t="str">
        <f>IFERROR(__xludf.DUMMYFUNCTION("""COMPUTED_VALUE"""),"Berlaku")</f>
        <v>Berlaku</v>
      </c>
      <c r="V22" s="31">
        <f>IFERROR(__xludf.DUMMYFUNCTION("""COMPUTED_VALUE"""),46318.0)</f>
        <v>46318</v>
      </c>
      <c r="W22" s="6" t="str">
        <f>IFERROR(__xludf.DUMMYFUNCTION("""COMPUTED_VALUE"""),"Akan Habis")</f>
        <v>Akan Habis</v>
      </c>
      <c r="X22" s="31">
        <f>IFERROR(__xludf.DUMMYFUNCTION("""COMPUTED_VALUE"""),46337.0)</f>
        <v>46337</v>
      </c>
      <c r="Y22" s="6" t="str">
        <f>IFERROR(__xludf.DUMMYFUNCTION("""COMPUTED_VALUE"""),"Akan Habis")</f>
        <v>Akan Habis</v>
      </c>
      <c r="Z22" s="31">
        <f>IFERROR(__xludf.DUMMYFUNCTION("""COMPUTED_VALUE"""),46337.0)</f>
        <v>46337</v>
      </c>
      <c r="AA22" s="6" t="str">
        <f>IFERROR(__xludf.DUMMYFUNCTION("""COMPUTED_VALUE"""),"Berlaku")</f>
        <v>Berlaku</v>
      </c>
      <c r="AB22" s="31">
        <f>IFERROR(__xludf.DUMMYFUNCTION("""COMPUTED_VALUE"""),46719.0)</f>
        <v>46719</v>
      </c>
      <c r="AC22" s="6" t="str">
        <f>IFERROR(__xludf.DUMMYFUNCTION("""COMPUTED_VALUE"""),"Berlaku")</f>
        <v>Berlaku</v>
      </c>
      <c r="AD22" s="33">
        <f>IFERROR(__xludf.DUMMYFUNCTION("""COMPUTED_VALUE"""),46373.0)</f>
        <v>46373</v>
      </c>
      <c r="AE22" s="6" t="str">
        <f>IFERROR(__xludf.DUMMYFUNCTION("""COMPUTED_VALUE"""),"Berlaku")</f>
        <v>Berlaku</v>
      </c>
      <c r="AF22" s="6" t="str">
        <f>IFERROR(__xludf.DUMMYFUNCTION("""COMPUTED_VALUE"""),"TUGU")</f>
        <v>TUGU</v>
      </c>
      <c r="AG22" s="6" t="str">
        <f>IFERROR(__xludf.DUMMYFUNCTION("""COMPUTED_VALUE"""),"AKTIF ")</f>
        <v>AKTIF </v>
      </c>
      <c r="AH22" s="6"/>
      <c r="AI22" s="6" t="str">
        <f>IFERROR(__xludf.DUMMYFUNCTION("""COMPUTED_VALUE"""),"Meremajakan MT E9452YB")</f>
        <v>Meremajakan MT E9452YB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>
      <c r="A23" s="6">
        <f>IFERROR(__xludf.DUMMYFUNCTION("""COMPUTED_VALUE"""),32.0)</f>
        <v>32</v>
      </c>
      <c r="B23" s="6" t="str">
        <f>IFERROR(__xludf.DUMMYFUNCTION("""COMPUTED_VALUE"""),"E9536YC")</f>
        <v>E9536YC</v>
      </c>
      <c r="C23" s="6" t="str">
        <f>IFERROR(__xludf.DUMMYFUNCTION("""COMPUTED_VALUE"""),"8+8+8")</f>
        <v>8+8+8</v>
      </c>
      <c r="D23" s="6">
        <f>IFERROR(__xludf.DUMMYFUNCTION("""COMPUTED_VALUE"""),24.0)</f>
        <v>24</v>
      </c>
      <c r="E23" s="6" t="str">
        <f>IFERROR(__xludf.DUMMYFUNCTION("""COMPUTED_VALUE"""),"PT. PUSPITA CIPTA")</f>
        <v>PT. PUSPITA CIPTA</v>
      </c>
      <c r="F23" s="6">
        <f>IFERROR(__xludf.DUMMYFUNCTION("""COMPUTED_VALUE"""),2025.0)</f>
        <v>2025</v>
      </c>
      <c r="G23" s="6">
        <f>IFERROR(__xludf.DUMMYFUNCTION("""COMPUTED_VALUE"""),2025.0)</f>
        <v>2025</v>
      </c>
      <c r="H23" s="6">
        <f>IFERROR(__xludf.DUMMYFUNCTION("""COMPUTED_VALUE"""),1.0)</f>
        <v>1</v>
      </c>
      <c r="I23" s="6" t="str">
        <f>IFERROR(__xludf.DUMMYFUNCTION("""COMPUTED_VALUE"""),"4028 T")</f>
        <v>4028 T</v>
      </c>
      <c r="J23" s="6">
        <f>IFERROR(__xludf.DUMMYFUNCTION("""COMPUTED_VALUE"""),6374.0)</f>
        <v>6374</v>
      </c>
      <c r="K23" s="6" t="str">
        <f>IFERROR(__xludf.DUMMYFUNCTION("""COMPUTED_VALUE"""),"EURO 5")</f>
        <v>EURO 5</v>
      </c>
      <c r="L23" s="6" t="str">
        <f>IFERROR(__xludf.DUMMYFUNCTION("""COMPUTED_VALUE"""),"Standart")</f>
        <v>Standart</v>
      </c>
      <c r="M23" s="6" t="str">
        <f>IFERROR(__xludf.DUMMYFUNCTION("""COMPUTED_VALUE"""),"Geluran Adikarya")</f>
        <v>Geluran Adikarya</v>
      </c>
      <c r="N23" s="6">
        <f>IFERROR(__xludf.DUMMYFUNCTION("""COMPUTED_VALUE"""),2015.0)</f>
        <v>2015</v>
      </c>
      <c r="O23" s="6">
        <f>IFERROR(__xludf.DUMMYFUNCTION("""COMPUTED_VALUE"""),11.0)</f>
        <v>11</v>
      </c>
      <c r="P23" s="6" t="str">
        <f>IFERROR(__xludf.DUMMYFUNCTION("""COMPUTED_VALUE"""),"AA")</f>
        <v>AA</v>
      </c>
      <c r="Q23" s="6" t="str">
        <f>IFERROR(__xludf.DUMMYFUNCTION("""COMPUTED_VALUE"""),"MERCEDES BENZ")</f>
        <v>MERCEDES BENZ</v>
      </c>
      <c r="R23" s="6" t="str">
        <f>IFERROR(__xludf.DUMMYFUNCTION("""COMPUTED_VALUE"""),"400953D0176070")</f>
        <v>400953D0176070</v>
      </c>
      <c r="S23" s="6" t="str">
        <f>IFERROR(__xludf.DUMMYFUNCTION("""COMPUTED_VALUE"""),"MFJ400262SJ004451")</f>
        <v>MFJ400262SJ004451</v>
      </c>
      <c r="T23" s="31">
        <f>IFERROR(__xludf.DUMMYFUNCTION("""COMPUTED_VALUE"""),47779.0)</f>
        <v>47779</v>
      </c>
      <c r="U23" s="6" t="str">
        <f>IFERROR(__xludf.DUMMYFUNCTION("""COMPUTED_VALUE"""),"Berlaku")</f>
        <v>Berlaku</v>
      </c>
      <c r="V23" s="31">
        <f>IFERROR(__xludf.DUMMYFUNCTION("""COMPUTED_VALUE"""),46318.0)</f>
        <v>46318</v>
      </c>
      <c r="W23" s="6" t="str">
        <f>IFERROR(__xludf.DUMMYFUNCTION("""COMPUTED_VALUE"""),"Akan Habis")</f>
        <v>Akan Habis</v>
      </c>
      <c r="X23" s="31">
        <f>IFERROR(__xludf.DUMMYFUNCTION("""COMPUTED_VALUE"""),46337.0)</f>
        <v>46337</v>
      </c>
      <c r="Y23" s="6" t="str">
        <f>IFERROR(__xludf.DUMMYFUNCTION("""COMPUTED_VALUE"""),"Akan Habis")</f>
        <v>Akan Habis</v>
      </c>
      <c r="Z23" s="31">
        <f>IFERROR(__xludf.DUMMYFUNCTION("""COMPUTED_VALUE"""),46337.0)</f>
        <v>46337</v>
      </c>
      <c r="AA23" s="6" t="str">
        <f>IFERROR(__xludf.DUMMYFUNCTION("""COMPUTED_VALUE"""),"Berlaku")</f>
        <v>Berlaku</v>
      </c>
      <c r="AB23" s="31">
        <f>IFERROR(__xludf.DUMMYFUNCTION("""COMPUTED_VALUE"""),46717.0)</f>
        <v>46717</v>
      </c>
      <c r="AC23" s="6" t="str">
        <f>IFERROR(__xludf.DUMMYFUNCTION("""COMPUTED_VALUE"""),"Berlaku")</f>
        <v>Berlaku</v>
      </c>
      <c r="AD23" s="33">
        <f>IFERROR(__xludf.DUMMYFUNCTION("""COMPUTED_VALUE"""),46373.0)</f>
        <v>46373</v>
      </c>
      <c r="AE23" s="6" t="str">
        <f>IFERROR(__xludf.DUMMYFUNCTION("""COMPUTED_VALUE"""),"Berlaku")</f>
        <v>Berlaku</v>
      </c>
      <c r="AF23" s="6" t="str">
        <f>IFERROR(__xludf.DUMMYFUNCTION("""COMPUTED_VALUE"""),"TUGU")</f>
        <v>TUGU</v>
      </c>
      <c r="AG23" s="6" t="str">
        <f>IFERROR(__xludf.DUMMYFUNCTION("""COMPUTED_VALUE"""),"AKTIF ")</f>
        <v>AKTIF </v>
      </c>
      <c r="AH23" s="6"/>
      <c r="AI23" s="6" t="str">
        <f>IFERROR(__xludf.DUMMYFUNCTION("""COMPUTED_VALUE"""),"Meremajakan MT E9453YB")</f>
        <v>Meremajakan MT E9453YB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>
      <c r="A24" s="6">
        <f>IFERROR(__xludf.DUMMYFUNCTION("""COMPUTED_VALUE"""),33.0)</f>
        <v>33</v>
      </c>
      <c r="B24" s="6" t="str">
        <f>IFERROR(__xludf.DUMMYFUNCTION("""COMPUTED_VALUE"""),"E9537YC")</f>
        <v>E9537YC</v>
      </c>
      <c r="C24" s="6" t="str">
        <f>IFERROR(__xludf.DUMMYFUNCTION("""COMPUTED_VALUE"""),"8+8+8")</f>
        <v>8+8+8</v>
      </c>
      <c r="D24" s="6">
        <f>IFERROR(__xludf.DUMMYFUNCTION("""COMPUTED_VALUE"""),24.0)</f>
        <v>24</v>
      </c>
      <c r="E24" s="6" t="str">
        <f>IFERROR(__xludf.DUMMYFUNCTION("""COMPUTED_VALUE"""),"PT. PUSPITA CIPTA")</f>
        <v>PT. PUSPITA CIPTA</v>
      </c>
      <c r="F24" s="6">
        <f>IFERROR(__xludf.DUMMYFUNCTION("""COMPUTED_VALUE"""),2025.0)</f>
        <v>2025</v>
      </c>
      <c r="G24" s="6">
        <f>IFERROR(__xludf.DUMMYFUNCTION("""COMPUTED_VALUE"""),2025.0)</f>
        <v>2025</v>
      </c>
      <c r="H24" s="6">
        <f>IFERROR(__xludf.DUMMYFUNCTION("""COMPUTED_VALUE"""),1.0)</f>
        <v>1</v>
      </c>
      <c r="I24" s="6" t="str">
        <f>IFERROR(__xludf.DUMMYFUNCTION("""COMPUTED_VALUE"""),"4028 T")</f>
        <v>4028 T</v>
      </c>
      <c r="J24" s="6">
        <f>IFERROR(__xludf.DUMMYFUNCTION("""COMPUTED_VALUE"""),6374.0)</f>
        <v>6374</v>
      </c>
      <c r="K24" s="6" t="str">
        <f>IFERROR(__xludf.DUMMYFUNCTION("""COMPUTED_VALUE"""),"EURO 5")</f>
        <v>EURO 5</v>
      </c>
      <c r="L24" s="6" t="str">
        <f>IFERROR(__xludf.DUMMYFUNCTION("""COMPUTED_VALUE"""),"Standart")</f>
        <v>Standart</v>
      </c>
      <c r="M24" s="6" t="str">
        <f>IFERROR(__xludf.DUMMYFUNCTION("""COMPUTED_VALUE"""),"Geluran Adikarya")</f>
        <v>Geluran Adikarya</v>
      </c>
      <c r="N24" s="6">
        <f>IFERROR(__xludf.DUMMYFUNCTION("""COMPUTED_VALUE"""),2015.0)</f>
        <v>2015</v>
      </c>
      <c r="O24" s="6">
        <f>IFERROR(__xludf.DUMMYFUNCTION("""COMPUTED_VALUE"""),11.0)</f>
        <v>11</v>
      </c>
      <c r="P24" s="6" t="str">
        <f>IFERROR(__xludf.DUMMYFUNCTION("""COMPUTED_VALUE"""),"AA")</f>
        <v>AA</v>
      </c>
      <c r="Q24" s="6" t="str">
        <f>IFERROR(__xludf.DUMMYFUNCTION("""COMPUTED_VALUE"""),"MERCEDES BENZ")</f>
        <v>MERCEDES BENZ</v>
      </c>
      <c r="R24" s="6" t="str">
        <f>IFERROR(__xludf.DUMMYFUNCTION("""COMPUTED_VALUE"""),"400953D0179282")</f>
        <v>400953D0179282</v>
      </c>
      <c r="S24" s="6" t="str">
        <f>IFERROR(__xludf.DUMMYFUNCTION("""COMPUTED_VALUE"""),"MFJ400262SJ004442")</f>
        <v>MFJ400262SJ004442</v>
      </c>
      <c r="T24" s="31">
        <f>IFERROR(__xludf.DUMMYFUNCTION("""COMPUTED_VALUE"""),47779.0)</f>
        <v>47779</v>
      </c>
      <c r="U24" s="6" t="str">
        <f>IFERROR(__xludf.DUMMYFUNCTION("""COMPUTED_VALUE"""),"Berlaku")</f>
        <v>Berlaku</v>
      </c>
      <c r="V24" s="31">
        <f>IFERROR(__xludf.DUMMYFUNCTION("""COMPUTED_VALUE"""),46318.0)</f>
        <v>46318</v>
      </c>
      <c r="W24" s="6" t="str">
        <f>IFERROR(__xludf.DUMMYFUNCTION("""COMPUTED_VALUE"""),"Akan Habis")</f>
        <v>Akan Habis</v>
      </c>
      <c r="X24" s="31">
        <f>IFERROR(__xludf.DUMMYFUNCTION("""COMPUTED_VALUE"""),46337.0)</f>
        <v>46337</v>
      </c>
      <c r="Y24" s="6" t="str">
        <f>IFERROR(__xludf.DUMMYFUNCTION("""COMPUTED_VALUE"""),"Akan Habis")</f>
        <v>Akan Habis</v>
      </c>
      <c r="Z24" s="31">
        <f>IFERROR(__xludf.DUMMYFUNCTION("""COMPUTED_VALUE"""),46337.0)</f>
        <v>46337</v>
      </c>
      <c r="AA24" s="6" t="str">
        <f>IFERROR(__xludf.DUMMYFUNCTION("""COMPUTED_VALUE"""),"Berlaku")</f>
        <v>Berlaku</v>
      </c>
      <c r="AB24" s="31">
        <f>IFERROR(__xludf.DUMMYFUNCTION("""COMPUTED_VALUE"""),46718.0)</f>
        <v>46718</v>
      </c>
      <c r="AC24" s="6" t="str">
        <f>IFERROR(__xludf.DUMMYFUNCTION("""COMPUTED_VALUE"""),"Berlaku")</f>
        <v>Berlaku</v>
      </c>
      <c r="AD24" s="33">
        <f>IFERROR(__xludf.DUMMYFUNCTION("""COMPUTED_VALUE"""),46373.0)</f>
        <v>46373</v>
      </c>
      <c r="AE24" s="6" t="str">
        <f>IFERROR(__xludf.DUMMYFUNCTION("""COMPUTED_VALUE"""),"Berlaku")</f>
        <v>Berlaku</v>
      </c>
      <c r="AF24" s="6" t="str">
        <f>IFERROR(__xludf.DUMMYFUNCTION("""COMPUTED_VALUE"""),"TUGU")</f>
        <v>TUGU</v>
      </c>
      <c r="AG24" s="6" t="str">
        <f>IFERROR(__xludf.DUMMYFUNCTION("""COMPUTED_VALUE"""),"AKTIF ")</f>
        <v>AKTIF </v>
      </c>
      <c r="AH24" s="6"/>
      <c r="AI24" s="6" t="str">
        <f>IFERROR(__xludf.DUMMYFUNCTION("""COMPUTED_VALUE"""),"Meremajakan MT E9454YB")</f>
        <v>Meremajakan MT E9454YB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>
      <c r="A25" s="6">
        <f>IFERROR(__xludf.DUMMYFUNCTION("""COMPUTED_VALUE"""),34.0)</f>
        <v>34</v>
      </c>
      <c r="B25" s="6" t="str">
        <f>IFERROR(__xludf.DUMMYFUNCTION("""COMPUTED_VALUE"""),"E9542YC")</f>
        <v>E9542YC</v>
      </c>
      <c r="C25" s="6" t="str">
        <f>IFERROR(__xludf.DUMMYFUNCTION("""COMPUTED_VALUE"""),"8+8+8")</f>
        <v>8+8+8</v>
      </c>
      <c r="D25" s="6">
        <f>IFERROR(__xludf.DUMMYFUNCTION("""COMPUTED_VALUE"""),24.0)</f>
        <v>24</v>
      </c>
      <c r="E25" s="6" t="str">
        <f>IFERROR(__xludf.DUMMYFUNCTION("""COMPUTED_VALUE"""),"PT. PUSPITA CIPTA")</f>
        <v>PT. PUSPITA CIPTA</v>
      </c>
      <c r="F25" s="6">
        <f>IFERROR(__xludf.DUMMYFUNCTION("""COMPUTED_VALUE"""),2025.0)</f>
        <v>2025</v>
      </c>
      <c r="G25" s="6">
        <f>IFERROR(__xludf.DUMMYFUNCTION("""COMPUTED_VALUE"""),2025.0)</f>
        <v>2025</v>
      </c>
      <c r="H25" s="6">
        <f>IFERROR(__xludf.DUMMYFUNCTION("""COMPUTED_VALUE"""),1.0)</f>
        <v>1</v>
      </c>
      <c r="I25" s="6" t="str">
        <f>IFERROR(__xludf.DUMMYFUNCTION("""COMPUTED_VALUE"""),"4028 T")</f>
        <v>4028 T</v>
      </c>
      <c r="J25" s="6">
        <f>IFERROR(__xludf.DUMMYFUNCTION("""COMPUTED_VALUE"""),6374.0)</f>
        <v>6374</v>
      </c>
      <c r="K25" s="6" t="str">
        <f>IFERROR(__xludf.DUMMYFUNCTION("""COMPUTED_VALUE"""),"EURO 5")</f>
        <v>EURO 5</v>
      </c>
      <c r="L25" s="6" t="str">
        <f>IFERROR(__xludf.DUMMYFUNCTION("""COMPUTED_VALUE"""),"Standart")</f>
        <v>Standart</v>
      </c>
      <c r="M25" s="6" t="str">
        <f>IFERROR(__xludf.DUMMYFUNCTION("""COMPUTED_VALUE"""),"Geluran Adikarya")</f>
        <v>Geluran Adikarya</v>
      </c>
      <c r="N25" s="6">
        <f>IFERROR(__xludf.DUMMYFUNCTION("""COMPUTED_VALUE"""),2015.0)</f>
        <v>2015</v>
      </c>
      <c r="O25" s="6">
        <f>IFERROR(__xludf.DUMMYFUNCTION("""COMPUTED_VALUE"""),11.0)</f>
        <v>11</v>
      </c>
      <c r="P25" s="6" t="str">
        <f>IFERROR(__xludf.DUMMYFUNCTION("""COMPUTED_VALUE"""),"AA")</f>
        <v>AA</v>
      </c>
      <c r="Q25" s="6" t="str">
        <f>IFERROR(__xludf.DUMMYFUNCTION("""COMPUTED_VALUE"""),"MERCEDES BENZ")</f>
        <v>MERCEDES BENZ</v>
      </c>
      <c r="R25" s="6" t="str">
        <f>IFERROR(__xludf.DUMMYFUNCTION("""COMPUTED_VALUE"""),"40095300195040")</f>
        <v>40095300195040</v>
      </c>
      <c r="S25" s="6" t="str">
        <f>IFERROR(__xludf.DUMMYFUNCTION("""COMPUTED_VALUE"""),"MFJ400262SJ004768")</f>
        <v>MFJ400262SJ004768</v>
      </c>
      <c r="T25" s="31">
        <f>IFERROR(__xludf.DUMMYFUNCTION("""COMPUTED_VALUE"""),47801.0)</f>
        <v>47801</v>
      </c>
      <c r="U25" s="6" t="str">
        <f>IFERROR(__xludf.DUMMYFUNCTION("""COMPUTED_VALUE"""),"Berlaku")</f>
        <v>Berlaku</v>
      </c>
      <c r="V25" s="31">
        <f>IFERROR(__xludf.DUMMYFUNCTION("""COMPUTED_VALUE"""),46340.0)</f>
        <v>46340</v>
      </c>
      <c r="W25" s="6" t="str">
        <f>IFERROR(__xludf.DUMMYFUNCTION("""COMPUTED_VALUE"""),"Akan Habis")</f>
        <v>Akan Habis</v>
      </c>
      <c r="X25" s="31">
        <f>IFERROR(__xludf.DUMMYFUNCTION("""COMPUTED_VALUE"""),46337.0)</f>
        <v>46337</v>
      </c>
      <c r="Y25" s="6" t="str">
        <f>IFERROR(__xludf.DUMMYFUNCTION("""COMPUTED_VALUE"""),"Akan Habis")</f>
        <v>Akan Habis</v>
      </c>
      <c r="Z25" s="31">
        <f>IFERROR(__xludf.DUMMYFUNCTION("""COMPUTED_VALUE"""),46337.0)</f>
        <v>46337</v>
      </c>
      <c r="AA25" s="6" t="str">
        <f>IFERROR(__xludf.DUMMYFUNCTION("""COMPUTED_VALUE"""),"Berlaku")</f>
        <v>Berlaku</v>
      </c>
      <c r="AB25" s="31">
        <f>IFERROR(__xludf.DUMMYFUNCTION("""COMPUTED_VALUE"""),46723.0)</f>
        <v>46723</v>
      </c>
      <c r="AC25" s="6" t="str">
        <f>IFERROR(__xludf.DUMMYFUNCTION("""COMPUTED_VALUE"""),"Berlaku")</f>
        <v>Berlaku</v>
      </c>
      <c r="AD25" s="33">
        <f>IFERROR(__xludf.DUMMYFUNCTION("""COMPUTED_VALUE"""),46374.0)</f>
        <v>46374</v>
      </c>
      <c r="AE25" s="6" t="str">
        <f>IFERROR(__xludf.DUMMYFUNCTION("""COMPUTED_VALUE"""),"Berlaku")</f>
        <v>Berlaku</v>
      </c>
      <c r="AF25" s="6" t="str">
        <f>IFERROR(__xludf.DUMMYFUNCTION("""COMPUTED_VALUE"""),"TUGU")</f>
        <v>TUGU</v>
      </c>
      <c r="AG25" s="6" t="str">
        <f>IFERROR(__xludf.DUMMYFUNCTION("""COMPUTED_VALUE"""),"AKTIF ")</f>
        <v>AKTIF </v>
      </c>
      <c r="AH25" s="6"/>
      <c r="AI25" s="6" t="str">
        <f>IFERROR(__xludf.DUMMYFUNCTION("""COMPUTED_VALUE"""),"Meremajakan MT E9456YB")</f>
        <v>Meremajakan MT E9456YB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>
      <c r="A26" s="6">
        <f>IFERROR(__xludf.DUMMYFUNCTION("""COMPUTED_VALUE"""),35.0)</f>
        <v>35</v>
      </c>
      <c r="B26" s="6" t="str">
        <f>IFERROR(__xludf.DUMMYFUNCTION("""COMPUTED_VALUE"""),"E9547YC")</f>
        <v>E9547YC</v>
      </c>
      <c r="C26" s="6" t="str">
        <f>IFERROR(__xludf.DUMMYFUNCTION("""COMPUTED_VALUE"""),"8+8+8")</f>
        <v>8+8+8</v>
      </c>
      <c r="D26" s="6">
        <f>IFERROR(__xludf.DUMMYFUNCTION("""COMPUTED_VALUE"""),24.0)</f>
        <v>24</v>
      </c>
      <c r="E26" s="6" t="str">
        <f>IFERROR(__xludf.DUMMYFUNCTION("""COMPUTED_VALUE"""),"PT. PUSPITA CIPTA")</f>
        <v>PT. PUSPITA CIPTA</v>
      </c>
      <c r="F26" s="6">
        <f>IFERROR(__xludf.DUMMYFUNCTION("""COMPUTED_VALUE"""),2025.0)</f>
        <v>2025</v>
      </c>
      <c r="G26" s="6">
        <f>IFERROR(__xludf.DUMMYFUNCTION("""COMPUTED_VALUE"""),2025.0)</f>
        <v>2025</v>
      </c>
      <c r="H26" s="6">
        <f>IFERROR(__xludf.DUMMYFUNCTION("""COMPUTED_VALUE"""),1.0)</f>
        <v>1</v>
      </c>
      <c r="I26" s="6" t="str">
        <f>IFERROR(__xludf.DUMMYFUNCTION("""COMPUTED_VALUE"""),"4028 T")</f>
        <v>4028 T</v>
      </c>
      <c r="J26" s="6">
        <f>IFERROR(__xludf.DUMMYFUNCTION("""COMPUTED_VALUE"""),6374.0)</f>
        <v>6374</v>
      </c>
      <c r="K26" s="6" t="str">
        <f>IFERROR(__xludf.DUMMYFUNCTION("""COMPUTED_VALUE"""),"EURO 5")</f>
        <v>EURO 5</v>
      </c>
      <c r="L26" s="6" t="str">
        <f>IFERROR(__xludf.DUMMYFUNCTION("""COMPUTED_VALUE"""),"Standart")</f>
        <v>Standart</v>
      </c>
      <c r="M26" s="6" t="str">
        <f>IFERROR(__xludf.DUMMYFUNCTION("""COMPUTED_VALUE"""),"Geluran Adikarya")</f>
        <v>Geluran Adikarya</v>
      </c>
      <c r="N26" s="6">
        <f>IFERROR(__xludf.DUMMYFUNCTION("""COMPUTED_VALUE"""),2015.0)</f>
        <v>2015</v>
      </c>
      <c r="O26" s="6">
        <f>IFERROR(__xludf.DUMMYFUNCTION("""COMPUTED_VALUE"""),11.0)</f>
        <v>11</v>
      </c>
      <c r="P26" s="6" t="str">
        <f>IFERROR(__xludf.DUMMYFUNCTION("""COMPUTED_VALUE"""),"AA")</f>
        <v>AA</v>
      </c>
      <c r="Q26" s="6" t="str">
        <f>IFERROR(__xludf.DUMMYFUNCTION("""COMPUTED_VALUE"""),"MERCEDES BENZ")</f>
        <v>MERCEDES BENZ</v>
      </c>
      <c r="R26" s="6" t="str">
        <f>IFERROR(__xludf.DUMMYFUNCTION("""COMPUTED_VALUE"""),"400953D0195081")</f>
        <v>400953D0195081</v>
      </c>
      <c r="S26" s="6" t="str">
        <f>IFERROR(__xludf.DUMMYFUNCTION("""COMPUTED_VALUE"""),"MFJ400262SJ004774")</f>
        <v>MFJ400262SJ004774</v>
      </c>
      <c r="T26" s="31">
        <f>IFERROR(__xludf.DUMMYFUNCTION("""COMPUTED_VALUE"""),47801.0)</f>
        <v>47801</v>
      </c>
      <c r="U26" s="6" t="str">
        <f>IFERROR(__xludf.DUMMYFUNCTION("""COMPUTED_VALUE"""),"Berlaku")</f>
        <v>Berlaku</v>
      </c>
      <c r="V26" s="31">
        <f>IFERROR(__xludf.DUMMYFUNCTION("""COMPUTED_VALUE"""),46340.0)</f>
        <v>46340</v>
      </c>
      <c r="W26" s="6" t="str">
        <f>IFERROR(__xludf.DUMMYFUNCTION("""COMPUTED_VALUE"""),"Akan Habis")</f>
        <v>Akan Habis</v>
      </c>
      <c r="X26" s="31">
        <f>IFERROR(__xludf.DUMMYFUNCTION("""COMPUTED_VALUE"""),46337.0)</f>
        <v>46337</v>
      </c>
      <c r="Y26" s="6" t="str">
        <f>IFERROR(__xludf.DUMMYFUNCTION("""COMPUTED_VALUE"""),"Akan Habis")</f>
        <v>Akan Habis</v>
      </c>
      <c r="Z26" s="31">
        <f>IFERROR(__xludf.DUMMYFUNCTION("""COMPUTED_VALUE"""),46337.0)</f>
        <v>46337</v>
      </c>
      <c r="AA26" s="6" t="str">
        <f>IFERROR(__xludf.DUMMYFUNCTION("""COMPUTED_VALUE"""),"Berlaku")</f>
        <v>Berlaku</v>
      </c>
      <c r="AB26" s="31">
        <f>IFERROR(__xludf.DUMMYFUNCTION("""COMPUTED_VALUE"""),46724.0)</f>
        <v>46724</v>
      </c>
      <c r="AC26" s="6" t="str">
        <f>IFERROR(__xludf.DUMMYFUNCTION("""COMPUTED_VALUE"""),"Berlaku")</f>
        <v>Berlaku</v>
      </c>
      <c r="AD26" s="33">
        <f>IFERROR(__xludf.DUMMYFUNCTION("""COMPUTED_VALUE"""),46374.0)</f>
        <v>46374</v>
      </c>
      <c r="AE26" s="6" t="str">
        <f>IFERROR(__xludf.DUMMYFUNCTION("""COMPUTED_VALUE"""),"Berlaku")</f>
        <v>Berlaku</v>
      </c>
      <c r="AF26" s="6" t="str">
        <f>IFERROR(__xludf.DUMMYFUNCTION("""COMPUTED_VALUE"""),"TUGU")</f>
        <v>TUGU</v>
      </c>
      <c r="AG26" s="6" t="str">
        <f>IFERROR(__xludf.DUMMYFUNCTION("""COMPUTED_VALUE"""),"AKTIF ")</f>
        <v>AKTIF </v>
      </c>
      <c r="AH26" s="6"/>
      <c r="AI26" s="6" t="str">
        <f>IFERROR(__xludf.DUMMYFUNCTION("""COMPUTED_VALUE"""),"Meremajakan MT E9457YB")</f>
        <v>Meremajakan MT E9457YB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>
      <c r="A27" s="6">
        <f>IFERROR(__xludf.DUMMYFUNCTION("""COMPUTED_VALUE"""),37.0)</f>
        <v>37</v>
      </c>
      <c r="B27" s="6" t="str">
        <f>IFERROR(__xludf.DUMMYFUNCTION("""COMPUTED_VALUE"""),"N9086UI")</f>
        <v>N9086UI</v>
      </c>
      <c r="C27" s="6" t="str">
        <f>IFERROR(__xludf.DUMMYFUNCTION("""COMPUTED_VALUE"""),"8+8")</f>
        <v>8+8</v>
      </c>
      <c r="D27" s="6">
        <f>IFERROR(__xludf.DUMMYFUNCTION("""COMPUTED_VALUE"""),16.0)</f>
        <v>16</v>
      </c>
      <c r="E27" s="6" t="str">
        <f>IFERROR(__xludf.DUMMYFUNCTION("""COMPUTED_VALUE"""),"PT. SINAR WAHANA SURYA")</f>
        <v>PT. SINAR WAHANA SURYA</v>
      </c>
      <c r="F27" s="6">
        <f>IFERROR(__xludf.DUMMYFUNCTION("""COMPUTED_VALUE"""),2022.0)</f>
        <v>2022</v>
      </c>
      <c r="G27" s="6">
        <f>IFERROR(__xludf.DUMMYFUNCTION("""COMPUTED_VALUE"""),2023.0)</f>
        <v>2023</v>
      </c>
      <c r="H27" s="6">
        <f>IFERROR(__xludf.DUMMYFUNCTION("""COMPUTED_VALUE"""),4.0)</f>
        <v>4</v>
      </c>
      <c r="I27" s="6" t="str">
        <f>IFERROR(__xludf.DUMMYFUNCTION("""COMPUTED_VALUE"""),"CDE 250 6X2R WB4300MM E5 ABS M/T")</f>
        <v>CDE 250 6X2R WB4300MM E5 ABS M/T</v>
      </c>
      <c r="J27" s="6">
        <f>IFERROR(__xludf.DUMMYFUNCTION("""COMPUTED_VALUE"""),7698.0)</f>
        <v>7698</v>
      </c>
      <c r="K27" s="6" t="str">
        <f>IFERROR(__xludf.DUMMYFUNCTION("""COMPUTED_VALUE"""),"EURO 5")</f>
        <v>EURO 5</v>
      </c>
      <c r="L27" s="6" t="str">
        <f>IFERROR(__xludf.DUMMYFUNCTION("""COMPUTED_VALUE"""),"Standart")</f>
        <v>Standart</v>
      </c>
      <c r="M27" s="6" t="str">
        <f>IFERROR(__xludf.DUMMYFUNCTION("""COMPUTED_VALUE"""),"Aweco")</f>
        <v>Aweco</v>
      </c>
      <c r="N27" s="6">
        <f>IFERROR(__xludf.DUMMYFUNCTION("""COMPUTED_VALUE"""),2023.0)</f>
        <v>2023</v>
      </c>
      <c r="O27" s="6">
        <f>IFERROR(__xludf.DUMMYFUNCTION("""COMPUTED_VALUE"""),3.0)</f>
        <v>3</v>
      </c>
      <c r="P27" s="6" t="str">
        <f>IFERROR(__xludf.DUMMYFUNCTION("""COMPUTED_VALUE"""),"CS")</f>
        <v>CS</v>
      </c>
      <c r="Q27" s="6" t="str">
        <f>IFERROR(__xludf.DUMMYFUNCTION("""COMPUTED_VALUE"""),"UD TRUCKS")</f>
        <v>UD TRUCKS</v>
      </c>
      <c r="R27" s="6" t="str">
        <f>IFERROR(__xludf.DUMMYFUNCTION("""COMPUTED_VALUE"""),"GH8E583330C1P")</f>
        <v>GH8E583330C1P</v>
      </c>
      <c r="S27" s="6" t="str">
        <f>IFERROR(__xludf.DUMMYFUNCTION("""COMPUTED_VALUE"""),"MFFCDA30GNK820477")</f>
        <v>MFFCDA30GNK820477</v>
      </c>
      <c r="T27" s="31">
        <f>IFERROR(__xludf.DUMMYFUNCTION("""COMPUTED_VALUE"""),47102.0)</f>
        <v>47102</v>
      </c>
      <c r="U27" s="6" t="str">
        <f>IFERROR(__xludf.DUMMYFUNCTION("""COMPUTED_VALUE"""),"Berlaku")</f>
        <v>Berlaku</v>
      </c>
      <c r="V27" s="31">
        <f>IFERROR(__xludf.DUMMYFUNCTION("""COMPUTED_VALUE"""),46371.0)</f>
        <v>46371</v>
      </c>
      <c r="W27" s="6" t="str">
        <f>IFERROR(__xludf.DUMMYFUNCTION("""COMPUTED_VALUE"""),"Berlaku")</f>
        <v>Berlaku</v>
      </c>
      <c r="X27" s="31"/>
      <c r="Y27" s="6" t="str">
        <f>IFERROR(__xludf.DUMMYFUNCTION("""COMPUTED_VALUE"""),"Habis")</f>
        <v>Habis</v>
      </c>
      <c r="Z27" s="31">
        <f>IFERROR(__xludf.DUMMYFUNCTION("""COMPUTED_VALUE"""),46367.0)</f>
        <v>46367</v>
      </c>
      <c r="AA27" s="6" t="str">
        <f>IFERROR(__xludf.DUMMYFUNCTION("""COMPUTED_VALUE"""),"Berlaku")</f>
        <v>Berlaku</v>
      </c>
      <c r="AB27" s="31">
        <f>IFERROR(__xludf.DUMMYFUNCTION("""COMPUTED_VALUE"""),46765.0)</f>
        <v>46765</v>
      </c>
      <c r="AC27" s="6" t="str">
        <f>IFERROR(__xludf.DUMMYFUNCTION("""COMPUTED_VALUE"""),"Berlaku")</f>
        <v>Berlaku</v>
      </c>
      <c r="AD27" s="33">
        <f>IFERROR(__xludf.DUMMYFUNCTION("""COMPUTED_VALUE"""),46360.0)</f>
        <v>46360</v>
      </c>
      <c r="AE27" s="6" t="str">
        <f>IFERROR(__xludf.DUMMYFUNCTION("""COMPUTED_VALUE"""),"Berlaku")</f>
        <v>Berlaku</v>
      </c>
      <c r="AF27" s="6" t="str">
        <f>IFERROR(__xludf.DUMMYFUNCTION("""COMPUTED_VALUE"""),"TUGU (MANDIRI)")</f>
        <v>TUGU (MANDIRI)</v>
      </c>
      <c r="AG27" s="6" t="str">
        <f>IFERROR(__xludf.DUMMYFUNCTION("""COMPUTED_VALUE"""),"AKTIF ")</f>
        <v>AKTIF </v>
      </c>
      <c r="AH27" s="6"/>
      <c r="AI27" s="6" t="str">
        <f>IFERROR(__xludf.DUMMYFUNCTION("""COMPUTED_VALUE"""),"Menggantikan MT AA 8711 OF")</f>
        <v>Menggantikan MT AA 8711 OF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>
      <c r="A28" s="6">
        <f>IFERROR(__xludf.DUMMYFUNCTION("""COMPUTED_VALUE"""),38.0)</f>
        <v>38</v>
      </c>
      <c r="B28" s="6" t="str">
        <f>IFERROR(__xludf.DUMMYFUNCTION("""COMPUTED_VALUE"""),"N9326UI")</f>
        <v>N9326UI</v>
      </c>
      <c r="C28" s="6" t="str">
        <f>IFERROR(__xludf.DUMMYFUNCTION("""COMPUTED_VALUE"""),"8+8")</f>
        <v>8+8</v>
      </c>
      <c r="D28" s="6">
        <f>IFERROR(__xludf.DUMMYFUNCTION("""COMPUTED_VALUE"""),16.0)</f>
        <v>16</v>
      </c>
      <c r="E28" s="6" t="str">
        <f>IFERROR(__xludf.DUMMYFUNCTION("""COMPUTED_VALUE"""),"PT. SINAR WAHANA SURYA")</f>
        <v>PT. SINAR WAHANA SURYA</v>
      </c>
      <c r="F28" s="6">
        <f>IFERROR(__xludf.DUMMYFUNCTION("""COMPUTED_VALUE"""),2022.0)</f>
        <v>2022</v>
      </c>
      <c r="G28" s="6">
        <f>IFERROR(__xludf.DUMMYFUNCTION("""COMPUTED_VALUE"""),2023.0)</f>
        <v>2023</v>
      </c>
      <c r="H28" s="6">
        <f>IFERROR(__xludf.DUMMYFUNCTION("""COMPUTED_VALUE"""),4.0)</f>
        <v>4</v>
      </c>
      <c r="I28" s="6" t="str">
        <f>IFERROR(__xludf.DUMMYFUNCTION("""COMPUTED_VALUE"""),"CDE 250 6X2R WB4300MM E5 ABS M/T")</f>
        <v>CDE 250 6X2R WB4300MM E5 ABS M/T</v>
      </c>
      <c r="J28" s="6">
        <f>IFERROR(__xludf.DUMMYFUNCTION("""COMPUTED_VALUE"""),7698.0)</f>
        <v>7698</v>
      </c>
      <c r="K28" s="6" t="str">
        <f>IFERROR(__xludf.DUMMYFUNCTION("""COMPUTED_VALUE"""),"EURO 5")</f>
        <v>EURO 5</v>
      </c>
      <c r="L28" s="6" t="str">
        <f>IFERROR(__xludf.DUMMYFUNCTION("""COMPUTED_VALUE"""),"Standart")</f>
        <v>Standart</v>
      </c>
      <c r="M28" s="6" t="str">
        <f>IFERROR(__xludf.DUMMYFUNCTION("""COMPUTED_VALUE"""),"Aweco")</f>
        <v>Aweco</v>
      </c>
      <c r="N28" s="6">
        <f>IFERROR(__xludf.DUMMYFUNCTION("""COMPUTED_VALUE"""),2023.0)</f>
        <v>2023</v>
      </c>
      <c r="O28" s="6">
        <f>IFERROR(__xludf.DUMMYFUNCTION("""COMPUTED_VALUE"""),3.0)</f>
        <v>3</v>
      </c>
      <c r="P28" s="6" t="str">
        <f>IFERROR(__xludf.DUMMYFUNCTION("""COMPUTED_VALUE"""),"CS")</f>
        <v>CS</v>
      </c>
      <c r="Q28" s="6" t="str">
        <f>IFERROR(__xludf.DUMMYFUNCTION("""COMPUTED_VALUE"""),"UD TRUCKS")</f>
        <v>UD TRUCKS</v>
      </c>
      <c r="R28" s="6" t="str">
        <f>IFERROR(__xludf.DUMMYFUNCTION("""COMPUTED_VALUE"""),"GHH8E585405C1P")</f>
        <v>GHH8E585405C1P</v>
      </c>
      <c r="S28" s="6" t="str">
        <f>IFERROR(__xludf.DUMMYFUNCTION("""COMPUTED_VALUE"""),"MFFCDA30GNK820478")</f>
        <v>MFFCDA30GNK820478</v>
      </c>
      <c r="T28" s="31">
        <f>IFERROR(__xludf.DUMMYFUNCTION("""COMPUTED_VALUE"""),47102.0)</f>
        <v>47102</v>
      </c>
      <c r="U28" s="6" t="str">
        <f>IFERROR(__xludf.DUMMYFUNCTION("""COMPUTED_VALUE"""),"Berlaku")</f>
        <v>Berlaku</v>
      </c>
      <c r="V28" s="31">
        <f>IFERROR(__xludf.DUMMYFUNCTION("""COMPUTED_VALUE"""),46371.0)</f>
        <v>46371</v>
      </c>
      <c r="W28" s="6" t="str">
        <f>IFERROR(__xludf.DUMMYFUNCTION("""COMPUTED_VALUE"""),"Berlaku")</f>
        <v>Berlaku</v>
      </c>
      <c r="X28" s="31"/>
      <c r="Y28" s="6" t="str">
        <f>IFERROR(__xludf.DUMMYFUNCTION("""COMPUTED_VALUE"""),"Habis")</f>
        <v>Habis</v>
      </c>
      <c r="Z28" s="31">
        <f>IFERROR(__xludf.DUMMYFUNCTION("""COMPUTED_VALUE"""),46367.0)</f>
        <v>46367</v>
      </c>
      <c r="AA28" s="6" t="str">
        <f>IFERROR(__xludf.DUMMYFUNCTION("""COMPUTED_VALUE"""),"Berlaku")</f>
        <v>Berlaku</v>
      </c>
      <c r="AB28" s="31">
        <f>IFERROR(__xludf.DUMMYFUNCTION("""COMPUTED_VALUE"""),46765.0)</f>
        <v>46765</v>
      </c>
      <c r="AC28" s="6" t="str">
        <f>IFERROR(__xludf.DUMMYFUNCTION("""COMPUTED_VALUE"""),"Berlaku")</f>
        <v>Berlaku</v>
      </c>
      <c r="AD28" s="33">
        <f>IFERROR(__xludf.DUMMYFUNCTION("""COMPUTED_VALUE"""),46360.0)</f>
        <v>46360</v>
      </c>
      <c r="AE28" s="6" t="str">
        <f>IFERROR(__xludf.DUMMYFUNCTION("""COMPUTED_VALUE"""),"Berlaku")</f>
        <v>Berlaku</v>
      </c>
      <c r="AF28" s="6" t="str">
        <f>IFERROR(__xludf.DUMMYFUNCTION("""COMPUTED_VALUE"""),"TUGU (MANDIRI)")</f>
        <v>TUGU (MANDIRI)</v>
      </c>
      <c r="AG28" s="6" t="str">
        <f>IFERROR(__xludf.DUMMYFUNCTION("""COMPUTED_VALUE"""),"AKTIF ")</f>
        <v>AKTIF </v>
      </c>
      <c r="AH28" s="6"/>
      <c r="AI28" s="6" t="str">
        <f>IFERROR(__xludf.DUMMYFUNCTION("""COMPUTED_VALUE"""),"Menggantikan MT AA 8710 OF")</f>
        <v>Menggantikan MT AA 8710 OF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hidden="1">
      <c r="A29" s="6">
        <f>IFERROR(__xludf.DUMMYFUNCTION("""COMPUTED_VALUE"""),39.0)</f>
        <v>39</v>
      </c>
      <c r="B29" s="6" t="str">
        <f>IFERROR(__xludf.DUMMYFUNCTION("""COMPUTED_VALUE"""),"N8533UG")</f>
        <v>N8533UG</v>
      </c>
      <c r="C29" s="6" t="str">
        <f>IFERROR(__xludf.DUMMYFUNCTION("""COMPUTED_VALUE"""),"8+8")</f>
        <v>8+8</v>
      </c>
      <c r="D29" s="6">
        <f>IFERROR(__xludf.DUMMYFUNCTION("""COMPUTED_VALUE"""),16.0)</f>
        <v>16</v>
      </c>
      <c r="E29" s="6" t="str">
        <f>IFERROR(__xludf.DUMMYFUNCTION("""COMPUTED_VALUE"""),"PT. SINAR WAHANA SURYA")</f>
        <v>PT. SINAR WAHANA SURYA</v>
      </c>
      <c r="F29" s="6">
        <f>IFERROR(__xludf.DUMMYFUNCTION("""COMPUTED_VALUE"""),2022.0)</f>
        <v>2022</v>
      </c>
      <c r="G29" s="6">
        <f>IFERROR(__xludf.DUMMYFUNCTION("""COMPUTED_VALUE"""),2024.0)</f>
        <v>2024</v>
      </c>
      <c r="H29" s="6">
        <f>IFERROR(__xludf.DUMMYFUNCTION("""COMPUTED_VALUE"""),4.0)</f>
        <v>4</v>
      </c>
      <c r="I29" s="6" t="str">
        <f>IFERROR(__xludf.DUMMYFUNCTION("""COMPUTED_VALUE"""),"CDE 250 6X2R W84300MM E5 ABS M/T")</f>
        <v>CDE 250 6X2R W84300MM E5 ABS M/T</v>
      </c>
      <c r="J29" s="6">
        <f>IFERROR(__xludf.DUMMYFUNCTION("""COMPUTED_VALUE"""),7698.0)</f>
        <v>7698</v>
      </c>
      <c r="K29" s="6" t="str">
        <f>IFERROR(__xludf.DUMMYFUNCTION("""COMPUTED_VALUE"""),"EURO 5")</f>
        <v>EURO 5</v>
      </c>
      <c r="L29" s="6" t="str">
        <f>IFERROR(__xludf.DUMMYFUNCTION("""COMPUTED_VALUE"""),"Standart")</f>
        <v>Standart</v>
      </c>
      <c r="M29" s="6" t="str">
        <f>IFERROR(__xludf.DUMMYFUNCTION("""COMPUTED_VALUE"""),"Aweco")</f>
        <v>Aweco</v>
      </c>
      <c r="N29" s="6">
        <f>IFERROR(__xludf.DUMMYFUNCTION("""COMPUTED_VALUE"""),2024.0)</f>
        <v>2024</v>
      </c>
      <c r="O29" s="6">
        <f>IFERROR(__xludf.DUMMYFUNCTION("""COMPUTED_VALUE"""),2.0)</f>
        <v>2</v>
      </c>
      <c r="P29" s="6" t="str">
        <f>IFERROR(__xludf.DUMMYFUNCTION("""COMPUTED_VALUE"""),"CS")</f>
        <v>CS</v>
      </c>
      <c r="Q29" s="6" t="str">
        <f>IFERROR(__xludf.DUMMYFUNCTION("""COMPUTED_VALUE"""),"UD TRUCKS")</f>
        <v>UD TRUCKS</v>
      </c>
      <c r="R29" s="6" t="str">
        <f>IFERROR(__xludf.DUMMYFUNCTION("""COMPUTED_VALUE"""),"GH8E583332C1P")</f>
        <v>GH8E583332C1P</v>
      </c>
      <c r="S29" s="6" t="str">
        <f>IFERROR(__xludf.DUMMYFUNCTION("""COMPUTED_VALUE"""),"MFFCDA30GNK820485")</f>
        <v>MFFCDA30GNK820485</v>
      </c>
      <c r="T29" s="31">
        <f>IFERROR(__xludf.DUMMYFUNCTION("""COMPUTED_VALUE"""),47213.0)</f>
        <v>47213</v>
      </c>
      <c r="U29" s="6" t="str">
        <f>IFERROR(__xludf.DUMMYFUNCTION("""COMPUTED_VALUE"""),"Berlaku")</f>
        <v>Berlaku</v>
      </c>
      <c r="V29" s="31">
        <f>IFERROR(__xludf.DUMMYFUNCTION("""COMPUTED_VALUE"""),46482.0)</f>
        <v>46482</v>
      </c>
      <c r="W29" s="6" t="str">
        <f>IFERROR(__xludf.DUMMYFUNCTION("""COMPUTED_VALUE"""),"Berlaku")</f>
        <v>Berlaku</v>
      </c>
      <c r="X29" s="31"/>
      <c r="Y29" s="6" t="str">
        <f>IFERROR(__xludf.DUMMYFUNCTION("""COMPUTED_VALUE"""),"Habis")</f>
        <v>Habis</v>
      </c>
      <c r="Z29" s="31">
        <f>IFERROR(__xludf.DUMMYFUNCTION("""COMPUTED_VALUE"""),46305.0)</f>
        <v>46305</v>
      </c>
      <c r="AA29" s="6" t="str">
        <f>IFERROR(__xludf.DUMMYFUNCTION("""COMPUTED_VALUE"""),"Akan Habis")</f>
        <v>Akan Habis</v>
      </c>
      <c r="AB29" s="31">
        <f>IFERROR(__xludf.DUMMYFUNCTION("""COMPUTED_VALUE"""),46893.0)</f>
        <v>46893</v>
      </c>
      <c r="AC29" s="6" t="str">
        <f>IFERROR(__xludf.DUMMYFUNCTION("""COMPUTED_VALUE"""),"Berlaku")</f>
        <v>Berlaku</v>
      </c>
      <c r="AD29" s="33">
        <f>IFERROR(__xludf.DUMMYFUNCTION("""COMPUTED_VALUE"""),46304.0)</f>
        <v>46304</v>
      </c>
      <c r="AE29" s="6" t="str">
        <f>IFERROR(__xludf.DUMMYFUNCTION("""COMPUTED_VALUE"""),"Akan Habis")</f>
        <v>Akan Habis</v>
      </c>
      <c r="AF29" s="6" t="str">
        <f>IFERROR(__xludf.DUMMYFUNCTION("""COMPUTED_VALUE"""),"TUGU (MANDIRI)")</f>
        <v>TUGU (MANDIRI)</v>
      </c>
      <c r="AG29" s="6" t="str">
        <f>IFERROR(__xludf.DUMMYFUNCTION("""COMPUTED_VALUE"""),"AKTIF ")</f>
        <v>AKTIF </v>
      </c>
      <c r="AH29" s="6"/>
      <c r="AI29" s="6" t="str">
        <f>IFERROR(__xludf.DUMMYFUNCTION("""COMPUTED_VALUE"""),"AA1958EF milik PT Tanah Putih TIDAK DIREMAJAKAN (8 kl)")</f>
        <v>AA1958EF milik PT Tanah Putih TIDAK DIREMAJAKAN (8 kl)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hidden="1">
      <c r="A30" s="6">
        <f>IFERROR(__xludf.DUMMYFUNCTION("""COMPUTED_VALUE"""),40.0)</f>
        <v>40</v>
      </c>
      <c r="B30" s="6" t="str">
        <f>IFERROR(__xludf.DUMMYFUNCTION("""COMPUTED_VALUE"""),"N9369UI")</f>
        <v>N9369UI</v>
      </c>
      <c r="C30" s="6" t="str">
        <f>IFERROR(__xludf.DUMMYFUNCTION("""COMPUTED_VALUE"""),"8+8+8")</f>
        <v>8+8+8</v>
      </c>
      <c r="D30" s="6">
        <f>IFERROR(__xludf.DUMMYFUNCTION("""COMPUTED_VALUE"""),24.0)</f>
        <v>24</v>
      </c>
      <c r="E30" s="6" t="str">
        <f>IFERROR(__xludf.DUMMYFUNCTION("""COMPUTED_VALUE"""),"PT. SINAR WAHANA SURYA")</f>
        <v>PT. SINAR WAHANA SURYA</v>
      </c>
      <c r="F30" s="6">
        <f>IFERROR(__xludf.DUMMYFUNCTION("""COMPUTED_VALUE"""),2023.0)</f>
        <v>2023</v>
      </c>
      <c r="G30" s="6">
        <f>IFERROR(__xludf.DUMMYFUNCTION("""COMPUTED_VALUE"""),2024.0)</f>
        <v>2024</v>
      </c>
      <c r="H30" s="6">
        <f>IFERROR(__xludf.DUMMYFUNCTION("""COMPUTED_VALUE"""),3.0)</f>
        <v>3</v>
      </c>
      <c r="I30" s="6" t="str">
        <f>IFERROR(__xludf.DUMMYFUNCTION("""COMPUTED_VALUE"""),"GKE 280 4X2T WB3500MM E5 ABS M/T")</f>
        <v>GKE 280 4X2T WB3500MM E5 ABS M/T</v>
      </c>
      <c r="J30" s="6">
        <f>IFERROR(__xludf.DUMMYFUNCTION("""COMPUTED_VALUE"""),7698.0)</f>
        <v>7698</v>
      </c>
      <c r="K30" s="6" t="str">
        <f>IFERROR(__xludf.DUMMYFUNCTION("""COMPUTED_VALUE"""),"EURO 5")</f>
        <v>EURO 5</v>
      </c>
      <c r="L30" s="6" t="str">
        <f>IFERROR(__xludf.DUMMYFUNCTION("""COMPUTED_VALUE"""),"Standart")</f>
        <v>Standart</v>
      </c>
      <c r="M30" s="6" t="str">
        <f>IFERROR(__xludf.DUMMYFUNCTION("""COMPUTED_VALUE"""),"Aweco")</f>
        <v>Aweco</v>
      </c>
      <c r="N30" s="6">
        <f>IFERROR(__xludf.DUMMYFUNCTION("""COMPUTED_VALUE"""),2024.0)</f>
        <v>2024</v>
      </c>
      <c r="O30" s="6">
        <f>IFERROR(__xludf.DUMMYFUNCTION("""COMPUTED_VALUE"""),2.0)</f>
        <v>2</v>
      </c>
      <c r="P30" s="6" t="str">
        <f>IFERROR(__xludf.DUMMYFUNCTION("""COMPUTED_VALUE"""),"AA")</f>
        <v>AA</v>
      </c>
      <c r="Q30" s="6" t="str">
        <f>IFERROR(__xludf.DUMMYFUNCTION("""COMPUTED_VALUE"""),"UD TRUCKS")</f>
        <v>UD TRUCKS</v>
      </c>
      <c r="R30" s="6" t="str">
        <f>IFERROR(__xludf.DUMMYFUNCTION("""COMPUTED_VALUE"""),"GH8E615245C1P")</f>
        <v>GH8E615245C1P</v>
      </c>
      <c r="S30" s="6" t="str">
        <f>IFERROR(__xludf.DUMMYFUNCTION("""COMPUTED_VALUE"""),"MFFGKZ50CPK824652")</f>
        <v>MFFGKZ50CPK824652</v>
      </c>
      <c r="T30" s="31">
        <f>IFERROR(__xludf.DUMMYFUNCTION("""COMPUTED_VALUE"""),47213.0)</f>
        <v>47213</v>
      </c>
      <c r="U30" s="6" t="str">
        <f>IFERROR(__xludf.DUMMYFUNCTION("""COMPUTED_VALUE"""),"Berlaku")</f>
        <v>Berlaku</v>
      </c>
      <c r="V30" s="31">
        <f>IFERROR(__xludf.DUMMYFUNCTION("""COMPUTED_VALUE"""),46482.0)</f>
        <v>46482</v>
      </c>
      <c r="W30" s="6" t="str">
        <f>IFERROR(__xludf.DUMMYFUNCTION("""COMPUTED_VALUE"""),"Berlaku")</f>
        <v>Berlaku</v>
      </c>
      <c r="X30" s="31">
        <f>IFERROR(__xludf.DUMMYFUNCTION("""COMPUTED_VALUE"""),46305.0)</f>
        <v>46305</v>
      </c>
      <c r="Y30" s="6" t="str">
        <f>IFERROR(__xludf.DUMMYFUNCTION("""COMPUTED_VALUE"""),"Akan Habis")</f>
        <v>Akan Habis</v>
      </c>
      <c r="Z30" s="31">
        <f>IFERROR(__xludf.DUMMYFUNCTION("""COMPUTED_VALUE"""),46305.0)</f>
        <v>46305</v>
      </c>
      <c r="AA30" s="6" t="str">
        <f>IFERROR(__xludf.DUMMYFUNCTION("""COMPUTED_VALUE"""),"Akan Habis")</f>
        <v>Akan Habis</v>
      </c>
      <c r="AB30" s="31">
        <f>IFERROR(__xludf.DUMMYFUNCTION("""COMPUTED_VALUE"""),46885.0)</f>
        <v>46885</v>
      </c>
      <c r="AC30" s="6" t="str">
        <f>IFERROR(__xludf.DUMMYFUNCTION("""COMPUTED_VALUE"""),"Berlaku")</f>
        <v>Berlaku</v>
      </c>
      <c r="AD30" s="33">
        <f>IFERROR(__xludf.DUMMYFUNCTION("""COMPUTED_VALUE"""),46304.0)</f>
        <v>46304</v>
      </c>
      <c r="AE30" s="6" t="str">
        <f>IFERROR(__xludf.DUMMYFUNCTION("""COMPUTED_VALUE"""),"Akan Habis")</f>
        <v>Akan Habis</v>
      </c>
      <c r="AF30" s="6" t="str">
        <f>IFERROR(__xludf.DUMMYFUNCTION("""COMPUTED_VALUE"""),"TUGU (MANDIRI)")</f>
        <v>TUGU (MANDIRI)</v>
      </c>
      <c r="AG30" s="6" t="str">
        <f>IFERROR(__xludf.DUMMYFUNCTION("""COMPUTED_VALUE"""),"AKTIF ")</f>
        <v>AKTIF </v>
      </c>
      <c r="AH30" s="6"/>
      <c r="AI30" s="6" t="str">
        <f>IFERROR(__xludf.DUMMYFUNCTION("""COMPUTED_VALUE"""),"AA8717OF TIDAK DIREMAJAKAN (NO POL LAMA AA1878EF) milik PT Tanah Putih")</f>
        <v>AA8717OF TIDAK DIREMAJAKAN (NO POL LAMA AA1878EF) milik PT Tanah Putih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hidden="1">
      <c r="A31" s="6">
        <f>IFERROR(__xludf.DUMMYFUNCTION("""COMPUTED_VALUE"""),41.0)</f>
        <v>41</v>
      </c>
      <c r="B31" s="6" t="str">
        <f>IFERROR(__xludf.DUMMYFUNCTION("""COMPUTED_VALUE"""),"N9657UI")</f>
        <v>N9657UI</v>
      </c>
      <c r="C31" s="6" t="str">
        <f>IFERROR(__xludf.DUMMYFUNCTION("""COMPUTED_VALUE"""),"8+8+8")</f>
        <v>8+8+8</v>
      </c>
      <c r="D31" s="6">
        <f>IFERROR(__xludf.DUMMYFUNCTION("""COMPUTED_VALUE"""),24.0)</f>
        <v>24</v>
      </c>
      <c r="E31" s="6" t="str">
        <f>IFERROR(__xludf.DUMMYFUNCTION("""COMPUTED_VALUE"""),"PT. SINAR WAHANA SURYA")</f>
        <v>PT. SINAR WAHANA SURYA</v>
      </c>
      <c r="F31" s="6">
        <f>IFERROR(__xludf.DUMMYFUNCTION("""COMPUTED_VALUE"""),2023.0)</f>
        <v>2023</v>
      </c>
      <c r="G31" s="6">
        <f>IFERROR(__xludf.DUMMYFUNCTION("""COMPUTED_VALUE"""),2024.0)</f>
        <v>2024</v>
      </c>
      <c r="H31" s="6">
        <f>IFERROR(__xludf.DUMMYFUNCTION("""COMPUTED_VALUE"""),3.0)</f>
        <v>3</v>
      </c>
      <c r="I31" s="6" t="str">
        <f>IFERROR(__xludf.DUMMYFUNCTION("""COMPUTED_VALUE"""),"GKE 280 4X2T WB3500MM E5 ABS M/T")</f>
        <v>GKE 280 4X2T WB3500MM E5 ABS M/T</v>
      </c>
      <c r="J31" s="6">
        <f>IFERROR(__xludf.DUMMYFUNCTION("""COMPUTED_VALUE"""),7698.0)</f>
        <v>7698</v>
      </c>
      <c r="K31" s="6" t="str">
        <f>IFERROR(__xludf.DUMMYFUNCTION("""COMPUTED_VALUE"""),"EURO 5")</f>
        <v>EURO 5</v>
      </c>
      <c r="L31" s="6" t="str">
        <f>IFERROR(__xludf.DUMMYFUNCTION("""COMPUTED_VALUE"""),"Standart")</f>
        <v>Standart</v>
      </c>
      <c r="M31" s="6" t="str">
        <f>IFERROR(__xludf.DUMMYFUNCTION("""COMPUTED_VALUE"""),"Aweco")</f>
        <v>Aweco</v>
      </c>
      <c r="N31" s="6">
        <f>IFERROR(__xludf.DUMMYFUNCTION("""COMPUTED_VALUE"""),2024.0)</f>
        <v>2024</v>
      </c>
      <c r="O31" s="6">
        <f>IFERROR(__xludf.DUMMYFUNCTION("""COMPUTED_VALUE"""),2.0)</f>
        <v>2</v>
      </c>
      <c r="P31" s="6" t="str">
        <f>IFERROR(__xludf.DUMMYFUNCTION("""COMPUTED_VALUE"""),"AA")</f>
        <v>AA</v>
      </c>
      <c r="Q31" s="6" t="str">
        <f>IFERROR(__xludf.DUMMYFUNCTION("""COMPUTED_VALUE"""),"UD TRUCKS")</f>
        <v>UD TRUCKS</v>
      </c>
      <c r="R31" s="6" t="str">
        <f>IFERROR(__xludf.DUMMYFUNCTION("""COMPUTED_VALUE"""),"GH8E614660C1P")</f>
        <v>GH8E614660C1P</v>
      </c>
      <c r="S31" s="6" t="str">
        <f>IFERROR(__xludf.DUMMYFUNCTION("""COMPUTED_VALUE"""),"MFFGKZ50CPK824657")</f>
        <v>MFFGKZ50CPK824657</v>
      </c>
      <c r="T31" s="31">
        <f>IFERROR(__xludf.DUMMYFUNCTION("""COMPUTED_VALUE"""),47225.0)</f>
        <v>47225</v>
      </c>
      <c r="U31" s="6" t="str">
        <f>IFERROR(__xludf.DUMMYFUNCTION("""COMPUTED_VALUE"""),"Berlaku")</f>
        <v>Berlaku</v>
      </c>
      <c r="V31" s="31">
        <f>IFERROR(__xludf.DUMMYFUNCTION("""COMPUTED_VALUE"""),46482.0)</f>
        <v>46482</v>
      </c>
      <c r="W31" s="6" t="str">
        <f>IFERROR(__xludf.DUMMYFUNCTION("""COMPUTED_VALUE"""),"Berlaku")</f>
        <v>Berlaku</v>
      </c>
      <c r="X31" s="31">
        <f>IFERROR(__xludf.DUMMYFUNCTION("""COMPUTED_VALUE"""),46317.0)</f>
        <v>46317</v>
      </c>
      <c r="Y31" s="6" t="str">
        <f>IFERROR(__xludf.DUMMYFUNCTION("""COMPUTED_VALUE"""),"Akan Habis")</f>
        <v>Akan Habis</v>
      </c>
      <c r="Z31" s="31">
        <f>IFERROR(__xludf.DUMMYFUNCTION("""COMPUTED_VALUE"""),46317.0)</f>
        <v>46317</v>
      </c>
      <c r="AA31" s="6" t="str">
        <f>IFERROR(__xludf.DUMMYFUNCTION("""COMPUTED_VALUE"""),"Berlaku")</f>
        <v>Berlaku</v>
      </c>
      <c r="AB31" s="31">
        <f>IFERROR(__xludf.DUMMYFUNCTION("""COMPUTED_VALUE"""),46941.0)</f>
        <v>46941</v>
      </c>
      <c r="AC31" s="6" t="str">
        <f>IFERROR(__xludf.DUMMYFUNCTION("""COMPUTED_VALUE"""),"Berlaku")</f>
        <v>Berlaku</v>
      </c>
      <c r="AD31" s="33">
        <f>IFERROR(__xludf.DUMMYFUNCTION("""COMPUTED_VALUE"""),46340.0)</f>
        <v>46340</v>
      </c>
      <c r="AE31" s="6" t="str">
        <f>IFERROR(__xludf.DUMMYFUNCTION("""COMPUTED_VALUE"""),"Berlaku")</f>
        <v>Berlaku</v>
      </c>
      <c r="AF31" s="6" t="str">
        <f>IFERROR(__xludf.DUMMYFUNCTION("""COMPUTED_VALUE"""),"TUGU (MANDIRI)")</f>
        <v>TUGU (MANDIRI)</v>
      </c>
      <c r="AG31" s="6" t="str">
        <f>IFERROR(__xludf.DUMMYFUNCTION("""COMPUTED_VALUE"""),"AKTIF ")</f>
        <v>AKTIF </v>
      </c>
      <c r="AH31" s="6"/>
      <c r="AI31" s="6" t="str">
        <f>IFERROR(__xludf.DUMMYFUNCTION("""COMPUTED_VALUE"""),"AA1938 DF milik PT Tanah Putih TIDAK DIREMAJAKAN")</f>
        <v>AA1938 DF milik PT Tanah Putih TIDAK DIREMAJAKAN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hidden="1">
      <c r="A32" s="6">
        <f>IFERROR(__xludf.DUMMYFUNCTION("""COMPUTED_VALUE"""),42.0)</f>
        <v>42</v>
      </c>
      <c r="B32" s="6" t="str">
        <f>IFERROR(__xludf.DUMMYFUNCTION("""COMPUTED_VALUE"""),"N9405UH")</f>
        <v>N9405UH</v>
      </c>
      <c r="C32" s="6" t="str">
        <f>IFERROR(__xludf.DUMMYFUNCTION("""COMPUTED_VALUE"""),"8+8")</f>
        <v>8+8</v>
      </c>
      <c r="D32" s="6">
        <f>IFERROR(__xludf.DUMMYFUNCTION("""COMPUTED_VALUE"""),16.0)</f>
        <v>16</v>
      </c>
      <c r="E32" s="6" t="str">
        <f>IFERROR(__xludf.DUMMYFUNCTION("""COMPUTED_VALUE"""),"PT. DHARMA CITRA ENERGY")</f>
        <v>PT. DHARMA CITRA ENERGY</v>
      </c>
      <c r="F32" s="6">
        <f>IFERROR(__xludf.DUMMYFUNCTION("""COMPUTED_VALUE"""),2022.0)</f>
        <v>2022</v>
      </c>
      <c r="G32" s="6">
        <f>IFERROR(__xludf.DUMMYFUNCTION("""COMPUTED_VALUE"""),2023.0)</f>
        <v>2023</v>
      </c>
      <c r="H32" s="6">
        <f>IFERROR(__xludf.DUMMYFUNCTION("""COMPUTED_VALUE"""),4.0)</f>
        <v>4</v>
      </c>
      <c r="I32" s="6" t="str">
        <f>IFERROR(__xludf.DUMMYFUNCTION("""COMPUTED_VALUE"""),"CDE 250 6X2R WB4300MM E5 ABS M/T")</f>
        <v>CDE 250 6X2R WB4300MM E5 ABS M/T</v>
      </c>
      <c r="J32" s="6">
        <f>IFERROR(__xludf.DUMMYFUNCTION("""COMPUTED_VALUE"""),7698.0)</f>
        <v>7698</v>
      </c>
      <c r="K32" s="6" t="str">
        <f>IFERROR(__xludf.DUMMYFUNCTION("""COMPUTED_VALUE"""),"EURO 5")</f>
        <v>EURO 5</v>
      </c>
      <c r="L32" s="6" t="str">
        <f>IFERROR(__xludf.DUMMYFUNCTION("""COMPUTED_VALUE"""),"Standart")</f>
        <v>Standart</v>
      </c>
      <c r="M32" s="6" t="str">
        <f>IFERROR(__xludf.DUMMYFUNCTION("""COMPUTED_VALUE"""),"Aweco")</f>
        <v>Aweco</v>
      </c>
      <c r="N32" s="6">
        <f>IFERROR(__xludf.DUMMYFUNCTION("""COMPUTED_VALUE"""),2023.0)</f>
        <v>2023</v>
      </c>
      <c r="O32" s="6">
        <f>IFERROR(__xludf.DUMMYFUNCTION("""COMPUTED_VALUE"""),3.0)</f>
        <v>3</v>
      </c>
      <c r="P32" s="6" t="str">
        <f>IFERROR(__xludf.DUMMYFUNCTION("""COMPUTED_VALUE"""),"CS")</f>
        <v>CS</v>
      </c>
      <c r="Q32" s="6" t="str">
        <f>IFERROR(__xludf.DUMMYFUNCTION("""COMPUTED_VALUE"""),"UD TRUCKS")</f>
        <v>UD TRUCKS</v>
      </c>
      <c r="R32" s="6" t="str">
        <f>IFERROR(__xludf.DUMMYFUNCTION("""COMPUTED_VALUE"""),"GH8E582147C1P")</f>
        <v>GH8E582147C1P</v>
      </c>
      <c r="S32" s="6" t="str">
        <f>IFERROR(__xludf.DUMMYFUNCTION("""COMPUTED_VALUE"""),"MFFCDA30GNK820182")</f>
        <v>MFFCDA30GNK820182</v>
      </c>
      <c r="T32" s="31">
        <f>IFERROR(__xludf.DUMMYFUNCTION("""COMPUTED_VALUE"""),47102.0)</f>
        <v>47102</v>
      </c>
      <c r="U32" s="6" t="str">
        <f>IFERROR(__xludf.DUMMYFUNCTION("""COMPUTED_VALUE"""),"Berlaku")</f>
        <v>Berlaku</v>
      </c>
      <c r="V32" s="31">
        <f>IFERROR(__xludf.DUMMYFUNCTION("""COMPUTED_VALUE"""),46371.0)</f>
        <v>46371</v>
      </c>
      <c r="W32" s="6" t="str">
        <f>IFERROR(__xludf.DUMMYFUNCTION("""COMPUTED_VALUE"""),"Berlaku")</f>
        <v>Berlaku</v>
      </c>
      <c r="X32" s="31"/>
      <c r="Y32" s="6" t="str">
        <f>IFERROR(__xludf.DUMMYFUNCTION("""COMPUTED_VALUE"""),"Habis")</f>
        <v>Habis</v>
      </c>
      <c r="Z32" s="31">
        <f>IFERROR(__xludf.DUMMYFUNCTION("""COMPUTED_VALUE"""),46367.0)</f>
        <v>46367</v>
      </c>
      <c r="AA32" s="6" t="str">
        <f>IFERROR(__xludf.DUMMYFUNCTION("""COMPUTED_VALUE"""),"Berlaku")</f>
        <v>Berlaku</v>
      </c>
      <c r="AB32" s="31">
        <f>IFERROR(__xludf.DUMMYFUNCTION("""COMPUTED_VALUE"""),46767.0)</f>
        <v>46767</v>
      </c>
      <c r="AC32" s="6" t="str">
        <f>IFERROR(__xludf.DUMMYFUNCTION("""COMPUTED_VALUE"""),"Berlaku")</f>
        <v>Berlaku</v>
      </c>
      <c r="AD32" s="33">
        <f>IFERROR(__xludf.DUMMYFUNCTION("""COMPUTED_VALUE"""),46360.0)</f>
        <v>46360</v>
      </c>
      <c r="AE32" s="6" t="str">
        <f>IFERROR(__xludf.DUMMYFUNCTION("""COMPUTED_VALUE"""),"Berlaku")</f>
        <v>Berlaku</v>
      </c>
      <c r="AF32" s="6" t="str">
        <f>IFERROR(__xludf.DUMMYFUNCTION("""COMPUTED_VALUE"""),"TUGU (MANDIRI)")</f>
        <v>TUGU (MANDIRI)</v>
      </c>
      <c r="AG32" s="6" t="str">
        <f>IFERROR(__xludf.DUMMYFUNCTION("""COMPUTED_VALUE"""),"AKTIF ")</f>
        <v>AKTIF </v>
      </c>
      <c r="AH32" s="6"/>
      <c r="AI32" s="6" t="str">
        <f>IFERROR(__xludf.DUMMYFUNCTION("""COMPUTED_VALUE"""),"Menggantikan MT AA 8712 OF")</f>
        <v>Menggantikan MT AA 8712 OF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hidden="1">
      <c r="A33" s="6">
        <f>IFERROR(__xludf.DUMMYFUNCTION("""COMPUTED_VALUE"""),43.0)</f>
        <v>43</v>
      </c>
      <c r="B33" s="6" t="str">
        <f>IFERROR(__xludf.DUMMYFUNCTION("""COMPUTED_VALUE"""),"N9865UJ")</f>
        <v>N9865UJ</v>
      </c>
      <c r="C33" s="6" t="str">
        <f>IFERROR(__xludf.DUMMYFUNCTION("""COMPUTED_VALUE"""),"8+8")</f>
        <v>8+8</v>
      </c>
      <c r="D33" s="6">
        <f>IFERROR(__xludf.DUMMYFUNCTION("""COMPUTED_VALUE"""),16.0)</f>
        <v>16</v>
      </c>
      <c r="E33" s="6" t="str">
        <f>IFERROR(__xludf.DUMMYFUNCTION("""COMPUTED_VALUE"""),"PT. DHARMA CITRA ENERGY")</f>
        <v>PT. DHARMA CITRA ENERGY</v>
      </c>
      <c r="F33" s="6">
        <f>IFERROR(__xludf.DUMMYFUNCTION("""COMPUTED_VALUE"""),2022.0)</f>
        <v>2022</v>
      </c>
      <c r="G33" s="6">
        <f>IFERROR(__xludf.DUMMYFUNCTION("""COMPUTED_VALUE"""),2024.0)</f>
        <v>2024</v>
      </c>
      <c r="H33" s="6">
        <f>IFERROR(__xludf.DUMMYFUNCTION("""COMPUTED_VALUE"""),4.0)</f>
        <v>4</v>
      </c>
      <c r="I33" s="6" t="str">
        <f>IFERROR(__xludf.DUMMYFUNCTION("""COMPUTED_VALUE"""),"CDE 250 6X2R W84300MM E5 ABS M/T")</f>
        <v>CDE 250 6X2R W84300MM E5 ABS M/T</v>
      </c>
      <c r="J33" s="6">
        <f>IFERROR(__xludf.DUMMYFUNCTION("""COMPUTED_VALUE"""),7698.0)</f>
        <v>7698</v>
      </c>
      <c r="K33" s="6" t="str">
        <f>IFERROR(__xludf.DUMMYFUNCTION("""COMPUTED_VALUE"""),"EURO 5")</f>
        <v>EURO 5</v>
      </c>
      <c r="L33" s="6" t="str">
        <f>IFERROR(__xludf.DUMMYFUNCTION("""COMPUTED_VALUE"""),"Standart")</f>
        <v>Standart</v>
      </c>
      <c r="M33" s="6" t="str">
        <f>IFERROR(__xludf.DUMMYFUNCTION("""COMPUTED_VALUE"""),"Aweco")</f>
        <v>Aweco</v>
      </c>
      <c r="N33" s="6">
        <f>IFERROR(__xludf.DUMMYFUNCTION("""COMPUTED_VALUE"""),2024.0)</f>
        <v>2024</v>
      </c>
      <c r="O33" s="6">
        <f>IFERROR(__xludf.DUMMYFUNCTION("""COMPUTED_VALUE"""),2.0)</f>
        <v>2</v>
      </c>
      <c r="P33" s="6" t="str">
        <f>IFERROR(__xludf.DUMMYFUNCTION("""COMPUTED_VALUE"""),"CS")</f>
        <v>CS</v>
      </c>
      <c r="Q33" s="6" t="str">
        <f>IFERROR(__xludf.DUMMYFUNCTION("""COMPUTED_VALUE"""),"UD TRUCKS")</f>
        <v>UD TRUCKS</v>
      </c>
      <c r="R33" s="6" t="str">
        <f>IFERROR(__xludf.DUMMYFUNCTION("""COMPUTED_VALUE"""),"GH8E582150C1P")</f>
        <v>GH8E582150C1P</v>
      </c>
      <c r="S33" s="6" t="str">
        <f>IFERROR(__xludf.DUMMYFUNCTION("""COMPUTED_VALUE"""),"MFFCDA30GNK820179")</f>
        <v>MFFCDA30GNK820179</v>
      </c>
      <c r="T33" s="31">
        <f>IFERROR(__xludf.DUMMYFUNCTION("""COMPUTED_VALUE"""),47213.0)</f>
        <v>47213</v>
      </c>
      <c r="U33" s="6" t="str">
        <f>IFERROR(__xludf.DUMMYFUNCTION("""COMPUTED_VALUE"""),"Berlaku")</f>
        <v>Berlaku</v>
      </c>
      <c r="V33" s="31">
        <f>IFERROR(__xludf.DUMMYFUNCTION("""COMPUTED_VALUE"""),46482.0)</f>
        <v>46482</v>
      </c>
      <c r="W33" s="6" t="str">
        <f>IFERROR(__xludf.DUMMYFUNCTION("""COMPUTED_VALUE"""),"Berlaku")</f>
        <v>Berlaku</v>
      </c>
      <c r="X33" s="31"/>
      <c r="Y33" s="6" t="str">
        <f>IFERROR(__xludf.DUMMYFUNCTION("""COMPUTED_VALUE"""),"Habis")</f>
        <v>Habis</v>
      </c>
      <c r="Z33" s="31">
        <f>IFERROR(__xludf.DUMMYFUNCTION("""COMPUTED_VALUE"""),46314.0)</f>
        <v>46314</v>
      </c>
      <c r="AA33" s="6" t="str">
        <f>IFERROR(__xludf.DUMMYFUNCTION("""COMPUTED_VALUE"""),"Akan Habis")</f>
        <v>Akan Habis</v>
      </c>
      <c r="AB33" s="31">
        <f>IFERROR(__xludf.DUMMYFUNCTION("""COMPUTED_VALUE"""),46894.0)</f>
        <v>46894</v>
      </c>
      <c r="AC33" s="6" t="str">
        <f>IFERROR(__xludf.DUMMYFUNCTION("""COMPUTED_VALUE"""),"Berlaku")</f>
        <v>Berlaku</v>
      </c>
      <c r="AD33" s="33">
        <f>IFERROR(__xludf.DUMMYFUNCTION("""COMPUTED_VALUE"""),46304.0)</f>
        <v>46304</v>
      </c>
      <c r="AE33" s="6" t="str">
        <f>IFERROR(__xludf.DUMMYFUNCTION("""COMPUTED_VALUE"""),"Akan Habis")</f>
        <v>Akan Habis</v>
      </c>
      <c r="AF33" s="6" t="str">
        <f>IFERROR(__xludf.DUMMYFUNCTION("""COMPUTED_VALUE"""),"TUGU (MANDIRI)")</f>
        <v>TUGU (MANDIRI)</v>
      </c>
      <c r="AG33" s="6" t="str">
        <f>IFERROR(__xludf.DUMMYFUNCTION("""COMPUTED_VALUE"""),"AKTIF ")</f>
        <v>AKTIF </v>
      </c>
      <c r="AH33" s="6"/>
      <c r="AI33" s="6" t="str">
        <f>IFERROR(__xludf.DUMMYFUNCTION("""COMPUTED_VALUE"""),"AA8719OF milik PT Tanah Putih TIDAK DIREMAJAKAN (NO POL LAMA AA1858EF)")</f>
        <v>AA8719OF milik PT Tanah Putih TIDAK DIREMAJAKAN (NO POL LAMA AA1858EF)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hidden="1">
      <c r="A34" s="6">
        <f>IFERROR(__xludf.DUMMYFUNCTION("""COMPUTED_VALUE"""),45.0)</f>
        <v>45</v>
      </c>
      <c r="B34" s="6" t="str">
        <f>IFERROR(__xludf.DUMMYFUNCTION("""COMPUTED_VALUE"""),"N8641UH")</f>
        <v>N8641UH</v>
      </c>
      <c r="C34" s="6" t="str">
        <f>IFERROR(__xludf.DUMMYFUNCTION("""COMPUTED_VALUE"""),"4+4")</f>
        <v>4+4</v>
      </c>
      <c r="D34" s="6">
        <f>IFERROR(__xludf.DUMMYFUNCTION("""COMPUTED_VALUE"""),8.0)</f>
        <v>8</v>
      </c>
      <c r="E34" s="6" t="str">
        <f>IFERROR(__xludf.DUMMYFUNCTION("""COMPUTED_VALUE"""),"PT. DHARMA CITRA ENERGY")</f>
        <v>PT. DHARMA CITRA ENERGY</v>
      </c>
      <c r="F34" s="6">
        <f>IFERROR(__xludf.DUMMYFUNCTION("""COMPUTED_VALUE"""),2022.0)</f>
        <v>2022</v>
      </c>
      <c r="G34" s="6">
        <f>IFERROR(__xludf.DUMMYFUNCTION("""COMPUTED_VALUE"""),2024.0)</f>
        <v>2024</v>
      </c>
      <c r="H34" s="6">
        <f>IFERROR(__xludf.DUMMYFUNCTION("""COMPUTED_VALUE"""),4.0)</f>
        <v>4</v>
      </c>
      <c r="I34" s="6" t="str">
        <f>IFERROR(__xludf.DUMMYFUNCTION("""COMPUTED_VALUE"""),"CKE250 4X2R WB4600MM E5")</f>
        <v>CKE250 4X2R WB4600MM E5</v>
      </c>
      <c r="J34" s="6">
        <f>IFERROR(__xludf.DUMMYFUNCTION("""COMPUTED_VALUE"""),7698.0)</f>
        <v>7698</v>
      </c>
      <c r="K34" s="6" t="str">
        <f>IFERROR(__xludf.DUMMYFUNCTION("""COMPUTED_VALUE"""),"EURO 5")</f>
        <v>EURO 5</v>
      </c>
      <c r="L34" s="6" t="str">
        <f>IFERROR(__xludf.DUMMYFUNCTION("""COMPUTED_VALUE"""),"Standart")</f>
        <v>Standart</v>
      </c>
      <c r="M34" s="6" t="str">
        <f>IFERROR(__xludf.DUMMYFUNCTION("""COMPUTED_VALUE"""),"Aweco")</f>
        <v>Aweco</v>
      </c>
      <c r="N34" s="6">
        <f>IFERROR(__xludf.DUMMYFUNCTION("""COMPUTED_VALUE"""),2024.0)</f>
        <v>2024</v>
      </c>
      <c r="O34" s="6">
        <f>IFERROR(__xludf.DUMMYFUNCTION("""COMPUTED_VALUE"""),2.0)</f>
        <v>2</v>
      </c>
      <c r="P34" s="6" t="str">
        <f>IFERROR(__xludf.DUMMYFUNCTION("""COMPUTED_VALUE"""),"CS")</f>
        <v>CS</v>
      </c>
      <c r="Q34" s="6" t="str">
        <f>IFERROR(__xludf.DUMMYFUNCTION("""COMPUTED_VALUE"""),"UD TRUCKS")</f>
        <v>UD TRUCKS</v>
      </c>
      <c r="R34" s="6" t="str">
        <f>IFERROR(__xludf.DUMMYFUNCTION("""COMPUTED_VALUE"""),"GH8E596448C1P")</f>
        <v>GH8E596448C1P</v>
      </c>
      <c r="S34" s="6" t="str">
        <f>IFERROR(__xludf.DUMMYFUNCTION("""COMPUTED_VALUE"""),"JPCZA30A5PTO36998")</f>
        <v>JPCZA30A5PTO36998</v>
      </c>
      <c r="T34" s="31">
        <f>IFERROR(__xludf.DUMMYFUNCTION("""COMPUTED_VALUE"""),47253.0)</f>
        <v>47253</v>
      </c>
      <c r="U34" s="6" t="str">
        <f>IFERROR(__xludf.DUMMYFUNCTION("""COMPUTED_VALUE"""),"Berlaku")</f>
        <v>Berlaku</v>
      </c>
      <c r="V34" s="31">
        <f>IFERROR(__xludf.DUMMYFUNCTION("""COMPUTED_VALUE"""),46522.0)</f>
        <v>46522</v>
      </c>
      <c r="W34" s="6" t="str">
        <f>IFERROR(__xludf.DUMMYFUNCTION("""COMPUTED_VALUE"""),"Berlaku")</f>
        <v>Berlaku</v>
      </c>
      <c r="X34" s="31"/>
      <c r="Y34" s="6" t="str">
        <f>IFERROR(__xludf.DUMMYFUNCTION("""COMPUTED_VALUE"""),"Habis")</f>
        <v>Habis</v>
      </c>
      <c r="Z34" s="31">
        <f>IFERROR(__xludf.DUMMYFUNCTION("""COMPUTED_VALUE"""),46367.0)</f>
        <v>46367</v>
      </c>
      <c r="AA34" s="6" t="str">
        <f>IFERROR(__xludf.DUMMYFUNCTION("""COMPUTED_VALUE"""),"Berlaku")</f>
        <v>Berlaku</v>
      </c>
      <c r="AB34" s="31">
        <f>IFERROR(__xludf.DUMMYFUNCTION("""COMPUTED_VALUE"""),46923.0)</f>
        <v>46923</v>
      </c>
      <c r="AC34" s="6" t="str">
        <f>IFERROR(__xludf.DUMMYFUNCTION("""COMPUTED_VALUE"""),"Berlaku")</f>
        <v>Berlaku</v>
      </c>
      <c r="AD34" s="33">
        <f>IFERROR(__xludf.DUMMYFUNCTION("""COMPUTED_VALUE"""),46340.0)</f>
        <v>46340</v>
      </c>
      <c r="AE34" s="6" t="str">
        <f>IFERROR(__xludf.DUMMYFUNCTION("""COMPUTED_VALUE"""),"Berlaku")</f>
        <v>Berlaku</v>
      </c>
      <c r="AF34" s="6" t="str">
        <f>IFERROR(__xludf.DUMMYFUNCTION("""COMPUTED_VALUE"""),"TUGU (MANDIRI)")</f>
        <v>TUGU (MANDIRI)</v>
      </c>
      <c r="AG34" s="6" t="str">
        <f>IFERROR(__xludf.DUMMYFUNCTION("""COMPUTED_VALUE"""),"AKTIF ")</f>
        <v>AKTIF </v>
      </c>
      <c r="AH34" s="6"/>
      <c r="AI34" s="6" t="str">
        <f>IFERROR(__xludf.DUMMYFUNCTION("""COMPUTED_VALUE"""),"AA1936DF TIDAK DIREMAJAKAN milik PT Tanah Putih")</f>
        <v>AA1936DF TIDAK DIREMAJAKAN milik PT Tanah Putih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hidden="1">
      <c r="A35" s="6">
        <f>IFERROR(__xludf.DUMMYFUNCTION("""COMPUTED_VALUE"""),47.0)</f>
        <v>47</v>
      </c>
      <c r="B35" s="6" t="str">
        <f>IFERROR(__xludf.DUMMYFUNCTION("""COMPUTED_VALUE"""),"N8021UEA")</f>
        <v>N8021UEA</v>
      </c>
      <c r="C35" s="6" t="str">
        <f>IFERROR(__xludf.DUMMYFUNCTION("""COMPUTED_VALUE"""),"8+8")</f>
        <v>8+8</v>
      </c>
      <c r="D35" s="6">
        <f>IFERROR(__xludf.DUMMYFUNCTION("""COMPUTED_VALUE"""),16.0)</f>
        <v>16</v>
      </c>
      <c r="E35" s="6" t="str">
        <f>IFERROR(__xludf.DUMMYFUNCTION("""COMPUTED_VALUE"""),"PT. DHARMA CITRA ENERGY")</f>
        <v>PT. DHARMA CITRA ENERGY</v>
      </c>
      <c r="F35" s="6">
        <f>IFERROR(__xludf.DUMMYFUNCTION("""COMPUTED_VALUE"""),2023.0)</f>
        <v>2023</v>
      </c>
      <c r="G35" s="6">
        <f>IFERROR(__xludf.DUMMYFUNCTION("""COMPUTED_VALUE"""),2025.0)</f>
        <v>2025</v>
      </c>
      <c r="H35" s="6">
        <f>IFERROR(__xludf.DUMMYFUNCTION("""COMPUTED_VALUE"""),3.0)</f>
        <v>3</v>
      </c>
      <c r="I35" s="6" t="str">
        <f>IFERROR(__xludf.DUMMYFUNCTION("""COMPUTED_VALUE"""),"CA1250P26K2L7T3E6A80")</f>
        <v>CA1250P26K2L7T3E6A80</v>
      </c>
      <c r="J35" s="6">
        <f>IFERROR(__xludf.DUMMYFUNCTION("""COMPUTED_VALUE"""),7700.0)</f>
        <v>7700</v>
      </c>
      <c r="K35" s="6" t="str">
        <f>IFERROR(__xludf.DUMMYFUNCTION("""COMPUTED_VALUE"""),"EURO 5")</f>
        <v>EURO 5</v>
      </c>
      <c r="L35" s="6" t="str">
        <f>IFERROR(__xludf.DUMMYFUNCTION("""COMPUTED_VALUE"""),"Standart")</f>
        <v>Standart</v>
      </c>
      <c r="M35" s="6" t="str">
        <f>IFERROR(__xludf.DUMMYFUNCTION("""COMPUTED_VALUE"""),"Aweco")</f>
        <v>Aweco</v>
      </c>
      <c r="N35" s="6">
        <f>IFERROR(__xludf.DUMMYFUNCTION("""COMPUTED_VALUE"""),2025.0)</f>
        <v>2025</v>
      </c>
      <c r="O35" s="6">
        <f>IFERROR(__xludf.DUMMYFUNCTION("""COMPUTED_VALUE"""),1.0)</f>
        <v>1</v>
      </c>
      <c r="P35" s="6" t="str">
        <f>IFERROR(__xludf.DUMMYFUNCTION("""COMPUTED_VALUE"""),"CS")</f>
        <v>CS</v>
      </c>
      <c r="Q35" s="6" t="str">
        <f>IFERROR(__xludf.DUMMYFUNCTION("""COMPUTED_VALUE"""),"FAW")</f>
        <v>FAW</v>
      </c>
      <c r="R35" s="6" t="str">
        <f>IFERROR(__xludf.DUMMYFUNCTION("""COMPUTED_VALUE"""),"CA6DL129E553993424")</f>
        <v>CA6DL129E553993424</v>
      </c>
      <c r="S35" s="6" t="str">
        <f>IFERROR(__xludf.DUMMYFUNCTION("""COMPUTED_VALUE"""),"LFNDRUMN6PAD32237")</f>
        <v>LFNDRUMN6PAD32237</v>
      </c>
      <c r="T35" s="31">
        <f>IFERROR(__xludf.DUMMYFUNCTION("""COMPUTED_VALUE"""),47596.0)</f>
        <v>47596</v>
      </c>
      <c r="U35" s="6" t="str">
        <f>IFERROR(__xludf.DUMMYFUNCTION("""COMPUTED_VALUE"""),"Berlaku")</f>
        <v>Berlaku</v>
      </c>
      <c r="V35" s="31">
        <f>IFERROR(__xludf.DUMMYFUNCTION("""COMPUTED_VALUE"""),46500.0)</f>
        <v>46500</v>
      </c>
      <c r="W35" s="6" t="str">
        <f>IFERROR(__xludf.DUMMYFUNCTION("""COMPUTED_VALUE"""),"Berlaku")</f>
        <v>Berlaku</v>
      </c>
      <c r="X35" s="31"/>
      <c r="Y35" s="6" t="str">
        <f>IFERROR(__xludf.DUMMYFUNCTION("""COMPUTED_VALUE"""),"Habis")</f>
        <v>Habis</v>
      </c>
      <c r="Z35" s="31">
        <f>IFERROR(__xludf.DUMMYFUNCTION("""COMPUTED_VALUE"""),46337.0)</f>
        <v>46337</v>
      </c>
      <c r="AA35" s="6" t="str">
        <f>IFERROR(__xludf.DUMMYFUNCTION("""COMPUTED_VALUE"""),"Berlaku")</f>
        <v>Berlaku</v>
      </c>
      <c r="AB35" s="31">
        <f>IFERROR(__xludf.DUMMYFUNCTION("""COMPUTED_VALUE"""),46542.0)</f>
        <v>46542</v>
      </c>
      <c r="AC35" s="6" t="str">
        <f>IFERROR(__xludf.DUMMYFUNCTION("""COMPUTED_VALUE"""),"Berlaku")</f>
        <v>Berlaku</v>
      </c>
      <c r="AD35" s="33">
        <f>IFERROR(__xludf.DUMMYFUNCTION("""COMPUTED_VALUE"""),46347.0)</f>
        <v>46347</v>
      </c>
      <c r="AE35" s="6" t="str">
        <f>IFERROR(__xludf.DUMMYFUNCTION("""COMPUTED_VALUE"""),"Berlaku")</f>
        <v>Berlaku</v>
      </c>
      <c r="AF35" s="6" t="str">
        <f>IFERROR(__xludf.DUMMYFUNCTION("""COMPUTED_VALUE"""),"ASWATA (MANDIRI)")</f>
        <v>ASWATA (MANDIRI)</v>
      </c>
      <c r="AG35" s="6" t="str">
        <f>IFERROR(__xludf.DUMMYFUNCTION("""COMPUTED_VALUE"""),"AKTIF ")</f>
        <v>AKTIF </v>
      </c>
      <c r="AH35" s="6"/>
      <c r="AI35" s="6" t="str">
        <f>IFERROR(__xludf.DUMMYFUNCTION("""COMPUTED_VALUE"""),"Meremajakan R1871AT dri PT Gelora")</f>
        <v>Meremajakan R1871AT dri PT Gelora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hidden="1">
      <c r="A36" s="6">
        <f>IFERROR(__xludf.DUMMYFUNCTION("""COMPUTED_VALUE"""),48.0)</f>
        <v>48</v>
      </c>
      <c r="B36" s="6" t="str">
        <f>IFERROR(__xludf.DUMMYFUNCTION("""COMPUTED_VALUE"""),"N8054UEA")</f>
        <v>N8054UEA</v>
      </c>
      <c r="C36" s="6" t="str">
        <f>IFERROR(__xludf.DUMMYFUNCTION("""COMPUTED_VALUE"""),"8+8")</f>
        <v>8+8</v>
      </c>
      <c r="D36" s="6">
        <f>IFERROR(__xludf.DUMMYFUNCTION("""COMPUTED_VALUE"""),16.0)</f>
        <v>16</v>
      </c>
      <c r="E36" s="6" t="str">
        <f>IFERROR(__xludf.DUMMYFUNCTION("""COMPUTED_VALUE"""),"PT. DHARMA CITRA ENERGY")</f>
        <v>PT. DHARMA CITRA ENERGY</v>
      </c>
      <c r="F36" s="6">
        <f>IFERROR(__xludf.DUMMYFUNCTION("""COMPUTED_VALUE"""),2024.0)</f>
        <v>2024</v>
      </c>
      <c r="G36" s="6">
        <f>IFERROR(__xludf.DUMMYFUNCTION("""COMPUTED_VALUE"""),2025.0)</f>
        <v>2025</v>
      </c>
      <c r="H36" s="6">
        <f>IFERROR(__xludf.DUMMYFUNCTION("""COMPUTED_VALUE"""),2.0)</f>
        <v>2</v>
      </c>
      <c r="I36" s="6" t="str">
        <f>IFERROR(__xludf.DUMMYFUNCTION("""COMPUTED_VALUE"""),"CA1250P26K2L7T3E6A80")</f>
        <v>CA1250P26K2L7T3E6A80</v>
      </c>
      <c r="J36" s="6">
        <f>IFERROR(__xludf.DUMMYFUNCTION("""COMPUTED_VALUE"""),6600.0)</f>
        <v>6600</v>
      </c>
      <c r="K36" s="6" t="str">
        <f>IFERROR(__xludf.DUMMYFUNCTION("""COMPUTED_VALUE"""),"EURO 5")</f>
        <v>EURO 5</v>
      </c>
      <c r="L36" s="6" t="str">
        <f>IFERROR(__xludf.DUMMYFUNCTION("""COMPUTED_VALUE"""),"Standart")</f>
        <v>Standart</v>
      </c>
      <c r="M36" s="6" t="str">
        <f>IFERROR(__xludf.DUMMYFUNCTION("""COMPUTED_VALUE"""),"Geluran Adikarya")</f>
        <v>Geluran Adikarya</v>
      </c>
      <c r="N36" s="6">
        <f>IFERROR(__xludf.DUMMYFUNCTION("""COMPUTED_VALUE"""),2025.0)</f>
        <v>2025</v>
      </c>
      <c r="O36" s="6">
        <f>IFERROR(__xludf.DUMMYFUNCTION("""COMPUTED_VALUE"""),1.0)</f>
        <v>1</v>
      </c>
      <c r="P36" s="6" t="str">
        <f>IFERROR(__xludf.DUMMYFUNCTION("""COMPUTED_VALUE"""),"CS")</f>
        <v>CS</v>
      </c>
      <c r="Q36" s="6" t="str">
        <f>IFERROR(__xludf.DUMMYFUNCTION("""COMPUTED_VALUE"""),"FAW")</f>
        <v>FAW</v>
      </c>
      <c r="R36" s="6" t="str">
        <f>IFERROR(__xludf.DUMMYFUNCTION("""COMPUTED_VALUE"""),"CA6DLD24E554034600")</f>
        <v>CA6DLD24E554034600</v>
      </c>
      <c r="S36" s="6" t="str">
        <f>IFERROR(__xludf.DUMMYFUNCTION("""COMPUTED_VALUE"""),"LFNCRULN5RAC95018")</f>
        <v>LFNCRULN5RAC95018</v>
      </c>
      <c r="T36" s="31">
        <f>IFERROR(__xludf.DUMMYFUNCTION("""COMPUTED_VALUE"""),47720.0)</f>
        <v>47720</v>
      </c>
      <c r="U36" s="6" t="str">
        <f>IFERROR(__xludf.DUMMYFUNCTION("""COMPUTED_VALUE"""),"Berlaku")</f>
        <v>Berlaku</v>
      </c>
      <c r="V36" s="31">
        <f>IFERROR(__xludf.DUMMYFUNCTION("""COMPUTED_VALUE"""),46624.0)</f>
        <v>46624</v>
      </c>
      <c r="W36" s="6" t="str">
        <f>IFERROR(__xludf.DUMMYFUNCTION("""COMPUTED_VALUE"""),"Berlaku")</f>
        <v>Berlaku</v>
      </c>
      <c r="X36" s="31"/>
      <c r="Y36" s="6" t="str">
        <f>IFERROR(__xludf.DUMMYFUNCTION("""COMPUTED_VALUE"""),"Habis")</f>
        <v>Habis</v>
      </c>
      <c r="Z36" s="31">
        <f>IFERROR(__xludf.DUMMYFUNCTION("""COMPUTED_VALUE"""),46456.0)</f>
        <v>46456</v>
      </c>
      <c r="AA36" s="6" t="str">
        <f>IFERROR(__xludf.DUMMYFUNCTION("""COMPUTED_VALUE"""),"Berlaku")</f>
        <v>Berlaku</v>
      </c>
      <c r="AB36" s="31">
        <f>IFERROR(__xludf.DUMMYFUNCTION("""COMPUTED_VALUE"""),46668.0)</f>
        <v>46668</v>
      </c>
      <c r="AC36" s="6" t="str">
        <f>IFERROR(__xludf.DUMMYFUNCTION("""COMPUTED_VALUE"""),"Berlaku")</f>
        <v>Berlaku</v>
      </c>
      <c r="AD36" s="33">
        <f>IFERROR(__xludf.DUMMYFUNCTION("""COMPUTED_VALUE"""),46293.0)</f>
        <v>46293</v>
      </c>
      <c r="AE36" s="6" t="str">
        <f>IFERROR(__xludf.DUMMYFUNCTION("""COMPUTED_VALUE"""),"Habis")</f>
        <v>Habis</v>
      </c>
      <c r="AF36" s="6" t="str">
        <f>IFERROR(__xludf.DUMMYFUNCTION("""COMPUTED_VALUE"""),"ASWATA (MANDIRI)")</f>
        <v>ASWATA (MANDIRI)</v>
      </c>
      <c r="AG36" s="6" t="str">
        <f>IFERROR(__xludf.DUMMYFUNCTION("""COMPUTED_VALUE"""),"AKTIF ")</f>
        <v>AKTIF </v>
      </c>
      <c r="AH36" s="6"/>
      <c r="AI36" s="6" t="str">
        <f>IFERROR(__xludf.DUMMYFUNCTION("""COMPUTED_VALUE"""),"Meremajakan MT R 1889 GM Milik PT Katraco Putra Selaras")</f>
        <v>Meremajakan MT R 1889 GM Milik PT Katraco Putra Selaras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hidden="1">
      <c r="A37" s="6">
        <f>IFERROR(__xludf.DUMMYFUNCTION("""COMPUTED_VALUE"""),49.0)</f>
        <v>49</v>
      </c>
      <c r="B37" s="6" t="str">
        <f>IFERROR(__xludf.DUMMYFUNCTION("""COMPUTED_VALUE"""),"R9839BR")</f>
        <v>R9839BR</v>
      </c>
      <c r="C37" s="6" t="str">
        <f>IFERROR(__xludf.DUMMYFUNCTION("""COMPUTED_VALUE"""),"8+8")</f>
        <v>8+8</v>
      </c>
      <c r="D37" s="6">
        <f>IFERROR(__xludf.DUMMYFUNCTION("""COMPUTED_VALUE"""),16.0)</f>
        <v>16</v>
      </c>
      <c r="E37" s="6" t="str">
        <f>IFERROR(__xludf.DUMMYFUNCTION("""COMPUTED_VALUE"""),"PT. SATU HATI")</f>
        <v>PT. SATU HATI</v>
      </c>
      <c r="F37" s="6">
        <f>IFERROR(__xludf.DUMMYFUNCTION("""COMPUTED_VALUE"""),2022.0)</f>
        <v>2022</v>
      </c>
      <c r="G37" s="6">
        <f>IFERROR(__xludf.DUMMYFUNCTION("""COMPUTED_VALUE"""),2022.0)</f>
        <v>2022</v>
      </c>
      <c r="H37" s="6">
        <f>IFERROR(__xludf.DUMMYFUNCTION("""COMPUTED_VALUE"""),4.0)</f>
        <v>4</v>
      </c>
      <c r="I37" s="6" t="str">
        <f>IFERROR(__xludf.DUMMYFUNCTION("""COMPUTED_VALUE"""),"FL280JT2A-XGJ")</f>
        <v>FL280JT2A-XGJ</v>
      </c>
      <c r="J37" s="6">
        <f>IFERROR(__xludf.DUMMYFUNCTION("""COMPUTED_VALUE"""),7684.0)</f>
        <v>7684</v>
      </c>
      <c r="K37" s="6" t="str">
        <f>IFERROR(__xludf.DUMMYFUNCTION("""COMPUTED_VALUE"""),"EURO 4")</f>
        <v>EURO 4</v>
      </c>
      <c r="L37" s="6" t="str">
        <f>IFERROR(__xludf.DUMMYFUNCTION("""COMPUTED_VALUE"""),"Standart")</f>
        <v>Standart</v>
      </c>
      <c r="M37" s="6" t="str">
        <f>IFERROR(__xludf.DUMMYFUNCTION("""COMPUTED_VALUE"""),"Aweco")</f>
        <v>Aweco</v>
      </c>
      <c r="N37" s="6">
        <f>IFERROR(__xludf.DUMMYFUNCTION("""COMPUTED_VALUE"""),2022.0)</f>
        <v>2022</v>
      </c>
      <c r="O37" s="6">
        <f>IFERROR(__xludf.DUMMYFUNCTION("""COMPUTED_VALUE"""),4.0)</f>
        <v>4</v>
      </c>
      <c r="P37" s="6" t="str">
        <f>IFERROR(__xludf.DUMMYFUNCTION("""COMPUTED_VALUE"""),"CS")</f>
        <v>CS</v>
      </c>
      <c r="Q37" s="6" t="str">
        <f>IFERROR(__xludf.DUMMYFUNCTION("""COMPUTED_VALUE"""),"HINO")</f>
        <v>HINO</v>
      </c>
      <c r="R37" s="6" t="str">
        <f>IFERROR(__xludf.DUMMYFUNCTION("""COMPUTED_VALUE"""),"J08EWDJ10975")</f>
        <v>J08EWDJ10975</v>
      </c>
      <c r="S37" s="6" t="str">
        <f>IFERROR(__xludf.DUMMYFUNCTION("""COMPUTED_VALUE"""),"MJEFL8JT2NJX1004")</f>
        <v>MJEFL8JT2NJX1004</v>
      </c>
      <c r="T37" s="31">
        <f>IFERROR(__xludf.DUMMYFUNCTION("""COMPUTED_VALUE"""),46693.0)</f>
        <v>46693</v>
      </c>
      <c r="U37" s="6" t="str">
        <f>IFERROR(__xludf.DUMMYFUNCTION("""COMPUTED_VALUE"""),"Berlaku")</f>
        <v>Berlaku</v>
      </c>
      <c r="V37" s="31">
        <f>IFERROR(__xludf.DUMMYFUNCTION("""COMPUTED_VALUE"""),46693.0)</f>
        <v>46693</v>
      </c>
      <c r="W37" s="6" t="str">
        <f>IFERROR(__xludf.DUMMYFUNCTION("""COMPUTED_VALUE"""),"Berlaku")</f>
        <v>Berlaku</v>
      </c>
      <c r="X37" s="31"/>
      <c r="Y37" s="6" t="str">
        <f>IFERROR(__xludf.DUMMYFUNCTION("""COMPUTED_VALUE"""),"Habis")</f>
        <v>Habis</v>
      </c>
      <c r="Z37" s="31">
        <f>IFERROR(__xludf.DUMMYFUNCTION("""COMPUTED_VALUE"""),46453.0)</f>
        <v>46453</v>
      </c>
      <c r="AA37" s="6" t="str">
        <f>IFERROR(__xludf.DUMMYFUNCTION("""COMPUTED_VALUE"""),"Berlaku")</f>
        <v>Berlaku</v>
      </c>
      <c r="AB37" s="31">
        <f>IFERROR(__xludf.DUMMYFUNCTION("""COMPUTED_VALUE"""),46962.0)</f>
        <v>46962</v>
      </c>
      <c r="AC37" s="6" t="str">
        <f>IFERROR(__xludf.DUMMYFUNCTION("""COMPUTED_VALUE"""),"Berlaku")</f>
        <v>Berlaku</v>
      </c>
      <c r="AD37" s="33">
        <f>IFERROR(__xludf.DUMMYFUNCTION("""COMPUTED_VALUE"""),46439.0)</f>
        <v>46439</v>
      </c>
      <c r="AE37" s="6" t="str">
        <f>IFERROR(__xludf.DUMMYFUNCTION("""COMPUTED_VALUE"""),"Berlaku")</f>
        <v>Berlaku</v>
      </c>
      <c r="AF37" s="6" t="str">
        <f>IFERROR(__xludf.DUMMYFUNCTION("""COMPUTED_VALUE"""),"TUGU")</f>
        <v>TUGU</v>
      </c>
      <c r="AG37" s="6" t="str">
        <f>IFERROR(__xludf.DUMMYFUNCTION("""COMPUTED_VALUE"""),"AKTIF ")</f>
        <v>AKTIF </v>
      </c>
      <c r="AH37" s="6"/>
      <c r="AI37" s="6" t="str">
        <f>IFERROR(__xludf.DUMMYFUNCTION("""COMPUTED_VALUE"""),"No pol lama R8772BR yang afkir dan diremajakan")</f>
        <v>No pol lama R8772BR yang afkir dan diremajakan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hidden="1">
      <c r="A38" s="6">
        <f>IFERROR(__xludf.DUMMYFUNCTION("""COMPUTED_VALUE"""),52.0)</f>
        <v>52</v>
      </c>
      <c r="B38" s="6" t="str">
        <f>IFERROR(__xludf.DUMMYFUNCTION("""COMPUTED_VALUE"""),"R9674B")</f>
        <v>R9674B</v>
      </c>
      <c r="C38" s="6" t="str">
        <f>IFERROR(__xludf.DUMMYFUNCTION("""COMPUTED_VALUE"""),"8+8")</f>
        <v>8+8</v>
      </c>
      <c r="D38" s="6">
        <f>IFERROR(__xludf.DUMMYFUNCTION("""COMPUTED_VALUE"""),16.0)</f>
        <v>16</v>
      </c>
      <c r="E38" s="6" t="str">
        <f>IFERROR(__xludf.DUMMYFUNCTION("""COMPUTED_VALUE"""),"PT. SERAYU MITRA JAYA")</f>
        <v>PT. SERAYU MITRA JAYA</v>
      </c>
      <c r="F38" s="6">
        <f>IFERROR(__xludf.DUMMYFUNCTION("""COMPUTED_VALUE"""),2022.0)</f>
        <v>2022</v>
      </c>
      <c r="G38" s="6">
        <f>IFERROR(__xludf.DUMMYFUNCTION("""COMPUTED_VALUE"""),2022.0)</f>
        <v>2022</v>
      </c>
      <c r="H38" s="6">
        <f>IFERROR(__xludf.DUMMYFUNCTION("""COMPUTED_VALUE"""),4.0)</f>
        <v>4</v>
      </c>
      <c r="I38" s="6" t="str">
        <f>IFERROR(__xludf.DUMMYFUNCTION("""COMPUTED_VALUE"""),"CDE 250 6x2R WB4300MM E5 ABS M/T")</f>
        <v>CDE 250 6x2R WB4300MM E5 ABS M/T</v>
      </c>
      <c r="J38" s="6">
        <f>IFERROR(__xludf.DUMMYFUNCTION("""COMPUTED_VALUE"""),7698.0)</f>
        <v>7698</v>
      </c>
      <c r="K38" s="6" t="str">
        <f>IFERROR(__xludf.DUMMYFUNCTION("""COMPUTED_VALUE"""),"EURO 5")</f>
        <v>EURO 5</v>
      </c>
      <c r="L38" s="6" t="str">
        <f>IFERROR(__xludf.DUMMYFUNCTION("""COMPUTED_VALUE"""),"Standart")</f>
        <v>Standart</v>
      </c>
      <c r="M38" s="6" t="str">
        <f>IFERROR(__xludf.DUMMYFUNCTION("""COMPUTED_VALUE"""),"Geluran Adikarya")</f>
        <v>Geluran Adikarya</v>
      </c>
      <c r="N38" s="6">
        <f>IFERROR(__xludf.DUMMYFUNCTION("""COMPUTED_VALUE"""),2022.0)</f>
        <v>2022</v>
      </c>
      <c r="O38" s="6">
        <f>IFERROR(__xludf.DUMMYFUNCTION("""COMPUTED_VALUE"""),4.0)</f>
        <v>4</v>
      </c>
      <c r="P38" s="6" t="str">
        <f>IFERROR(__xludf.DUMMYFUNCTION("""COMPUTED_VALUE"""),"CS")</f>
        <v>CS</v>
      </c>
      <c r="Q38" s="6" t="str">
        <f>IFERROR(__xludf.DUMMYFUNCTION("""COMPUTED_VALUE"""),"UD TRUCKS")</f>
        <v>UD TRUCKS</v>
      </c>
      <c r="R38" s="6" t="str">
        <f>IFERROR(__xludf.DUMMYFUNCTION("""COMPUTED_VALUE"""),"GH8E569526C1P")</f>
        <v>GH8E569526C1P</v>
      </c>
      <c r="S38" s="6" t="str">
        <f>IFERROR(__xludf.DUMMYFUNCTION("""COMPUTED_VALUE"""),"MFFCDA30GNK818519")</f>
        <v>MFFCDA30GNK818519</v>
      </c>
      <c r="T38" s="31">
        <f>IFERROR(__xludf.DUMMYFUNCTION("""COMPUTED_VALUE"""),46705.0)</f>
        <v>46705</v>
      </c>
      <c r="U38" s="6" t="str">
        <f>IFERROR(__xludf.DUMMYFUNCTION("""COMPUTED_VALUE"""),"Berlaku")</f>
        <v>Berlaku</v>
      </c>
      <c r="V38" s="31">
        <f>IFERROR(__xludf.DUMMYFUNCTION("""COMPUTED_VALUE"""),46340.0)</f>
        <v>46340</v>
      </c>
      <c r="W38" s="6" t="str">
        <f>IFERROR(__xludf.DUMMYFUNCTION("""COMPUTED_VALUE"""),"Akan Habis")</f>
        <v>Akan Habis</v>
      </c>
      <c r="X38" s="31"/>
      <c r="Y38" s="6" t="str">
        <f>IFERROR(__xludf.DUMMYFUNCTION("""COMPUTED_VALUE"""),"Habis")</f>
        <v>Habis</v>
      </c>
      <c r="Z38" s="31">
        <f>IFERROR(__xludf.DUMMYFUNCTION("""COMPUTED_VALUE"""),46330.0)</f>
        <v>46330</v>
      </c>
      <c r="AA38" s="6" t="str">
        <f>IFERROR(__xludf.DUMMYFUNCTION("""COMPUTED_VALUE"""),"Berlaku")</f>
        <v>Berlaku</v>
      </c>
      <c r="AB38" s="31">
        <f>IFERROR(__xludf.DUMMYFUNCTION("""COMPUTED_VALUE"""),46648.0)</f>
        <v>46648</v>
      </c>
      <c r="AC38" s="6" t="str">
        <f>IFERROR(__xludf.DUMMYFUNCTION("""COMPUTED_VALUE"""),"Berlaku")</f>
        <v>Berlaku</v>
      </c>
      <c r="AD38" s="33">
        <f>IFERROR(__xludf.DUMMYFUNCTION("""COMPUTED_VALUE"""),46340.0)</f>
        <v>46340</v>
      </c>
      <c r="AE38" s="6" t="str">
        <f>IFERROR(__xludf.DUMMYFUNCTION("""COMPUTED_VALUE"""),"Berlaku")</f>
        <v>Berlaku</v>
      </c>
      <c r="AF38" s="6" t="str">
        <f>IFERROR(__xludf.DUMMYFUNCTION("""COMPUTED_VALUE"""),"TUGU")</f>
        <v>TUGU</v>
      </c>
      <c r="AG38" s="6" t="str">
        <f>IFERROR(__xludf.DUMMYFUNCTION("""COMPUTED_VALUE"""),"AKTIF ")</f>
        <v>AKTIF </v>
      </c>
      <c r="AH38" s="6"/>
      <c r="AI38" s="6" t="str">
        <f>IFERROR(__xludf.DUMMYFUNCTION("""COMPUTED_VALUE"""),"Menggantikan MT R9029DT (PERUBAHAN NO POL R1848EK) PT Gelora")</f>
        <v>Menggantikan MT R9029DT (PERUBAHAN NO POL R1848EK) PT Gelora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hidden="1">
      <c r="A39" s="6">
        <f>IFERROR(__xludf.DUMMYFUNCTION("""COMPUTED_VALUE"""),53.0)</f>
        <v>53</v>
      </c>
      <c r="B39" s="6" t="str">
        <f>IFERROR(__xludf.DUMMYFUNCTION("""COMPUTED_VALUE"""),"R9675B")</f>
        <v>R9675B</v>
      </c>
      <c r="C39" s="6" t="str">
        <f>IFERROR(__xludf.DUMMYFUNCTION("""COMPUTED_VALUE"""),"8+8")</f>
        <v>8+8</v>
      </c>
      <c r="D39" s="6">
        <f>IFERROR(__xludf.DUMMYFUNCTION("""COMPUTED_VALUE"""),16.0)</f>
        <v>16</v>
      </c>
      <c r="E39" s="6" t="str">
        <f>IFERROR(__xludf.DUMMYFUNCTION("""COMPUTED_VALUE"""),"PT. SERAYU MITRA JAYA")</f>
        <v>PT. SERAYU MITRA JAYA</v>
      </c>
      <c r="F39" s="6">
        <f>IFERROR(__xludf.DUMMYFUNCTION("""COMPUTED_VALUE"""),2022.0)</f>
        <v>2022</v>
      </c>
      <c r="G39" s="6">
        <f>IFERROR(__xludf.DUMMYFUNCTION("""COMPUTED_VALUE"""),2022.0)</f>
        <v>2022</v>
      </c>
      <c r="H39" s="6">
        <f>IFERROR(__xludf.DUMMYFUNCTION("""COMPUTED_VALUE"""),4.0)</f>
        <v>4</v>
      </c>
      <c r="I39" s="6" t="str">
        <f>IFERROR(__xludf.DUMMYFUNCTION("""COMPUTED_VALUE"""),"CDE 250 6x2R WB4300MM E5 ABS M/T")</f>
        <v>CDE 250 6x2R WB4300MM E5 ABS M/T</v>
      </c>
      <c r="J39" s="6">
        <f>IFERROR(__xludf.DUMMYFUNCTION("""COMPUTED_VALUE"""),7698.0)</f>
        <v>7698</v>
      </c>
      <c r="K39" s="6" t="str">
        <f>IFERROR(__xludf.DUMMYFUNCTION("""COMPUTED_VALUE"""),"EURO 5")</f>
        <v>EURO 5</v>
      </c>
      <c r="L39" s="6" t="str">
        <f>IFERROR(__xludf.DUMMYFUNCTION("""COMPUTED_VALUE"""),"Standart")</f>
        <v>Standart</v>
      </c>
      <c r="M39" s="6" t="str">
        <f>IFERROR(__xludf.DUMMYFUNCTION("""COMPUTED_VALUE"""),"Geluran Adikarya")</f>
        <v>Geluran Adikarya</v>
      </c>
      <c r="N39" s="6">
        <f>IFERROR(__xludf.DUMMYFUNCTION("""COMPUTED_VALUE"""),2022.0)</f>
        <v>2022</v>
      </c>
      <c r="O39" s="6">
        <f>IFERROR(__xludf.DUMMYFUNCTION("""COMPUTED_VALUE"""),4.0)</f>
        <v>4</v>
      </c>
      <c r="P39" s="6" t="str">
        <f>IFERROR(__xludf.DUMMYFUNCTION("""COMPUTED_VALUE"""),"CS")</f>
        <v>CS</v>
      </c>
      <c r="Q39" s="6" t="str">
        <f>IFERROR(__xludf.DUMMYFUNCTION("""COMPUTED_VALUE"""),"UD TRUCKS")</f>
        <v>UD TRUCKS</v>
      </c>
      <c r="R39" s="6" t="str">
        <f>IFERROR(__xludf.DUMMYFUNCTION("""COMPUTED_VALUE"""),"GH8E569522C1P")</f>
        <v>GH8E569522C1P</v>
      </c>
      <c r="S39" s="6" t="str">
        <f>IFERROR(__xludf.DUMMYFUNCTION("""COMPUTED_VALUE"""),"MFFCDA30GNK818520")</f>
        <v>MFFCDA30GNK818520</v>
      </c>
      <c r="T39" s="31">
        <f>IFERROR(__xludf.DUMMYFUNCTION("""COMPUTED_VALUE"""),46706.0)</f>
        <v>46706</v>
      </c>
      <c r="U39" s="6" t="str">
        <f>IFERROR(__xludf.DUMMYFUNCTION("""COMPUTED_VALUE"""),"Berlaku")</f>
        <v>Berlaku</v>
      </c>
      <c r="V39" s="31">
        <f>IFERROR(__xludf.DUMMYFUNCTION("""COMPUTED_VALUE"""),46341.0)</f>
        <v>46341</v>
      </c>
      <c r="W39" s="6" t="str">
        <f>IFERROR(__xludf.DUMMYFUNCTION("""COMPUTED_VALUE"""),"Akan Habis")</f>
        <v>Akan Habis</v>
      </c>
      <c r="X39" s="31"/>
      <c r="Y39" s="6" t="str">
        <f>IFERROR(__xludf.DUMMYFUNCTION("""COMPUTED_VALUE"""),"Habis")</f>
        <v>Habis</v>
      </c>
      <c r="Z39" s="31">
        <f>IFERROR(__xludf.DUMMYFUNCTION("""COMPUTED_VALUE"""),46330.0)</f>
        <v>46330</v>
      </c>
      <c r="AA39" s="6" t="str">
        <f>IFERROR(__xludf.DUMMYFUNCTION("""COMPUTED_VALUE"""),"Berlaku")</f>
        <v>Berlaku</v>
      </c>
      <c r="AB39" s="31">
        <f>IFERROR(__xludf.DUMMYFUNCTION("""COMPUTED_VALUE"""),46339.0)</f>
        <v>46339</v>
      </c>
      <c r="AC39" s="6" t="str">
        <f>IFERROR(__xludf.DUMMYFUNCTION("""COMPUTED_VALUE"""),"Akan Habis")</f>
        <v>Akan Habis</v>
      </c>
      <c r="AD39" s="33">
        <f>IFERROR(__xludf.DUMMYFUNCTION("""COMPUTED_VALUE"""),46340.0)</f>
        <v>46340</v>
      </c>
      <c r="AE39" s="6" t="str">
        <f>IFERROR(__xludf.DUMMYFUNCTION("""COMPUTED_VALUE"""),"Berlaku")</f>
        <v>Berlaku</v>
      </c>
      <c r="AF39" s="6" t="str">
        <f>IFERROR(__xludf.DUMMYFUNCTION("""COMPUTED_VALUE"""),"TUGU")</f>
        <v>TUGU</v>
      </c>
      <c r="AG39" s="6" t="str">
        <f>IFERROR(__xludf.DUMMYFUNCTION("""COMPUTED_VALUE"""),"AKTIF ")</f>
        <v>AKTIF </v>
      </c>
      <c r="AH39" s="6"/>
      <c r="AI39" s="6" t="str">
        <f>IFERROR(__xludf.DUMMYFUNCTION("""COMPUTED_VALUE"""),"No pol lama R 1883 CK yang afkir dan diremajakan")</f>
        <v>No pol lama R 1883 CK yang afkir dan diremajakan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hidden="1">
      <c r="A40" s="6">
        <f>IFERROR(__xludf.DUMMYFUNCTION("""COMPUTED_VALUE"""),54.0)</f>
        <v>54</v>
      </c>
      <c r="B40" s="6" t="str">
        <f>IFERROR(__xludf.DUMMYFUNCTION("""COMPUTED_VALUE"""),"R8114K")</f>
        <v>R8114K</v>
      </c>
      <c r="C40" s="6" t="str">
        <f>IFERROR(__xludf.DUMMYFUNCTION("""COMPUTED_VALUE"""),"8+8")</f>
        <v>8+8</v>
      </c>
      <c r="D40" s="6">
        <f>IFERROR(__xludf.DUMMYFUNCTION("""COMPUTED_VALUE"""),16.0)</f>
        <v>16</v>
      </c>
      <c r="E40" s="6" t="str">
        <f>IFERROR(__xludf.DUMMYFUNCTION("""COMPUTED_VALUE"""),"PT. SERAYU MITRA JAYA")</f>
        <v>PT. SERAYU MITRA JAYA</v>
      </c>
      <c r="F40" s="6">
        <f>IFERROR(__xludf.DUMMYFUNCTION("""COMPUTED_VALUE"""),2023.0)</f>
        <v>2023</v>
      </c>
      <c r="G40" s="6">
        <f>IFERROR(__xludf.DUMMYFUNCTION("""COMPUTED_VALUE"""),2024.0)</f>
        <v>2024</v>
      </c>
      <c r="H40" s="6">
        <f>IFERROR(__xludf.DUMMYFUNCTION("""COMPUTED_VALUE"""),3.0)</f>
        <v>3</v>
      </c>
      <c r="I40" s="6" t="str">
        <f>IFERROR(__xludf.DUMMYFUNCTION("""COMPUTED_VALUE"""),"FVM34U-NDYIN4 (TRONTON) 6X2 MT")</f>
        <v>FVM34U-NDYIN4 (TRONTON) 6X2 MT</v>
      </c>
      <c r="J40" s="6">
        <f>IFERROR(__xludf.DUMMYFUNCTION("""COMPUTED_VALUE"""),7790.0)</f>
        <v>7790</v>
      </c>
      <c r="K40" s="6" t="str">
        <f>IFERROR(__xludf.DUMMYFUNCTION("""COMPUTED_VALUE"""),"EURO 4")</f>
        <v>EURO 4</v>
      </c>
      <c r="L40" s="6" t="str">
        <f>IFERROR(__xludf.DUMMYFUNCTION("""COMPUTED_VALUE"""),"Standart")</f>
        <v>Standart</v>
      </c>
      <c r="M40" s="6" t="str">
        <f>IFERROR(__xludf.DUMMYFUNCTION("""COMPUTED_VALUE"""),"Geluran Adikarya")</f>
        <v>Geluran Adikarya</v>
      </c>
      <c r="N40" s="6">
        <f>IFERROR(__xludf.DUMMYFUNCTION("""COMPUTED_VALUE"""),2024.0)</f>
        <v>2024</v>
      </c>
      <c r="O40" s="6">
        <f>IFERROR(__xludf.DUMMYFUNCTION("""COMPUTED_VALUE"""),2.0)</f>
        <v>2</v>
      </c>
      <c r="P40" s="6" t="str">
        <f>IFERROR(__xludf.DUMMYFUNCTION("""COMPUTED_VALUE"""),"CS")</f>
        <v>CS</v>
      </c>
      <c r="Q40" s="6" t="str">
        <f>IFERROR(__xludf.DUMMYFUNCTION("""COMPUTED_VALUE"""),"ISUZU")</f>
        <v>ISUZU</v>
      </c>
      <c r="R40" s="6" t="str">
        <f>IFERROR(__xludf.DUMMYFUNCTION("""COMPUTED_VALUE"""),"6HK1F105741")</f>
        <v>6HK1F105741</v>
      </c>
      <c r="S40" s="6" t="str">
        <f>IFERROR(__xludf.DUMMYFUNCTION("""COMPUTED_VALUE"""),"MHCFVM34NPJ000154")</f>
        <v>MHCFVM34NPJ000154</v>
      </c>
      <c r="T40" s="31">
        <f>IFERROR(__xludf.DUMMYFUNCTION("""COMPUTED_VALUE"""),47358.0)</f>
        <v>47358</v>
      </c>
      <c r="U40" s="6" t="str">
        <f>IFERROR(__xludf.DUMMYFUNCTION("""COMPUTED_VALUE"""),"Berlaku")</f>
        <v>Berlaku</v>
      </c>
      <c r="V40" s="31">
        <f>IFERROR(__xludf.DUMMYFUNCTION("""COMPUTED_VALUE"""),46627.0)</f>
        <v>46627</v>
      </c>
      <c r="W40" s="6" t="str">
        <f>IFERROR(__xludf.DUMMYFUNCTION("""COMPUTED_VALUE"""),"Berlaku")</f>
        <v>Berlaku</v>
      </c>
      <c r="X40" s="31"/>
      <c r="Y40" s="6" t="str">
        <f>IFERROR(__xludf.DUMMYFUNCTION("""COMPUTED_VALUE"""),"Habis")</f>
        <v>Habis</v>
      </c>
      <c r="Z40" s="31">
        <f>IFERROR(__xludf.DUMMYFUNCTION("""COMPUTED_VALUE"""),46301.0)</f>
        <v>46301</v>
      </c>
      <c r="AA40" s="6" t="str">
        <f>IFERROR(__xludf.DUMMYFUNCTION("""COMPUTED_VALUE"""),"Habis dalam 7-1 Hari")</f>
        <v>Habis dalam 7-1 Hari</v>
      </c>
      <c r="AB40" s="31">
        <f>IFERROR(__xludf.DUMMYFUNCTION("""COMPUTED_VALUE"""),46318.0)</f>
        <v>46318</v>
      </c>
      <c r="AC40" s="6" t="str">
        <f>IFERROR(__xludf.DUMMYFUNCTION("""COMPUTED_VALUE"""),"Akan Habis")</f>
        <v>Akan Habis</v>
      </c>
      <c r="AD40" s="33">
        <f>IFERROR(__xludf.DUMMYFUNCTION("""COMPUTED_VALUE"""),46293.0)</f>
        <v>46293</v>
      </c>
      <c r="AE40" s="6" t="str">
        <f>IFERROR(__xludf.DUMMYFUNCTION("""COMPUTED_VALUE"""),"Habis")</f>
        <v>Habis</v>
      </c>
      <c r="AF40" s="6" t="str">
        <f>IFERROR(__xludf.DUMMYFUNCTION("""COMPUTED_VALUE"""),"TUGU")</f>
        <v>TUGU</v>
      </c>
      <c r="AG40" s="6" t="str">
        <f>IFERROR(__xludf.DUMMYFUNCTION("""COMPUTED_VALUE"""),"AKTIF ")</f>
        <v>AKTIF </v>
      </c>
      <c r="AH40" s="6"/>
      <c r="AI40" s="6" t="str">
        <f>IFERROR(__xludf.DUMMYFUNCTION("""COMPUTED_VALUE"""),"Menggantikan MT R 1870 AT ex PT Gelora")</f>
        <v>Menggantikan MT R 1870 AT ex PT Gelora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hidden="1">
      <c r="A41" s="6">
        <f>IFERROR(__xludf.DUMMYFUNCTION("""COMPUTED_VALUE"""),55.0)</f>
        <v>55</v>
      </c>
      <c r="B41" s="6" t="str">
        <f>IFERROR(__xludf.DUMMYFUNCTION("""COMPUTED_VALUE"""),"R9564B")</f>
        <v>R9564B</v>
      </c>
      <c r="C41" s="6" t="str">
        <f>IFERROR(__xludf.DUMMYFUNCTION("""COMPUTED_VALUE"""),"8+8+8")</f>
        <v>8+8+8</v>
      </c>
      <c r="D41" s="6">
        <f>IFERROR(__xludf.DUMMYFUNCTION("""COMPUTED_VALUE"""),24.0)</f>
        <v>24</v>
      </c>
      <c r="E41" s="6" t="str">
        <f>IFERROR(__xludf.DUMMYFUNCTION("""COMPUTED_VALUE"""),"PT. SERAYU MITRA JAYA")</f>
        <v>PT. SERAYU MITRA JAYA</v>
      </c>
      <c r="F41" s="6">
        <f>IFERROR(__xludf.DUMMYFUNCTION("""COMPUTED_VALUE"""),2022.0)</f>
        <v>2022</v>
      </c>
      <c r="G41" s="6">
        <f>IFERROR(__xludf.DUMMYFUNCTION("""COMPUTED_VALUE"""),2022.0)</f>
        <v>2022</v>
      </c>
      <c r="H41" s="6">
        <f>IFERROR(__xludf.DUMMYFUNCTION("""COMPUTED_VALUE"""),4.0)</f>
        <v>4</v>
      </c>
      <c r="I41" s="6" t="str">
        <f>IFERROR(__xludf.DUMMYFUNCTION("""COMPUTED_VALUE"""),"GKE 280 4X2T WB35OOMM E5 ABS M/T 9564-B")</f>
        <v>GKE 280 4X2T WB35OOMM E5 ABS M/T 9564-B</v>
      </c>
      <c r="J41" s="6">
        <f>IFERROR(__xludf.DUMMYFUNCTION("""COMPUTED_VALUE"""),7698.0)</f>
        <v>7698</v>
      </c>
      <c r="K41" s="6" t="str">
        <f>IFERROR(__xludf.DUMMYFUNCTION("""COMPUTED_VALUE"""),"EURO 5")</f>
        <v>EURO 5</v>
      </c>
      <c r="L41" s="6" t="str">
        <f>IFERROR(__xludf.DUMMYFUNCTION("""COMPUTED_VALUE"""),"Standart")</f>
        <v>Standart</v>
      </c>
      <c r="M41" s="6" t="str">
        <f>IFERROR(__xludf.DUMMYFUNCTION("""COMPUTED_VALUE"""),"Aweco")</f>
        <v>Aweco</v>
      </c>
      <c r="N41" s="6">
        <f>IFERROR(__xludf.DUMMYFUNCTION("""COMPUTED_VALUE"""),2012.0)</f>
        <v>2012</v>
      </c>
      <c r="O41" s="6">
        <f>IFERROR(__xludf.DUMMYFUNCTION("""COMPUTED_VALUE"""),14.0)</f>
        <v>14</v>
      </c>
      <c r="P41" s="6" t="str">
        <f>IFERROR(__xludf.DUMMYFUNCTION("""COMPUTED_VALUE"""),"AA")</f>
        <v>AA</v>
      </c>
      <c r="Q41" s="6" t="str">
        <f>IFERROR(__xludf.DUMMYFUNCTION("""COMPUTED_VALUE"""),"UD TRUCKS")</f>
        <v>UD TRUCKS</v>
      </c>
      <c r="R41" s="6" t="str">
        <f>IFERROR(__xludf.DUMMYFUNCTION("""COMPUTED_VALUE"""),"GH8E56657OC1P")</f>
        <v>GH8E56657OC1P</v>
      </c>
      <c r="S41" s="6" t="str">
        <f>IFERROR(__xludf.DUMMYFUNCTION("""COMPUTED_VALUE"""),"MFFGKZ5OCNK81820")</f>
        <v>MFFGKZ5OCNK81820</v>
      </c>
      <c r="T41" s="31">
        <f>IFERROR(__xludf.DUMMYFUNCTION("""COMPUTED_VALUE"""),46659.0)</f>
        <v>46659</v>
      </c>
      <c r="U41" s="6" t="str">
        <f>IFERROR(__xludf.DUMMYFUNCTION("""COMPUTED_VALUE"""),"Berlaku")</f>
        <v>Berlaku</v>
      </c>
      <c r="V41" s="31">
        <f>IFERROR(__xludf.DUMMYFUNCTION("""COMPUTED_VALUE"""),46659.0)</f>
        <v>46659</v>
      </c>
      <c r="W41" s="6" t="str">
        <f>IFERROR(__xludf.DUMMYFUNCTION("""COMPUTED_VALUE"""),"Berlaku")</f>
        <v>Berlaku</v>
      </c>
      <c r="X41" s="31">
        <f>IFERROR(__xludf.DUMMYFUNCTION("""COMPUTED_VALUE"""),46330.0)</f>
        <v>46330</v>
      </c>
      <c r="Y41" s="6" t="str">
        <f>IFERROR(__xludf.DUMMYFUNCTION("""COMPUTED_VALUE"""),"Akan Habis")</f>
        <v>Akan Habis</v>
      </c>
      <c r="Z41" s="31">
        <f>IFERROR(__xludf.DUMMYFUNCTION("""COMPUTED_VALUE"""),46330.0)</f>
        <v>46330</v>
      </c>
      <c r="AA41" s="6" t="str">
        <f>IFERROR(__xludf.DUMMYFUNCTION("""COMPUTED_VALUE"""),"Berlaku")</f>
        <v>Berlaku</v>
      </c>
      <c r="AB41" s="31">
        <f>IFERROR(__xludf.DUMMYFUNCTION("""COMPUTED_VALUE"""),46694.0)</f>
        <v>46694</v>
      </c>
      <c r="AC41" s="6" t="str">
        <f>IFERROR(__xludf.DUMMYFUNCTION("""COMPUTED_VALUE"""),"Berlaku")</f>
        <v>Berlaku</v>
      </c>
      <c r="AD41" s="33">
        <f>IFERROR(__xludf.DUMMYFUNCTION("""COMPUTED_VALUE"""),46332.0)</f>
        <v>46332</v>
      </c>
      <c r="AE41" s="6" t="str">
        <f>IFERROR(__xludf.DUMMYFUNCTION("""COMPUTED_VALUE"""),"Berlaku")</f>
        <v>Berlaku</v>
      </c>
      <c r="AF41" s="6" t="str">
        <f>IFERROR(__xludf.DUMMYFUNCTION("""COMPUTED_VALUE"""),"TUGU")</f>
        <v>TUGU</v>
      </c>
      <c r="AG41" s="6" t="str">
        <f>IFERROR(__xludf.DUMMYFUNCTION("""COMPUTED_VALUE"""),"AKTIF ")</f>
        <v>AKTIF </v>
      </c>
      <c r="AH41" s="6"/>
      <c r="AI41" s="6" t="str">
        <f>IFERROR(__xludf.DUMMYFUNCTION("""COMPUTED_VALUE"""),"Menggantikan MT AA 8713 OF PT Tanah Putih")</f>
        <v>Menggantikan MT AA 8713 OF PT Tanah Putih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hidden="1">
      <c r="A42" s="6">
        <f>IFERROR(__xludf.DUMMYFUNCTION("""COMPUTED_VALUE"""),56.0)</f>
        <v>56</v>
      </c>
      <c r="B42" s="6" t="str">
        <f>IFERROR(__xludf.DUMMYFUNCTION("""COMPUTED_VALUE"""),"AA8860OF")</f>
        <v>AA8860OF</v>
      </c>
      <c r="C42" s="6" t="str">
        <f>IFERROR(__xludf.DUMMYFUNCTION("""COMPUTED_VALUE"""),"8+8")</f>
        <v>8+8</v>
      </c>
      <c r="D42" s="6">
        <f>IFERROR(__xludf.DUMMYFUNCTION("""COMPUTED_VALUE"""),16.0)</f>
        <v>16</v>
      </c>
      <c r="E42" s="6" t="str">
        <f>IFERROR(__xludf.DUMMYFUNCTION("""COMPUTED_VALUE"""),"PT. TANAH PUTIH")</f>
        <v>PT. TANAH PUTIH</v>
      </c>
      <c r="F42" s="6">
        <f>IFERROR(__xludf.DUMMYFUNCTION("""COMPUTED_VALUE"""),2023.0)</f>
        <v>2023</v>
      </c>
      <c r="G42" s="6">
        <f>IFERROR(__xludf.DUMMYFUNCTION("""COMPUTED_VALUE"""),2023.0)</f>
        <v>2023</v>
      </c>
      <c r="H42" s="6">
        <f>IFERROR(__xludf.DUMMYFUNCTION("""COMPUTED_VALUE"""),3.0)</f>
        <v>3</v>
      </c>
      <c r="I42" s="6" t="str">
        <f>IFERROR(__xludf.DUMMYFUNCTION("""COMPUTED_VALUE"""),"FVM34U-NDYIN4 (TRONTON) 6X2 MT")</f>
        <v>FVM34U-NDYIN4 (TRONTON) 6X2 MT</v>
      </c>
      <c r="J42" s="6">
        <f>IFERROR(__xludf.DUMMYFUNCTION("""COMPUTED_VALUE"""),7790.0)</f>
        <v>7790</v>
      </c>
      <c r="K42" s="6" t="str">
        <f>IFERROR(__xludf.DUMMYFUNCTION("""COMPUTED_VALUE"""),"EURO 4")</f>
        <v>EURO 4</v>
      </c>
      <c r="L42" s="6" t="str">
        <f>IFERROR(__xludf.DUMMYFUNCTION("""COMPUTED_VALUE"""),"Standart")</f>
        <v>Standart</v>
      </c>
      <c r="M42" s="6" t="str">
        <f>IFERROR(__xludf.DUMMYFUNCTION("""COMPUTED_VALUE"""),"Aweco")</f>
        <v>Aweco</v>
      </c>
      <c r="N42" s="6">
        <f>IFERROR(__xludf.DUMMYFUNCTION("""COMPUTED_VALUE"""),2023.0)</f>
        <v>2023</v>
      </c>
      <c r="O42" s="6">
        <f>IFERROR(__xludf.DUMMYFUNCTION("""COMPUTED_VALUE"""),3.0)</f>
        <v>3</v>
      </c>
      <c r="P42" s="6" t="str">
        <f>IFERROR(__xludf.DUMMYFUNCTION("""COMPUTED_VALUE"""),"CS")</f>
        <v>CS</v>
      </c>
      <c r="Q42" s="6" t="str">
        <f>IFERROR(__xludf.DUMMYFUNCTION("""COMPUTED_VALUE"""),"ISUZU")</f>
        <v>ISUZU</v>
      </c>
      <c r="R42" s="6" t="str">
        <f>IFERROR(__xludf.DUMMYFUNCTION("""COMPUTED_VALUE"""),"6HK1F102289")</f>
        <v>6HK1F102289</v>
      </c>
      <c r="S42" s="6" t="str">
        <f>IFERROR(__xludf.DUMMYFUNCTION("""COMPUTED_VALUE"""),"MHCFVM34NNJ000103")</f>
        <v>MHCFVM34NNJ000103</v>
      </c>
      <c r="T42" s="31">
        <f>IFERROR(__xludf.DUMMYFUNCTION("""COMPUTED_VALUE"""),46924.0)</f>
        <v>46924</v>
      </c>
      <c r="U42" s="6" t="str">
        <f>IFERROR(__xludf.DUMMYFUNCTION("""COMPUTED_VALUE"""),"Berlaku")</f>
        <v>Berlaku</v>
      </c>
      <c r="V42" s="31">
        <f>IFERROR(__xludf.DUMMYFUNCTION("""COMPUTED_VALUE"""),46558.0)</f>
        <v>46558</v>
      </c>
      <c r="W42" s="6" t="str">
        <f>IFERROR(__xludf.DUMMYFUNCTION("""COMPUTED_VALUE"""),"Berlaku")</f>
        <v>Berlaku</v>
      </c>
      <c r="X42" s="31"/>
      <c r="Y42" s="6" t="str">
        <f>IFERROR(__xludf.DUMMYFUNCTION("""COMPUTED_VALUE"""),"Habis")</f>
        <v>Habis</v>
      </c>
      <c r="Z42" s="31">
        <f>IFERROR(__xludf.DUMMYFUNCTION("""COMPUTED_VALUE"""),46346.0)</f>
        <v>46346</v>
      </c>
      <c r="AA42" s="6" t="str">
        <f>IFERROR(__xludf.DUMMYFUNCTION("""COMPUTED_VALUE"""),"Berlaku")</f>
        <v>Berlaku</v>
      </c>
      <c r="AB42" s="31">
        <f>IFERROR(__xludf.DUMMYFUNCTION("""COMPUTED_VALUE"""),46563.0)</f>
        <v>46563</v>
      </c>
      <c r="AC42" s="6" t="str">
        <f>IFERROR(__xludf.DUMMYFUNCTION("""COMPUTED_VALUE"""),"Berlaku")</f>
        <v>Berlaku</v>
      </c>
      <c r="AD42" s="33">
        <f>IFERROR(__xludf.DUMMYFUNCTION("""COMPUTED_VALUE"""),46340.0)</f>
        <v>46340</v>
      </c>
      <c r="AE42" s="6" t="str">
        <f>IFERROR(__xludf.DUMMYFUNCTION("""COMPUTED_VALUE"""),"Berlaku")</f>
        <v>Berlaku</v>
      </c>
      <c r="AF42" s="6" t="str">
        <f>IFERROR(__xludf.DUMMYFUNCTION("""COMPUTED_VALUE"""),"TUGU")</f>
        <v>TUGU</v>
      </c>
      <c r="AG42" s="6" t="str">
        <f>IFERROR(__xludf.DUMMYFUNCTION("""COMPUTED_VALUE"""),"AKTIF ")</f>
        <v>AKTIF </v>
      </c>
      <c r="AH42" s="6"/>
      <c r="AI42" s="6" t="str">
        <f>IFERROR(__xludf.DUMMYFUNCTION("""COMPUTED_VALUE"""),"No pol lama AA1814FP yang afkir dan diremajakan PT Tanah Putih")</f>
        <v>No pol lama AA1814FP yang afkir dan diremajakan PT Tanah Putih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hidden="1">
      <c r="A43" s="6">
        <f>IFERROR(__xludf.DUMMYFUNCTION("""COMPUTED_VALUE"""),58.0)</f>
        <v>58</v>
      </c>
      <c r="B43" s="6" t="str">
        <f>IFERROR(__xludf.DUMMYFUNCTION("""COMPUTED_VALUE"""),"H9390OF")</f>
        <v>H9390OF</v>
      </c>
      <c r="C43" s="6" t="str">
        <f>IFERROR(__xludf.DUMMYFUNCTION("""COMPUTED_VALUE"""),"8+8")</f>
        <v>8+8</v>
      </c>
      <c r="D43" s="6">
        <f>IFERROR(__xludf.DUMMYFUNCTION("""COMPUTED_VALUE"""),16.0)</f>
        <v>16</v>
      </c>
      <c r="E43" s="6" t="str">
        <f>IFERROR(__xludf.DUMMYFUNCTION("""COMPUTED_VALUE"""),"PT. ADHI BUANA PERSADA")</f>
        <v>PT. ADHI BUANA PERSADA</v>
      </c>
      <c r="F43" s="6">
        <f>IFERROR(__xludf.DUMMYFUNCTION("""COMPUTED_VALUE"""),2023.0)</f>
        <v>2023</v>
      </c>
      <c r="G43" s="6">
        <f>IFERROR(__xludf.DUMMYFUNCTION("""COMPUTED_VALUE"""),2023.0)</f>
        <v>2023</v>
      </c>
      <c r="H43" s="6">
        <f>IFERROR(__xludf.DUMMYFUNCTION("""COMPUTED_VALUE"""),3.0)</f>
        <v>3</v>
      </c>
      <c r="I43" s="6" t="str">
        <f>IFERROR(__xludf.DUMMYFUNCTION("""COMPUTED_VALUE"""),"FL8JN2A-PGJ (6X2) M/T")</f>
        <v>FL8JN2A-PGJ (6X2) M/T</v>
      </c>
      <c r="J43" s="6">
        <f>IFERROR(__xludf.DUMMYFUNCTION("""COMPUTED_VALUE"""),7684.0)</f>
        <v>7684</v>
      </c>
      <c r="K43" s="6" t="str">
        <f>IFERROR(__xludf.DUMMYFUNCTION("""COMPUTED_VALUE"""),"EURO 4")</f>
        <v>EURO 4</v>
      </c>
      <c r="L43" s="6" t="str">
        <f>IFERROR(__xludf.DUMMYFUNCTION("""COMPUTED_VALUE"""),"Standart")</f>
        <v>Standart</v>
      </c>
      <c r="M43" s="6" t="str">
        <f>IFERROR(__xludf.DUMMYFUNCTION("""COMPUTED_VALUE"""),"Aweco")</f>
        <v>Aweco</v>
      </c>
      <c r="N43" s="6">
        <f>IFERROR(__xludf.DUMMYFUNCTION("""COMPUTED_VALUE"""),2023.0)</f>
        <v>2023</v>
      </c>
      <c r="O43" s="6">
        <f>IFERROR(__xludf.DUMMYFUNCTION("""COMPUTED_VALUE"""),3.0)</f>
        <v>3</v>
      </c>
      <c r="P43" s="6" t="str">
        <f>IFERROR(__xludf.DUMMYFUNCTION("""COMPUTED_VALUE"""),"CS")</f>
        <v>CS</v>
      </c>
      <c r="Q43" s="6" t="str">
        <f>IFERROR(__xludf.DUMMYFUNCTION("""COMPUTED_VALUE"""),"HINO")</f>
        <v>HINO</v>
      </c>
      <c r="R43" s="6" t="str">
        <f>IFERROR(__xludf.DUMMYFUNCTION("""COMPUTED_VALUE"""),"J08EWEJ16890")</f>
        <v>J08EWEJ16890</v>
      </c>
      <c r="S43" s="6" t="str">
        <f>IFERROR(__xludf.DUMMYFUNCTION("""COMPUTED_VALUE"""),"MJEFL8JN2PJP10613")</f>
        <v>MJEFL8JN2PJP10613</v>
      </c>
      <c r="T43" s="31">
        <f>IFERROR(__xludf.DUMMYFUNCTION("""COMPUTED_VALUE"""),47071.0)</f>
        <v>47071</v>
      </c>
      <c r="U43" s="6" t="str">
        <f>IFERROR(__xludf.DUMMYFUNCTION("""COMPUTED_VALUE"""),"Berlaku")</f>
        <v>Berlaku</v>
      </c>
      <c r="V43" s="31">
        <f>IFERROR(__xludf.DUMMYFUNCTION("""COMPUTED_VALUE"""),46340.0)</f>
        <v>46340</v>
      </c>
      <c r="W43" s="6" t="str">
        <f>IFERROR(__xludf.DUMMYFUNCTION("""COMPUTED_VALUE"""),"Akan Habis")</f>
        <v>Akan Habis</v>
      </c>
      <c r="X43" s="31"/>
      <c r="Y43" s="6" t="str">
        <f>IFERROR(__xludf.DUMMYFUNCTION("""COMPUTED_VALUE"""),"Habis")</f>
        <v>Habis</v>
      </c>
      <c r="Z43" s="31">
        <f>IFERROR(__xludf.DUMMYFUNCTION("""COMPUTED_VALUE"""),46333.0)</f>
        <v>46333</v>
      </c>
      <c r="AA43" s="6" t="str">
        <f>IFERROR(__xludf.DUMMYFUNCTION("""COMPUTED_VALUE"""),"Berlaku")</f>
        <v>Berlaku</v>
      </c>
      <c r="AB43" s="31">
        <f>IFERROR(__xludf.DUMMYFUNCTION("""COMPUTED_VALUE"""),46711.0)</f>
        <v>46711</v>
      </c>
      <c r="AC43" s="6" t="str">
        <f>IFERROR(__xludf.DUMMYFUNCTION("""COMPUTED_VALUE"""),"Berlaku")</f>
        <v>Berlaku</v>
      </c>
      <c r="AD43" s="33">
        <f>IFERROR(__xludf.DUMMYFUNCTION("""COMPUTED_VALUE"""),46340.0)</f>
        <v>46340</v>
      </c>
      <c r="AE43" s="6" t="str">
        <f>IFERROR(__xludf.DUMMYFUNCTION("""COMPUTED_VALUE"""),"Berlaku")</f>
        <v>Berlaku</v>
      </c>
      <c r="AF43" s="6" t="str">
        <f>IFERROR(__xludf.DUMMYFUNCTION("""COMPUTED_VALUE"""),"TUGU")</f>
        <v>TUGU</v>
      </c>
      <c r="AG43" s="6" t="str">
        <f>IFERROR(__xludf.DUMMYFUNCTION("""COMPUTED_VALUE"""),"AKTIF ")</f>
        <v>AKTIF </v>
      </c>
      <c r="AH43" s="6"/>
      <c r="AI43" s="6" t="str">
        <f>IFERROR(__xludf.DUMMYFUNCTION("""COMPUTED_VALUE"""),"Menggantikan MT AA1804AP milik PT Tanah Putih")</f>
        <v>Menggantikan MT AA1804AP milik PT Tanah Putih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hidden="1">
      <c r="A44" s="6">
        <f>IFERROR(__xludf.DUMMYFUNCTION("""COMPUTED_VALUE"""),59.0)</f>
        <v>59</v>
      </c>
      <c r="B44" s="6" t="str">
        <f>IFERROR(__xludf.DUMMYFUNCTION("""COMPUTED_VALUE"""),"H9391OF")</f>
        <v>H9391OF</v>
      </c>
      <c r="C44" s="6" t="str">
        <f>IFERROR(__xludf.DUMMYFUNCTION("""COMPUTED_VALUE"""),"8+8")</f>
        <v>8+8</v>
      </c>
      <c r="D44" s="6">
        <f>IFERROR(__xludf.DUMMYFUNCTION("""COMPUTED_VALUE"""),16.0)</f>
        <v>16</v>
      </c>
      <c r="E44" s="6" t="str">
        <f>IFERROR(__xludf.DUMMYFUNCTION("""COMPUTED_VALUE"""),"PT. ADHI BUANA PERSADA")</f>
        <v>PT. ADHI BUANA PERSADA</v>
      </c>
      <c r="F44" s="6">
        <f>IFERROR(__xludf.DUMMYFUNCTION("""COMPUTED_VALUE"""),2023.0)</f>
        <v>2023</v>
      </c>
      <c r="G44" s="6">
        <f>IFERROR(__xludf.DUMMYFUNCTION("""COMPUTED_VALUE"""),2023.0)</f>
        <v>2023</v>
      </c>
      <c r="H44" s="6">
        <f>IFERROR(__xludf.DUMMYFUNCTION("""COMPUTED_VALUE"""),3.0)</f>
        <v>3</v>
      </c>
      <c r="I44" s="6" t="str">
        <f>IFERROR(__xludf.DUMMYFUNCTION("""COMPUTED_VALUE"""),"FL8JN2A-PGJ (6X2) M/T")</f>
        <v>FL8JN2A-PGJ (6X2) M/T</v>
      </c>
      <c r="J44" s="6">
        <f>IFERROR(__xludf.DUMMYFUNCTION("""COMPUTED_VALUE"""),7684.0)</f>
        <v>7684</v>
      </c>
      <c r="K44" s="6" t="str">
        <f>IFERROR(__xludf.DUMMYFUNCTION("""COMPUTED_VALUE"""),"EURO 4")</f>
        <v>EURO 4</v>
      </c>
      <c r="L44" s="6" t="str">
        <f>IFERROR(__xludf.DUMMYFUNCTION("""COMPUTED_VALUE"""),"Standart")</f>
        <v>Standart</v>
      </c>
      <c r="M44" s="6" t="str">
        <f>IFERROR(__xludf.DUMMYFUNCTION("""COMPUTED_VALUE"""),"Aweco")</f>
        <v>Aweco</v>
      </c>
      <c r="N44" s="6">
        <f>IFERROR(__xludf.DUMMYFUNCTION("""COMPUTED_VALUE"""),2023.0)</f>
        <v>2023</v>
      </c>
      <c r="O44" s="6">
        <f>IFERROR(__xludf.DUMMYFUNCTION("""COMPUTED_VALUE"""),3.0)</f>
        <v>3</v>
      </c>
      <c r="P44" s="6" t="str">
        <f>IFERROR(__xludf.DUMMYFUNCTION("""COMPUTED_VALUE"""),"CS")</f>
        <v>CS</v>
      </c>
      <c r="Q44" s="6" t="str">
        <f>IFERROR(__xludf.DUMMYFUNCTION("""COMPUTED_VALUE"""),"HINO")</f>
        <v>HINO</v>
      </c>
      <c r="R44" s="6" t="str">
        <f>IFERROR(__xludf.DUMMYFUNCTION("""COMPUTED_VALUE"""),"J08EWEJ16893")</f>
        <v>J08EWEJ16893</v>
      </c>
      <c r="S44" s="6" t="str">
        <f>IFERROR(__xludf.DUMMYFUNCTION("""COMPUTED_VALUE"""),"MJEFL8JN2PJP10614")</f>
        <v>MJEFL8JN2PJP10614</v>
      </c>
      <c r="T44" s="31">
        <f>IFERROR(__xludf.DUMMYFUNCTION("""COMPUTED_VALUE"""),47071.0)</f>
        <v>47071</v>
      </c>
      <c r="U44" s="6" t="str">
        <f>IFERROR(__xludf.DUMMYFUNCTION("""COMPUTED_VALUE"""),"Berlaku")</f>
        <v>Berlaku</v>
      </c>
      <c r="V44" s="31">
        <f>IFERROR(__xludf.DUMMYFUNCTION("""COMPUTED_VALUE"""),46340.0)</f>
        <v>46340</v>
      </c>
      <c r="W44" s="6" t="str">
        <f>IFERROR(__xludf.DUMMYFUNCTION("""COMPUTED_VALUE"""),"Akan Habis")</f>
        <v>Akan Habis</v>
      </c>
      <c r="X44" s="31"/>
      <c r="Y44" s="6" t="str">
        <f>IFERROR(__xludf.DUMMYFUNCTION("""COMPUTED_VALUE"""),"Habis")</f>
        <v>Habis</v>
      </c>
      <c r="Z44" s="31">
        <f>IFERROR(__xludf.DUMMYFUNCTION("""COMPUTED_VALUE"""),46333.0)</f>
        <v>46333</v>
      </c>
      <c r="AA44" s="6" t="str">
        <f>IFERROR(__xludf.DUMMYFUNCTION("""COMPUTED_VALUE"""),"Berlaku")</f>
        <v>Berlaku</v>
      </c>
      <c r="AB44" s="31">
        <f>IFERROR(__xludf.DUMMYFUNCTION("""COMPUTED_VALUE"""),46526.0)</f>
        <v>46526</v>
      </c>
      <c r="AC44" s="6" t="str">
        <f>IFERROR(__xludf.DUMMYFUNCTION("""COMPUTED_VALUE"""),"Berlaku")</f>
        <v>Berlaku</v>
      </c>
      <c r="AD44" s="33">
        <f>IFERROR(__xludf.DUMMYFUNCTION("""COMPUTED_VALUE"""),46340.0)</f>
        <v>46340</v>
      </c>
      <c r="AE44" s="6" t="str">
        <f>IFERROR(__xludf.DUMMYFUNCTION("""COMPUTED_VALUE"""),"Berlaku")</f>
        <v>Berlaku</v>
      </c>
      <c r="AF44" s="6" t="str">
        <f>IFERROR(__xludf.DUMMYFUNCTION("""COMPUTED_VALUE"""),"TUGU")</f>
        <v>TUGU</v>
      </c>
      <c r="AG44" s="6" t="str">
        <f>IFERROR(__xludf.DUMMYFUNCTION("""COMPUTED_VALUE"""),"AKTIF ")</f>
        <v>AKTIF </v>
      </c>
      <c r="AH44" s="6"/>
      <c r="AI44" s="6" t="str">
        <f>IFERROR(__xludf.DUMMYFUNCTION("""COMPUTED_VALUE"""),"Menggantikan MT AA1940DF milik PT Tanah Putih")</f>
        <v>Menggantikan MT AA1940DF milik PT Tanah Putih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hidden="1">
      <c r="A45" s="6">
        <f>IFERROR(__xludf.DUMMYFUNCTION("""COMPUTED_VALUE"""),60.0)</f>
        <v>60</v>
      </c>
      <c r="B45" s="6" t="str">
        <f>IFERROR(__xludf.DUMMYFUNCTION("""COMPUTED_VALUE"""),"H9392OF")</f>
        <v>H9392OF</v>
      </c>
      <c r="C45" s="6" t="str">
        <f>IFERROR(__xludf.DUMMYFUNCTION("""COMPUTED_VALUE"""),"8+8")</f>
        <v>8+8</v>
      </c>
      <c r="D45" s="6">
        <f>IFERROR(__xludf.DUMMYFUNCTION("""COMPUTED_VALUE"""),16.0)</f>
        <v>16</v>
      </c>
      <c r="E45" s="6" t="str">
        <f>IFERROR(__xludf.DUMMYFUNCTION("""COMPUTED_VALUE"""),"PT. ADHI BUANA PERSADA")</f>
        <v>PT. ADHI BUANA PERSADA</v>
      </c>
      <c r="F45" s="6">
        <f>IFERROR(__xludf.DUMMYFUNCTION("""COMPUTED_VALUE"""),2023.0)</f>
        <v>2023</v>
      </c>
      <c r="G45" s="6">
        <f>IFERROR(__xludf.DUMMYFUNCTION("""COMPUTED_VALUE"""),2023.0)</f>
        <v>2023</v>
      </c>
      <c r="H45" s="6">
        <f>IFERROR(__xludf.DUMMYFUNCTION("""COMPUTED_VALUE"""),3.0)</f>
        <v>3</v>
      </c>
      <c r="I45" s="6" t="str">
        <f>IFERROR(__xludf.DUMMYFUNCTION("""COMPUTED_VALUE"""),"FL8JN2A-PGJ (6X2) M/T")</f>
        <v>FL8JN2A-PGJ (6X2) M/T</v>
      </c>
      <c r="J45" s="6">
        <f>IFERROR(__xludf.DUMMYFUNCTION("""COMPUTED_VALUE"""),7684.0)</f>
        <v>7684</v>
      </c>
      <c r="K45" s="6" t="str">
        <f>IFERROR(__xludf.DUMMYFUNCTION("""COMPUTED_VALUE"""),"EURO 4")</f>
        <v>EURO 4</v>
      </c>
      <c r="L45" s="6" t="str">
        <f>IFERROR(__xludf.DUMMYFUNCTION("""COMPUTED_VALUE"""),"Standart")</f>
        <v>Standart</v>
      </c>
      <c r="M45" s="6" t="str">
        <f>IFERROR(__xludf.DUMMYFUNCTION("""COMPUTED_VALUE"""),"Aweco")</f>
        <v>Aweco</v>
      </c>
      <c r="N45" s="6">
        <f>IFERROR(__xludf.DUMMYFUNCTION("""COMPUTED_VALUE"""),2023.0)</f>
        <v>2023</v>
      </c>
      <c r="O45" s="6">
        <f>IFERROR(__xludf.DUMMYFUNCTION("""COMPUTED_VALUE"""),3.0)</f>
        <v>3</v>
      </c>
      <c r="P45" s="6" t="str">
        <f>IFERROR(__xludf.DUMMYFUNCTION("""COMPUTED_VALUE"""),"CS")</f>
        <v>CS</v>
      </c>
      <c r="Q45" s="6" t="str">
        <f>IFERROR(__xludf.DUMMYFUNCTION("""COMPUTED_VALUE"""),"HINO")</f>
        <v>HINO</v>
      </c>
      <c r="R45" s="6" t="str">
        <f>IFERROR(__xludf.DUMMYFUNCTION("""COMPUTED_VALUE"""),"J08EWEJ16306")</f>
        <v>J08EWEJ16306</v>
      </c>
      <c r="S45" s="6" t="str">
        <f>IFERROR(__xludf.DUMMYFUNCTION("""COMPUTED_VALUE"""),"MJEFL8JN2PJP10541")</f>
        <v>MJEFL8JN2PJP10541</v>
      </c>
      <c r="T45" s="31">
        <f>IFERROR(__xludf.DUMMYFUNCTION("""COMPUTED_VALUE"""),47071.0)</f>
        <v>47071</v>
      </c>
      <c r="U45" s="6" t="str">
        <f>IFERROR(__xludf.DUMMYFUNCTION("""COMPUTED_VALUE"""),"Berlaku")</f>
        <v>Berlaku</v>
      </c>
      <c r="V45" s="31">
        <f>IFERROR(__xludf.DUMMYFUNCTION("""COMPUTED_VALUE"""),46340.0)</f>
        <v>46340</v>
      </c>
      <c r="W45" s="6" t="str">
        <f>IFERROR(__xludf.DUMMYFUNCTION("""COMPUTED_VALUE"""),"Akan Habis")</f>
        <v>Akan Habis</v>
      </c>
      <c r="X45" s="31"/>
      <c r="Y45" s="6" t="str">
        <f>IFERROR(__xludf.DUMMYFUNCTION("""COMPUTED_VALUE"""),"Habis")</f>
        <v>Habis</v>
      </c>
      <c r="Z45" s="31">
        <f>IFERROR(__xludf.DUMMYFUNCTION("""COMPUTED_VALUE"""),46333.0)</f>
        <v>46333</v>
      </c>
      <c r="AA45" s="6" t="str">
        <f>IFERROR(__xludf.DUMMYFUNCTION("""COMPUTED_VALUE"""),"Berlaku")</f>
        <v>Berlaku</v>
      </c>
      <c r="AB45" s="31">
        <f>IFERROR(__xludf.DUMMYFUNCTION("""COMPUTED_VALUE"""),46711.0)</f>
        <v>46711</v>
      </c>
      <c r="AC45" s="6" t="str">
        <f>IFERROR(__xludf.DUMMYFUNCTION("""COMPUTED_VALUE"""),"Berlaku")</f>
        <v>Berlaku</v>
      </c>
      <c r="AD45" s="33">
        <f>IFERROR(__xludf.DUMMYFUNCTION("""COMPUTED_VALUE"""),46340.0)</f>
        <v>46340</v>
      </c>
      <c r="AE45" s="6" t="str">
        <f>IFERROR(__xludf.DUMMYFUNCTION("""COMPUTED_VALUE"""),"Berlaku")</f>
        <v>Berlaku</v>
      </c>
      <c r="AF45" s="6" t="str">
        <f>IFERROR(__xludf.DUMMYFUNCTION("""COMPUTED_VALUE"""),"TUGU")</f>
        <v>TUGU</v>
      </c>
      <c r="AG45" s="6" t="str">
        <f>IFERROR(__xludf.DUMMYFUNCTION("""COMPUTED_VALUE"""),"AKTIF ")</f>
        <v>AKTIF </v>
      </c>
      <c r="AH45" s="6"/>
      <c r="AI45" s="6" t="str">
        <f>IFERROR(__xludf.DUMMYFUNCTION("""COMPUTED_VALUE"""),"Menggantikan MT AA1817FP milik PT Tanah Putih")</f>
        <v>Menggantikan MT AA1817FP milik PT Tanah Putih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</row>
    <row r="46" hidden="1">
      <c r="A46" s="6">
        <f>IFERROR(__xludf.DUMMYFUNCTION("""COMPUTED_VALUE"""),63.0)</f>
        <v>63</v>
      </c>
      <c r="B46" s="6" t="str">
        <f>IFERROR(__xludf.DUMMYFUNCTION("""COMPUTED_VALUE"""),"H9155OF")</f>
        <v>H9155OF</v>
      </c>
      <c r="C46" s="6" t="str">
        <f>IFERROR(__xludf.DUMMYFUNCTION("""COMPUTED_VALUE"""),"8+8")</f>
        <v>8+8</v>
      </c>
      <c r="D46" s="6">
        <f>IFERROR(__xludf.DUMMYFUNCTION("""COMPUTED_VALUE"""),16.0)</f>
        <v>16</v>
      </c>
      <c r="E46" s="6" t="str">
        <f>IFERROR(__xludf.DUMMYFUNCTION("""COMPUTED_VALUE"""),"PT. LUMAS PRIMA")</f>
        <v>PT. LUMAS PRIMA</v>
      </c>
      <c r="F46" s="6">
        <f>IFERROR(__xludf.DUMMYFUNCTION("""COMPUTED_VALUE"""),2018.0)</f>
        <v>2018</v>
      </c>
      <c r="G46" s="6">
        <f>IFERROR(__xludf.DUMMYFUNCTION("""COMPUTED_VALUE"""),2018.0)</f>
        <v>2018</v>
      </c>
      <c r="H46" s="6">
        <f>IFERROR(__xludf.DUMMYFUNCTION("""COMPUTED_VALUE"""),8.0)</f>
        <v>8</v>
      </c>
      <c r="I46" s="6" t="str">
        <f>IFERROR(__xludf.DUMMYFUNCTION("""COMPUTED_VALUE"""),"FVM34Q")</f>
        <v>FVM34Q</v>
      </c>
      <c r="J46" s="6">
        <f>IFERROR(__xludf.DUMMYFUNCTION("""COMPUTED_VALUE"""),7790.0)</f>
        <v>7790</v>
      </c>
      <c r="K46" s="6" t="str">
        <f>IFERROR(__xludf.DUMMYFUNCTION("""COMPUTED_VALUE"""),"EURO 2")</f>
        <v>EURO 2</v>
      </c>
      <c r="L46" s="6" t="str">
        <f>IFERROR(__xludf.DUMMYFUNCTION("""COMPUTED_VALUE"""),"PTO")</f>
        <v>PTO</v>
      </c>
      <c r="M46" s="6" t="str">
        <f>IFERROR(__xludf.DUMMYFUNCTION("""COMPUTED_VALUE"""),"Geluran Adikarya")</f>
        <v>Geluran Adikarya</v>
      </c>
      <c r="N46" s="6">
        <f>IFERROR(__xludf.DUMMYFUNCTION("""COMPUTED_VALUE"""),2018.0)</f>
        <v>2018</v>
      </c>
      <c r="O46" s="6">
        <f>IFERROR(__xludf.DUMMYFUNCTION("""COMPUTED_VALUE"""),8.0)</f>
        <v>8</v>
      </c>
      <c r="P46" s="6" t="str">
        <f>IFERROR(__xludf.DUMMYFUNCTION("""COMPUTED_VALUE"""),"CS")</f>
        <v>CS</v>
      </c>
      <c r="Q46" s="6" t="str">
        <f>IFERROR(__xludf.DUMMYFUNCTION("""COMPUTED_VALUE"""),"ISUZU")</f>
        <v>ISUZU</v>
      </c>
      <c r="R46" s="6" t="str">
        <f>IFERROR(__xludf.DUMMYFUNCTION("""COMPUTED_VALUE"""),"6HK1F006667")</f>
        <v>6HK1F006667</v>
      </c>
      <c r="S46" s="6" t="str">
        <f>IFERROR(__xludf.DUMMYFUNCTION("""COMPUTED_VALUE"""),"MHCFVM341JJ000436")</f>
        <v>MHCFVM341JJ000436</v>
      </c>
      <c r="T46" s="31">
        <f>IFERROR(__xludf.DUMMYFUNCTION("""COMPUTED_VALUE"""),46999.0)</f>
        <v>46999</v>
      </c>
      <c r="U46" s="6" t="str">
        <f>IFERROR(__xludf.DUMMYFUNCTION("""COMPUTED_VALUE"""),"Berlaku")</f>
        <v>Berlaku</v>
      </c>
      <c r="V46" s="31">
        <f>IFERROR(__xludf.DUMMYFUNCTION("""COMPUTED_VALUE"""),46633.0)</f>
        <v>46633</v>
      </c>
      <c r="W46" s="6" t="str">
        <f>IFERROR(__xludf.DUMMYFUNCTION("""COMPUTED_VALUE"""),"Berlaku")</f>
        <v>Berlaku</v>
      </c>
      <c r="X46" s="31"/>
      <c r="Y46" s="6" t="str">
        <f>IFERROR(__xludf.DUMMYFUNCTION("""COMPUTED_VALUE"""),"Habis")</f>
        <v>Habis</v>
      </c>
      <c r="Z46" s="31">
        <f>IFERROR(__xludf.DUMMYFUNCTION("""COMPUTED_VALUE"""),46445.0)</f>
        <v>46445</v>
      </c>
      <c r="AA46" s="6" t="str">
        <f>IFERROR(__xludf.DUMMYFUNCTION("""COMPUTED_VALUE"""),"Berlaku")</f>
        <v>Berlaku</v>
      </c>
      <c r="AB46" s="31">
        <f>IFERROR(__xludf.DUMMYFUNCTION("""COMPUTED_VALUE"""),46648.0)</f>
        <v>46648</v>
      </c>
      <c r="AC46" s="6" t="str">
        <f>IFERROR(__xludf.DUMMYFUNCTION("""COMPUTED_VALUE"""),"Berlaku")</f>
        <v>Berlaku</v>
      </c>
      <c r="AD46" s="33">
        <f>IFERROR(__xludf.DUMMYFUNCTION("""COMPUTED_VALUE"""),46340.0)</f>
        <v>46340</v>
      </c>
      <c r="AE46" s="6" t="str">
        <f>IFERROR(__xludf.DUMMYFUNCTION("""COMPUTED_VALUE"""),"Berlaku")</f>
        <v>Berlaku</v>
      </c>
      <c r="AF46" s="6" t="str">
        <f>IFERROR(__xludf.DUMMYFUNCTION("""COMPUTED_VALUE"""),"TUGU")</f>
        <v>TUGU</v>
      </c>
      <c r="AG46" s="6" t="str">
        <f>IFERROR(__xludf.DUMMYFUNCTION("""COMPUTED_VALUE"""),"AKTIF ")</f>
        <v>AKTIF </v>
      </c>
      <c r="AH46" s="6"/>
      <c r="AI46" s="6" t="str">
        <f>IFERROR(__xludf.DUMMYFUNCTION("""COMPUTED_VALUE"""),"No pol lama H1429FA")</f>
        <v>No pol lama H1429FA</v>
      </c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hidden="1">
      <c r="A47" s="6">
        <f>IFERROR(__xludf.DUMMYFUNCTION("""COMPUTED_VALUE"""),64.0)</f>
        <v>64</v>
      </c>
      <c r="B47" s="6" t="str">
        <f>IFERROR(__xludf.DUMMYFUNCTION("""COMPUTED_VALUE"""),"H9771OF")</f>
        <v>H9771OF</v>
      </c>
      <c r="C47" s="6" t="str">
        <f>IFERROR(__xludf.DUMMYFUNCTION("""COMPUTED_VALUE"""),"8+8")</f>
        <v>8+8</v>
      </c>
      <c r="D47" s="6">
        <f>IFERROR(__xludf.DUMMYFUNCTION("""COMPUTED_VALUE"""),16.0)</f>
        <v>16</v>
      </c>
      <c r="E47" s="6" t="str">
        <f>IFERROR(__xludf.DUMMYFUNCTION("""COMPUTED_VALUE"""),"PT. LUMAS BIRU MANDIRI")</f>
        <v>PT. LUMAS BIRU MANDIRI</v>
      </c>
      <c r="F47" s="6">
        <f>IFERROR(__xludf.DUMMYFUNCTION("""COMPUTED_VALUE"""),2023.0)</f>
        <v>2023</v>
      </c>
      <c r="G47" s="6">
        <f>IFERROR(__xludf.DUMMYFUNCTION("""COMPUTED_VALUE"""),2024.0)</f>
        <v>2024</v>
      </c>
      <c r="H47" s="6">
        <f>IFERROR(__xludf.DUMMYFUNCTION("""COMPUTED_VALUE"""),3.0)</f>
        <v>3</v>
      </c>
      <c r="I47" s="6" t="str">
        <f>IFERROR(__xludf.DUMMYFUNCTION("""COMPUTED_VALUE"""),"FL8JN2A-PGJ (6X2) M/T")</f>
        <v>FL8JN2A-PGJ (6X2) M/T</v>
      </c>
      <c r="J47" s="6">
        <f>IFERROR(__xludf.DUMMYFUNCTION("""COMPUTED_VALUE"""),7684.0)</f>
        <v>7684</v>
      </c>
      <c r="K47" s="6" t="str">
        <f>IFERROR(__xludf.DUMMYFUNCTION("""COMPUTED_VALUE"""),"EURO 4")</f>
        <v>EURO 4</v>
      </c>
      <c r="L47" s="6" t="str">
        <f>IFERROR(__xludf.DUMMYFUNCTION("""COMPUTED_VALUE"""),"Standart")</f>
        <v>Standart</v>
      </c>
      <c r="M47" s="6" t="str">
        <f>IFERROR(__xludf.DUMMYFUNCTION("""COMPUTED_VALUE"""),"Aweco")</f>
        <v>Aweco</v>
      </c>
      <c r="N47" s="6">
        <f>IFERROR(__xludf.DUMMYFUNCTION("""COMPUTED_VALUE"""),2023.0)</f>
        <v>2023</v>
      </c>
      <c r="O47" s="6">
        <f>IFERROR(__xludf.DUMMYFUNCTION("""COMPUTED_VALUE"""),3.0)</f>
        <v>3</v>
      </c>
      <c r="P47" s="6" t="str">
        <f>IFERROR(__xludf.DUMMYFUNCTION("""COMPUTED_VALUE"""),"CS")</f>
        <v>CS</v>
      </c>
      <c r="Q47" s="6" t="str">
        <f>IFERROR(__xludf.DUMMYFUNCTION("""COMPUTED_VALUE"""),"HINO")</f>
        <v>HINO</v>
      </c>
      <c r="R47" s="6" t="str">
        <f>IFERROR(__xludf.DUMMYFUNCTION("""COMPUTED_VALUE"""),"J08EWEJ17352")</f>
        <v>J08EWEJ17352</v>
      </c>
      <c r="S47" s="6" t="str">
        <f>IFERROR(__xludf.DUMMYFUNCTION("""COMPUTED_VALUE"""),"MJEFL8JN2PJP10693")</f>
        <v>MJEFL8JN2PJP10693</v>
      </c>
      <c r="T47" s="31">
        <f>IFERROR(__xludf.DUMMYFUNCTION("""COMPUTED_VALUE"""),47199.0)</f>
        <v>47199</v>
      </c>
      <c r="U47" s="6" t="str">
        <f>IFERROR(__xludf.DUMMYFUNCTION("""COMPUTED_VALUE"""),"Berlaku")</f>
        <v>Berlaku</v>
      </c>
      <c r="V47" s="31">
        <f>IFERROR(__xludf.DUMMYFUNCTION("""COMPUTED_VALUE"""),46468.0)</f>
        <v>46468</v>
      </c>
      <c r="W47" s="6" t="str">
        <f>IFERROR(__xludf.DUMMYFUNCTION("""COMPUTED_VALUE"""),"Berlaku")</f>
        <v>Berlaku</v>
      </c>
      <c r="X47" s="31"/>
      <c r="Y47" s="6" t="str">
        <f>IFERROR(__xludf.DUMMYFUNCTION("""COMPUTED_VALUE"""),"Habis")</f>
        <v>Habis</v>
      </c>
      <c r="Z47" s="31">
        <f>IFERROR(__xludf.DUMMYFUNCTION("""COMPUTED_VALUE"""),46304.0)</f>
        <v>46304</v>
      </c>
      <c r="AA47" s="6" t="str">
        <f>IFERROR(__xludf.DUMMYFUNCTION("""COMPUTED_VALUE"""),"Akan Habis")</f>
        <v>Akan Habis</v>
      </c>
      <c r="AB47" s="31">
        <f>IFERROR(__xludf.DUMMYFUNCTION("""COMPUTED_VALUE"""),47014.0)</f>
        <v>47014</v>
      </c>
      <c r="AC47" s="6" t="str">
        <f>IFERROR(__xludf.DUMMYFUNCTION("""COMPUTED_VALUE"""),"Berlaku")</f>
        <v>Berlaku</v>
      </c>
      <c r="AD47" s="33">
        <f>IFERROR(__xludf.DUMMYFUNCTION("""COMPUTED_VALUE"""),46304.0)</f>
        <v>46304</v>
      </c>
      <c r="AE47" s="6" t="str">
        <f>IFERROR(__xludf.DUMMYFUNCTION("""COMPUTED_VALUE"""),"Akan Habis")</f>
        <v>Akan Habis</v>
      </c>
      <c r="AF47" s="6" t="str">
        <f>IFERROR(__xludf.DUMMYFUNCTION("""COMPUTED_VALUE"""),"MANDIRI")</f>
        <v>MANDIRI</v>
      </c>
      <c r="AG47" s="6" t="str">
        <f>IFERROR(__xludf.DUMMYFUNCTION("""COMPUTED_VALUE"""),"AKTIF ")</f>
        <v>AKTIF </v>
      </c>
      <c r="AH47" s="6"/>
      <c r="AI47" s="6" t="str">
        <f>IFERROR(__xludf.DUMMYFUNCTION("""COMPUTED_VALUE"""),"Menggantikan mt no pol R9912CR (R1993DS PERUBAHAN NO POL (PERPANJANG PAJAK) PT Satu Hati tgl 22 Mei 2024 akan afkir dan tidak diremajakan (akan diremajakan oleh PT Lumas Biru Mandiri)")</f>
        <v>Menggantikan mt no pol R9912CR (R1993DS PERUBAHAN NO POL (PERPANJANG PAJAK) PT Satu Hati tgl 22 Mei 2024 akan afkir dan tidak diremajakan (akan diremajakan oleh PT Lumas Biru Mandiri)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hidden="1">
      <c r="A48" s="6">
        <f>IFERROR(__xludf.DUMMYFUNCTION("""COMPUTED_VALUE"""),65.0)</f>
        <v>65</v>
      </c>
      <c r="B48" s="6" t="str">
        <f>IFERROR(__xludf.DUMMYFUNCTION("""COMPUTED_VALUE"""),"H8481OH")</f>
        <v>H8481OH</v>
      </c>
      <c r="C48" s="6" t="str">
        <f>IFERROR(__xludf.DUMMYFUNCTION("""COMPUTED_VALUE"""),"8+8")</f>
        <v>8+8</v>
      </c>
      <c r="D48" s="6">
        <f>IFERROR(__xludf.DUMMYFUNCTION("""COMPUTED_VALUE"""),16.0)</f>
        <v>16</v>
      </c>
      <c r="E48" s="6" t="str">
        <f>IFERROR(__xludf.DUMMYFUNCTION("""COMPUTED_VALUE"""),"PT. LUMAS BIRU MANDIRI")</f>
        <v>PT. LUMAS BIRU MANDIRI</v>
      </c>
      <c r="F48" s="6">
        <f>IFERROR(__xludf.DUMMYFUNCTION("""COMPUTED_VALUE"""),2024.0)</f>
        <v>2024</v>
      </c>
      <c r="G48" s="6">
        <f>IFERROR(__xludf.DUMMYFUNCTION("""COMPUTED_VALUE"""),2024.0)</f>
        <v>2024</v>
      </c>
      <c r="H48" s="6">
        <f>IFERROR(__xludf.DUMMYFUNCTION("""COMPUTED_VALUE"""),2.0)</f>
        <v>2</v>
      </c>
      <c r="I48" s="6" t="str">
        <f>IFERROR(__xludf.DUMMYFUNCTION("""COMPUTED_VALUE"""),"FL8JN2A-PGJ (6X2) M/T")</f>
        <v>FL8JN2A-PGJ (6X2) M/T</v>
      </c>
      <c r="J48" s="6">
        <f>IFERROR(__xludf.DUMMYFUNCTION("""COMPUTED_VALUE"""),7684.0)</f>
        <v>7684</v>
      </c>
      <c r="K48" s="6" t="str">
        <f>IFERROR(__xludf.DUMMYFUNCTION("""COMPUTED_VALUE"""),"EURO 4")</f>
        <v>EURO 4</v>
      </c>
      <c r="L48" s="6" t="str">
        <f>IFERROR(__xludf.DUMMYFUNCTION("""COMPUTED_VALUE"""),"Standart")</f>
        <v>Standart</v>
      </c>
      <c r="M48" s="6" t="str">
        <f>IFERROR(__xludf.DUMMYFUNCTION("""COMPUTED_VALUE"""),"Meco")</f>
        <v>Meco</v>
      </c>
      <c r="N48" s="6">
        <f>IFERROR(__xludf.DUMMYFUNCTION("""COMPUTED_VALUE"""),2024.0)</f>
        <v>2024</v>
      </c>
      <c r="O48" s="6">
        <f>IFERROR(__xludf.DUMMYFUNCTION("""COMPUTED_VALUE"""),2.0)</f>
        <v>2</v>
      </c>
      <c r="P48" s="6" t="str">
        <f>IFERROR(__xludf.DUMMYFUNCTION("""COMPUTED_VALUE"""),"CS")</f>
        <v>CS</v>
      </c>
      <c r="Q48" s="6" t="str">
        <f>IFERROR(__xludf.DUMMYFUNCTION("""COMPUTED_VALUE"""),"HINO")</f>
        <v>HINO</v>
      </c>
      <c r="R48" s="6" t="str">
        <f>IFERROR(__xludf.DUMMYFUNCTION("""COMPUTED_VALUE"""),"J08EWEJ19776")</f>
        <v>J08EWEJ19776</v>
      </c>
      <c r="S48" s="6" t="str">
        <f>IFERROR(__xludf.DUMMYFUNCTION("""COMPUTED_VALUE"""),"MJEFL8JN2RJP10944")</f>
        <v>MJEFL8JN2RJP10944</v>
      </c>
      <c r="T48" s="31">
        <f>IFERROR(__xludf.DUMMYFUNCTION("""COMPUTED_VALUE"""),47360.0)</f>
        <v>47360</v>
      </c>
      <c r="U48" s="6" t="str">
        <f>IFERROR(__xludf.DUMMYFUNCTION("""COMPUTED_VALUE"""),"Berlaku")</f>
        <v>Berlaku</v>
      </c>
      <c r="V48" s="31">
        <f>IFERROR(__xludf.DUMMYFUNCTION("""COMPUTED_VALUE"""),46629.0)</f>
        <v>46629</v>
      </c>
      <c r="W48" s="6" t="str">
        <f>IFERROR(__xludf.DUMMYFUNCTION("""COMPUTED_VALUE"""),"Berlaku")</f>
        <v>Berlaku</v>
      </c>
      <c r="X48" s="31"/>
      <c r="Y48" s="6" t="str">
        <f>IFERROR(__xludf.DUMMYFUNCTION("""COMPUTED_VALUE"""),"Habis")</f>
        <v>Habis</v>
      </c>
      <c r="Z48" s="31">
        <f>IFERROR(__xludf.DUMMYFUNCTION("""COMPUTED_VALUE"""),46277.0)</f>
        <v>46277</v>
      </c>
      <c r="AA48" s="6" t="str">
        <f>IFERROR(__xludf.DUMMYFUNCTION("""COMPUTED_VALUE"""),"Habis")</f>
        <v>Habis</v>
      </c>
      <c r="AB48" s="31">
        <f>IFERROR(__xludf.DUMMYFUNCTION("""COMPUTED_VALUE"""),47007.0)</f>
        <v>47007</v>
      </c>
      <c r="AC48" s="6" t="str">
        <f>IFERROR(__xludf.DUMMYFUNCTION("""COMPUTED_VALUE"""),"Berlaku")</f>
        <v>Berlaku</v>
      </c>
      <c r="AD48" s="33">
        <f>IFERROR(__xludf.DUMMYFUNCTION("""COMPUTED_VALUE"""),46340.0)</f>
        <v>46340</v>
      </c>
      <c r="AE48" s="6" t="str">
        <f>IFERROR(__xludf.DUMMYFUNCTION("""COMPUTED_VALUE"""),"Berlaku")</f>
        <v>Berlaku</v>
      </c>
      <c r="AF48" s="6" t="str">
        <f>IFERROR(__xludf.DUMMYFUNCTION("""COMPUTED_VALUE"""),"MANDIRI")</f>
        <v>MANDIRI</v>
      </c>
      <c r="AG48" s="6" t="str">
        <f>IFERROR(__xludf.DUMMYFUNCTION("""COMPUTED_VALUE"""),"AKTIF ")</f>
        <v>AKTIF </v>
      </c>
      <c r="AH48" s="6"/>
      <c r="AI48" s="6" t="str">
        <f>IFERROR(__xludf.DUMMYFUNCTION("""COMPUTED_VALUE"""),"R1998DS PT SATU HATI TIDAK DIREMAJAKAN")</f>
        <v>R1998DS PT SATU HATI TIDAK DIREMAJAKAN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hidden="1">
      <c r="A49" s="6">
        <f>IFERROR(__xludf.DUMMYFUNCTION("""COMPUTED_VALUE"""),66.0)</f>
        <v>66</v>
      </c>
      <c r="B49" s="6" t="str">
        <f>IFERROR(__xludf.DUMMYFUNCTION("""COMPUTED_VALUE"""),"H8428OH")</f>
        <v>H8428OH</v>
      </c>
      <c r="C49" s="6" t="str">
        <f>IFERROR(__xludf.DUMMYFUNCTION("""COMPUTED_VALUE"""),"4+4")</f>
        <v>4+4</v>
      </c>
      <c r="D49" s="6">
        <f>IFERROR(__xludf.DUMMYFUNCTION("""COMPUTED_VALUE"""),8.0)</f>
        <v>8</v>
      </c>
      <c r="E49" s="6" t="str">
        <f>IFERROR(__xludf.DUMMYFUNCTION("""COMPUTED_VALUE"""),"PT. LUMAS BIRU MANDIRI")</f>
        <v>PT. LUMAS BIRU MANDIRI</v>
      </c>
      <c r="F49" s="6">
        <f>IFERROR(__xludf.DUMMYFUNCTION("""COMPUTED_VALUE"""),2024.0)</f>
        <v>2024</v>
      </c>
      <c r="G49" s="6">
        <f>IFERROR(__xludf.DUMMYFUNCTION("""COMPUTED_VALUE"""),2024.0)</f>
        <v>2024</v>
      </c>
      <c r="H49" s="6">
        <f>IFERROR(__xludf.DUMMYFUNCTION("""COMPUTED_VALUE"""),2.0)</f>
        <v>2</v>
      </c>
      <c r="I49" s="6" t="str">
        <f>IFERROR(__xludf.DUMMYFUNCTION("""COMPUTED_VALUE"""),"FIGHTER FM65FS HI GEAR (4X2) M/T")</f>
        <v>FIGHTER FM65FS HI GEAR (4X2) M/T</v>
      </c>
      <c r="J49" s="6">
        <f>IFERROR(__xludf.DUMMYFUNCTION("""COMPUTED_VALUE"""),7545.0)</f>
        <v>7545</v>
      </c>
      <c r="K49" s="6" t="str">
        <f>IFERROR(__xludf.DUMMYFUNCTION("""COMPUTED_VALUE"""),"EURO 4")</f>
        <v>EURO 4</v>
      </c>
      <c r="L49" s="6" t="str">
        <f>IFERROR(__xludf.DUMMYFUNCTION("""COMPUTED_VALUE"""),"Standart")</f>
        <v>Standart</v>
      </c>
      <c r="M49" s="6" t="str">
        <f>IFERROR(__xludf.DUMMYFUNCTION("""COMPUTED_VALUE"""),"Antika Raya")</f>
        <v>Antika Raya</v>
      </c>
      <c r="N49" s="6">
        <f>IFERROR(__xludf.DUMMYFUNCTION("""COMPUTED_VALUE"""),2024.0)</f>
        <v>2024</v>
      </c>
      <c r="O49" s="6">
        <f>IFERROR(__xludf.DUMMYFUNCTION("""COMPUTED_VALUE"""),2.0)</f>
        <v>2</v>
      </c>
      <c r="P49" s="6" t="str">
        <f>IFERROR(__xludf.DUMMYFUNCTION("""COMPUTED_VALUE"""),"CS")</f>
        <v>CS</v>
      </c>
      <c r="Q49" s="6" t="str">
        <f>IFERROR(__xludf.DUMMYFUNCTION("""COMPUTED_VALUE"""),"MITSUBISHI")</f>
        <v>MITSUBISHI</v>
      </c>
      <c r="R49" s="6" t="str">
        <f>IFERROR(__xludf.DUMMYFUNCTION("""COMPUTED_VALUE"""),"6M60305513")</f>
        <v>6M60305513</v>
      </c>
      <c r="S49" s="6" t="str">
        <f>IFERROR(__xludf.DUMMYFUNCTION("""COMPUTED_VALUE"""),"MHMFM65GARK000495")</f>
        <v>MHMFM65GARK000495</v>
      </c>
      <c r="T49" s="31">
        <f>IFERROR(__xludf.DUMMYFUNCTION("""COMPUTED_VALUE"""),47337.0)</f>
        <v>47337</v>
      </c>
      <c r="U49" s="6" t="str">
        <f>IFERROR(__xludf.DUMMYFUNCTION("""COMPUTED_VALUE"""),"Berlaku")</f>
        <v>Berlaku</v>
      </c>
      <c r="V49" s="31">
        <f>IFERROR(__xludf.DUMMYFUNCTION("""COMPUTED_VALUE"""),46606.0)</f>
        <v>46606</v>
      </c>
      <c r="W49" s="6" t="str">
        <f>IFERROR(__xludf.DUMMYFUNCTION("""COMPUTED_VALUE"""),"Berlaku")</f>
        <v>Berlaku</v>
      </c>
      <c r="X49" s="31"/>
      <c r="Y49" s="6" t="str">
        <f>IFERROR(__xludf.DUMMYFUNCTION("""COMPUTED_VALUE"""),"Habis")</f>
        <v>Habis</v>
      </c>
      <c r="Z49" s="31">
        <f>IFERROR(__xludf.DUMMYFUNCTION("""COMPUTED_VALUE"""),46449.0)</f>
        <v>46449</v>
      </c>
      <c r="AA49" s="6" t="str">
        <f>IFERROR(__xludf.DUMMYFUNCTION("""COMPUTED_VALUE"""),"Berlaku")</f>
        <v>Berlaku</v>
      </c>
      <c r="AB49" s="31">
        <f>IFERROR(__xludf.DUMMYFUNCTION("""COMPUTED_VALUE"""),46962.0)</f>
        <v>46962</v>
      </c>
      <c r="AC49" s="6" t="str">
        <f>IFERROR(__xludf.DUMMYFUNCTION("""COMPUTED_VALUE"""),"Berlaku")</f>
        <v>Berlaku</v>
      </c>
      <c r="AD49" s="33">
        <f>IFERROR(__xludf.DUMMYFUNCTION("""COMPUTED_VALUE"""),46302.0)</f>
        <v>46302</v>
      </c>
      <c r="AE49" s="6" t="str">
        <f>IFERROR(__xludf.DUMMYFUNCTION("""COMPUTED_VALUE"""),"Habis dalam 7-1 Hari")</f>
        <v>Habis dalam 7-1 Hari</v>
      </c>
      <c r="AF49" s="6" t="str">
        <f>IFERROR(__xludf.DUMMYFUNCTION("""COMPUTED_VALUE"""),"MANDIRI")</f>
        <v>MANDIRI</v>
      </c>
      <c r="AG49" s="6" t="str">
        <f>IFERROR(__xludf.DUMMYFUNCTION("""COMPUTED_VALUE"""),"AKTIF ")</f>
        <v>AKTIF </v>
      </c>
      <c r="AH49" s="6"/>
      <c r="AI49" s="6" t="str">
        <f>IFERROR(__xludf.DUMMYFUNCTION("""COMPUTED_VALUE"""),"AA1937DF TIDAK DIREMAJAKAN milik PT Tanah Putih")</f>
        <v>AA1937DF TIDAK DIREMAJAKAN milik PT Tanah Putih</v>
      </c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hidden="1">
      <c r="A50" s="6">
        <f>IFERROR(__xludf.DUMMYFUNCTION("""COMPUTED_VALUE"""),67.0)</f>
        <v>67</v>
      </c>
      <c r="B50" s="6" t="str">
        <f>IFERROR(__xludf.DUMMYFUNCTION("""COMPUTED_VALUE"""),"H9536OH")</f>
        <v>H9536OH</v>
      </c>
      <c r="C50" s="6" t="str">
        <f>IFERROR(__xludf.DUMMYFUNCTION("""COMPUTED_VALUE"""),"8+8")</f>
        <v>8+8</v>
      </c>
      <c r="D50" s="6">
        <f>IFERROR(__xludf.DUMMYFUNCTION("""COMPUTED_VALUE"""),16.0)</f>
        <v>16</v>
      </c>
      <c r="E50" s="6" t="str">
        <f>IFERROR(__xludf.DUMMYFUNCTION("""COMPUTED_VALUE"""),"PT. LUMAS BIRU MANDIRI")</f>
        <v>PT. LUMAS BIRU MANDIRI</v>
      </c>
      <c r="F50" s="6">
        <f>IFERROR(__xludf.DUMMYFUNCTION("""COMPUTED_VALUE"""),2024.0)</f>
        <v>2024</v>
      </c>
      <c r="G50" s="6">
        <f>IFERROR(__xludf.DUMMYFUNCTION("""COMPUTED_VALUE"""),2024.0)</f>
        <v>2024</v>
      </c>
      <c r="H50" s="6">
        <f>IFERROR(__xludf.DUMMYFUNCTION("""COMPUTED_VALUE"""),2.0)</f>
        <v>2</v>
      </c>
      <c r="I50" s="6" t="str">
        <f>IFERROR(__xludf.DUMMYFUNCTION("""COMPUTED_VALUE"""),"FL8JN2A-PGJ (6X2)M/T TRONTON")</f>
        <v>FL8JN2A-PGJ (6X2)M/T TRONTON</v>
      </c>
      <c r="J50" s="6">
        <f>IFERROR(__xludf.DUMMYFUNCTION("""COMPUTED_VALUE"""),7684.0)</f>
        <v>7684</v>
      </c>
      <c r="K50" s="6" t="str">
        <f>IFERROR(__xludf.DUMMYFUNCTION("""COMPUTED_VALUE"""),"EURO 4")</f>
        <v>EURO 4</v>
      </c>
      <c r="L50" s="6" t="str">
        <f>IFERROR(__xludf.DUMMYFUNCTION("""COMPUTED_VALUE"""),"PTO")</f>
        <v>PTO</v>
      </c>
      <c r="M50" s="6" t="str">
        <f>IFERROR(__xludf.DUMMYFUNCTION("""COMPUTED_VALUE"""),"MECO")</f>
        <v>MECO</v>
      </c>
      <c r="N50" s="6">
        <f>IFERROR(__xludf.DUMMYFUNCTION("""COMPUTED_VALUE"""),2025.0)</f>
        <v>2025</v>
      </c>
      <c r="O50" s="6">
        <f>IFERROR(__xludf.DUMMYFUNCTION("""COMPUTED_VALUE"""),1.0)</f>
        <v>1</v>
      </c>
      <c r="P50" s="6" t="str">
        <f>IFERROR(__xludf.DUMMYFUNCTION("""COMPUTED_VALUE"""),"CS")</f>
        <v>CS</v>
      </c>
      <c r="Q50" s="6" t="str">
        <f>IFERROR(__xludf.DUMMYFUNCTION("""COMPUTED_VALUE"""),"HINO")</f>
        <v>HINO</v>
      </c>
      <c r="R50" s="6" t="str">
        <f>IFERROR(__xludf.DUMMYFUNCTION("""COMPUTED_VALUE"""),"J08EWEJ23732")</f>
        <v>J08EWEJ23732</v>
      </c>
      <c r="S50" s="6" t="str">
        <f>IFERROR(__xludf.DUMMYFUNCTION("""COMPUTED_VALUE"""),"MJEFL8JN2RJP11444")</f>
        <v>MJEFL8JN2RJP11444</v>
      </c>
      <c r="T50" s="31">
        <f>IFERROR(__xludf.DUMMYFUNCTION("""COMPUTED_VALUE"""),47673.0)</f>
        <v>47673</v>
      </c>
      <c r="U50" s="6" t="str">
        <f>IFERROR(__xludf.DUMMYFUNCTION("""COMPUTED_VALUE"""),"Berlaku")</f>
        <v>Berlaku</v>
      </c>
      <c r="V50" s="31">
        <f>IFERROR(__xludf.DUMMYFUNCTION("""COMPUTED_VALUE"""),46577.0)</f>
        <v>46577</v>
      </c>
      <c r="W50" s="6" t="str">
        <f>IFERROR(__xludf.DUMMYFUNCTION("""COMPUTED_VALUE"""),"Berlaku")</f>
        <v>Berlaku</v>
      </c>
      <c r="X50" s="31"/>
      <c r="Y50" s="6" t="str">
        <f>IFERROR(__xludf.DUMMYFUNCTION("""COMPUTED_VALUE"""),"Habis")</f>
        <v>Habis</v>
      </c>
      <c r="Z50" s="31">
        <f>IFERROR(__xludf.DUMMYFUNCTION("""COMPUTED_VALUE"""),46437.0)</f>
        <v>46437</v>
      </c>
      <c r="AA50" s="6" t="str">
        <f>IFERROR(__xludf.DUMMYFUNCTION("""COMPUTED_VALUE"""),"Berlaku")</f>
        <v>Berlaku</v>
      </c>
      <c r="AB50" s="31">
        <f>IFERROR(__xludf.DUMMYFUNCTION("""COMPUTED_VALUE"""),46625.0)</f>
        <v>46625</v>
      </c>
      <c r="AC50" s="6" t="str">
        <f>IFERROR(__xludf.DUMMYFUNCTION("""COMPUTED_VALUE"""),"Berlaku")</f>
        <v>Berlaku</v>
      </c>
      <c r="AD50" s="33">
        <f>IFERROR(__xludf.DUMMYFUNCTION("""COMPUTED_VALUE"""),46340.0)</f>
        <v>46340</v>
      </c>
      <c r="AE50" s="6" t="str">
        <f>IFERROR(__xludf.DUMMYFUNCTION("""COMPUTED_VALUE"""),"Berlaku")</f>
        <v>Berlaku</v>
      </c>
      <c r="AF50" s="6" t="str">
        <f>IFERROR(__xludf.DUMMYFUNCTION("""COMPUTED_VALUE"""),"MANDIRI")</f>
        <v>MANDIRI</v>
      </c>
      <c r="AG50" s="6" t="str">
        <f>IFERROR(__xludf.DUMMYFUNCTION("""COMPUTED_VALUE"""),"AKTIF ")</f>
        <v>AKTIF </v>
      </c>
      <c r="AH50" s="6"/>
      <c r="AI50" s="6" t="str">
        <f>IFERROR(__xludf.DUMMYFUNCTION("""COMPUTED_VALUE"""),"Nopol Lama B9141SFU")</f>
        <v>Nopol Lama B9141SFU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hidden="1">
      <c r="A51" s="6">
        <f>IFERROR(__xludf.DUMMYFUNCTION("""COMPUTED_VALUE"""),68.0)</f>
        <v>68</v>
      </c>
      <c r="B51" s="6" t="str">
        <f>IFERROR(__xludf.DUMMYFUNCTION("""COMPUTED_VALUE"""),"H9013OH")</f>
        <v>H9013OH</v>
      </c>
      <c r="C51" s="6" t="str">
        <f>IFERROR(__xludf.DUMMYFUNCTION("""COMPUTED_VALUE"""),"8+8")</f>
        <v>8+8</v>
      </c>
      <c r="D51" s="6">
        <f>IFERROR(__xludf.DUMMYFUNCTION("""COMPUTED_VALUE"""),16.0)</f>
        <v>16</v>
      </c>
      <c r="E51" s="6" t="str">
        <f>IFERROR(__xludf.DUMMYFUNCTION("""COMPUTED_VALUE"""),"PT. LUMAS BIRU MANDIRI")</f>
        <v>PT. LUMAS BIRU MANDIRI</v>
      </c>
      <c r="F51" s="6">
        <f>IFERROR(__xludf.DUMMYFUNCTION("""COMPUTED_VALUE"""),2024.0)</f>
        <v>2024</v>
      </c>
      <c r="G51" s="6">
        <f>IFERROR(__xludf.DUMMYFUNCTION("""COMPUTED_VALUE"""),2025.0)</f>
        <v>2025</v>
      </c>
      <c r="H51" s="6">
        <f>IFERROR(__xludf.DUMMYFUNCTION("""COMPUTED_VALUE"""),2.0)</f>
        <v>2</v>
      </c>
      <c r="I51" s="6" t="str">
        <f>IFERROR(__xludf.DUMMYFUNCTION("""COMPUTED_VALUE"""),"FM8JN2D-XGJ")</f>
        <v>FM8JN2D-XGJ</v>
      </c>
      <c r="J51" s="6">
        <f>IFERROR(__xludf.DUMMYFUNCTION("""COMPUTED_VALUE"""),7684.0)</f>
        <v>7684</v>
      </c>
      <c r="K51" s="6" t="str">
        <f>IFERROR(__xludf.DUMMYFUNCTION("""COMPUTED_VALUE"""),"EURO 4")</f>
        <v>EURO 4</v>
      </c>
      <c r="L51" s="6" t="str">
        <f>IFERROR(__xludf.DUMMYFUNCTION("""COMPUTED_VALUE"""),"Standart")</f>
        <v>Standart</v>
      </c>
      <c r="M51" s="6" t="str">
        <f>IFERROR(__xludf.DUMMYFUNCTION("""COMPUTED_VALUE"""),"Meco")</f>
        <v>Meco</v>
      </c>
      <c r="N51" s="6">
        <f>IFERROR(__xludf.DUMMYFUNCTION("""COMPUTED_VALUE"""),2025.0)</f>
        <v>2025</v>
      </c>
      <c r="O51" s="6">
        <f>IFERROR(__xludf.DUMMYFUNCTION("""COMPUTED_VALUE"""),1.0)</f>
        <v>1</v>
      </c>
      <c r="P51" s="6" t="str">
        <f>IFERROR(__xludf.DUMMYFUNCTION("""COMPUTED_VALUE"""),"AA")</f>
        <v>AA</v>
      </c>
      <c r="Q51" s="6" t="str">
        <f>IFERROR(__xludf.DUMMYFUNCTION("""COMPUTED_VALUE"""),"HINO")</f>
        <v>HINO</v>
      </c>
      <c r="R51" s="6" t="str">
        <f>IFERROR(__xludf.DUMMYFUNCTION("""COMPUTED_VALUE"""),"J08EWDJ42293")</f>
        <v>J08EWDJ42293</v>
      </c>
      <c r="S51" s="6" t="str">
        <f>IFERROR(__xludf.DUMMYFUNCTION("""COMPUTED_VALUE"""),"MJEFM8JN2RJX27440")</f>
        <v>MJEFM8JN2RJX27440</v>
      </c>
      <c r="T51" s="31">
        <f>IFERROR(__xludf.DUMMYFUNCTION("""COMPUTED_VALUE"""),47563.0)</f>
        <v>47563</v>
      </c>
      <c r="U51" s="6" t="str">
        <f>IFERROR(__xludf.DUMMYFUNCTION("""COMPUTED_VALUE"""),"Berlaku")</f>
        <v>Berlaku</v>
      </c>
      <c r="V51" s="31">
        <f>IFERROR(__xludf.DUMMYFUNCTION("""COMPUTED_VALUE"""),46467.0)</f>
        <v>46467</v>
      </c>
      <c r="W51" s="6" t="str">
        <f>IFERROR(__xludf.DUMMYFUNCTION("""COMPUTED_VALUE"""),"Berlaku")</f>
        <v>Berlaku</v>
      </c>
      <c r="X51" s="31"/>
      <c r="Y51" s="6" t="str">
        <f>IFERROR(__xludf.DUMMYFUNCTION("""COMPUTED_VALUE"""),"Habis")</f>
        <v>Habis</v>
      </c>
      <c r="Z51" s="31">
        <f>IFERROR(__xludf.DUMMYFUNCTION("""COMPUTED_VALUE"""),46449.0)</f>
        <v>46449</v>
      </c>
      <c r="AA51" s="6" t="str">
        <f>IFERROR(__xludf.DUMMYFUNCTION("""COMPUTED_VALUE"""),"Berlaku")</f>
        <v>Berlaku</v>
      </c>
      <c r="AB51" s="31">
        <f>IFERROR(__xludf.DUMMYFUNCTION("""COMPUTED_VALUE"""),46492.0)</f>
        <v>46492</v>
      </c>
      <c r="AC51" s="6" t="str">
        <f>IFERROR(__xludf.DUMMYFUNCTION("""COMPUTED_VALUE"""),"Berlaku")</f>
        <v>Berlaku</v>
      </c>
      <c r="AD51" s="33">
        <f>IFERROR(__xludf.DUMMYFUNCTION("""COMPUTED_VALUE"""),46302.0)</f>
        <v>46302</v>
      </c>
      <c r="AE51" s="6" t="str">
        <f>IFERROR(__xludf.DUMMYFUNCTION("""COMPUTED_VALUE"""),"Habis dalam 7-1 Hari")</f>
        <v>Habis dalam 7-1 Hari</v>
      </c>
      <c r="AF51" s="6" t="str">
        <f>IFERROR(__xludf.DUMMYFUNCTION("""COMPUTED_VALUE"""),"MANDIRI")</f>
        <v>MANDIRI</v>
      </c>
      <c r="AG51" s="6" t="str">
        <f>IFERROR(__xludf.DUMMYFUNCTION("""COMPUTED_VALUE"""),"AKTIF ")</f>
        <v>AKTIF </v>
      </c>
      <c r="AH51" s="6"/>
      <c r="AI51" s="6" t="str">
        <f>IFERROR(__xludf.DUMMYFUNCTION("""COMPUTED_VALUE"""),"Meremakajan MT milik double gardan 16 KL B 9506 SFU")</f>
        <v>Meremakajan MT milik double gardan 16 KL B 9506 SFU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hidden="1">
      <c r="A52" s="6">
        <f>IFERROR(__xludf.DUMMYFUNCTION("""COMPUTED_VALUE"""),69.0)</f>
        <v>69</v>
      </c>
      <c r="B52" s="6" t="str">
        <f>IFERROR(__xludf.DUMMYFUNCTION("""COMPUTED_VALUE"""),"G9534OA")</f>
        <v>G9534OA</v>
      </c>
      <c r="C52" s="6" t="str">
        <f>IFERROR(__xludf.DUMMYFUNCTION("""COMPUTED_VALUE"""),"8+8+8")</f>
        <v>8+8+8</v>
      </c>
      <c r="D52" s="6">
        <f>IFERROR(__xludf.DUMMYFUNCTION("""COMPUTED_VALUE"""),24.0)</f>
        <v>24</v>
      </c>
      <c r="E52" s="6" t="str">
        <f>IFERROR(__xludf.DUMMYFUNCTION("""COMPUTED_VALUE"""),"PT. MURNI ADHI DUKUH JAYA")</f>
        <v>PT. MURNI ADHI DUKUH JAYA</v>
      </c>
      <c r="F52" s="6">
        <f>IFERROR(__xludf.DUMMYFUNCTION("""COMPUTED_VALUE"""),2025.0)</f>
        <v>2025</v>
      </c>
      <c r="G52" s="6">
        <f>IFERROR(__xludf.DUMMYFUNCTION("""COMPUTED_VALUE"""),2026.0)</f>
        <v>2026</v>
      </c>
      <c r="H52" s="6">
        <f>IFERROR(__xludf.DUMMYFUNCTION("""COMPUTED_VALUE"""),1.0)</f>
        <v>1</v>
      </c>
      <c r="I52" s="6" t="str">
        <f>IFERROR(__xludf.DUMMYFUNCTION("""COMPUTED_VALUE"""),"SG8JF2B-XGJ M/T TRACTOR HEAD")</f>
        <v>SG8JF2B-XGJ M/T TRACTOR HEAD</v>
      </c>
      <c r="J52" s="6">
        <f>IFERROR(__xludf.DUMMYFUNCTION("""COMPUTED_VALUE"""),7684.0)</f>
        <v>7684</v>
      </c>
      <c r="K52" s="6" t="str">
        <f>IFERROR(__xludf.DUMMYFUNCTION("""COMPUTED_VALUE"""),"EURO 4")</f>
        <v>EURO 4</v>
      </c>
      <c r="L52" s="6" t="str">
        <f>IFERROR(__xludf.DUMMYFUNCTION("""COMPUTED_VALUE"""),"Standart")</f>
        <v>Standart</v>
      </c>
      <c r="M52" s="6" t="str">
        <f>IFERROR(__xludf.DUMMYFUNCTION("""COMPUTED_VALUE"""),"Geluran Adikarya")</f>
        <v>Geluran Adikarya</v>
      </c>
      <c r="N52" s="6">
        <f>IFERROR(__xludf.DUMMYFUNCTION("""COMPUTED_VALUE"""),2016.0)</f>
        <v>2016</v>
      </c>
      <c r="O52" s="6">
        <f>IFERROR(__xludf.DUMMYFUNCTION("""COMPUTED_VALUE"""),10.0)</f>
        <v>10</v>
      </c>
      <c r="P52" s="6" t="str">
        <f>IFERROR(__xludf.DUMMYFUNCTION("""COMPUTED_VALUE"""),"AA")</f>
        <v>AA</v>
      </c>
      <c r="Q52" s="6" t="str">
        <f>IFERROR(__xludf.DUMMYFUNCTION("""COMPUTED_VALUE"""),"HINO 500")</f>
        <v>HINO 500</v>
      </c>
      <c r="R52" s="6" t="str">
        <f>IFERROR(__xludf.DUMMYFUNCTION("""COMPUTED_VALUE"""),"J08EWDJ48244")</f>
        <v>J08EWDJ48244</v>
      </c>
      <c r="S52" s="6" t="str">
        <f>IFERROR(__xludf.DUMMYFUNCTION("""COMPUTED_VALUE"""),"MJESG8JF2SJX12436")</f>
        <v>MJESG8JF2SJX12436</v>
      </c>
      <c r="T52" s="31">
        <f>IFERROR(__xludf.DUMMYFUNCTION("""COMPUTED_VALUE"""),47937.0)</f>
        <v>47937</v>
      </c>
      <c r="U52" s="6" t="str">
        <f>IFERROR(__xludf.DUMMYFUNCTION("""COMPUTED_VALUE"""),"Berlaku")</f>
        <v>Berlaku</v>
      </c>
      <c r="V52" s="31">
        <f>IFERROR(__xludf.DUMMYFUNCTION("""COMPUTED_VALUE"""),46476.0)</f>
        <v>46476</v>
      </c>
      <c r="W52" s="6" t="str">
        <f>IFERROR(__xludf.DUMMYFUNCTION("""COMPUTED_VALUE"""),"Berlaku")</f>
        <v>Berlaku</v>
      </c>
      <c r="X52" s="31">
        <f>IFERROR(__xludf.DUMMYFUNCTION("""COMPUTED_VALUE"""),46301.0)</f>
        <v>46301</v>
      </c>
      <c r="Y52" s="6" t="str">
        <f>IFERROR(__xludf.DUMMYFUNCTION("""COMPUTED_VALUE"""),"Habis dalam 7-1 Hari")</f>
        <v>Habis dalam 7-1 Hari</v>
      </c>
      <c r="Z52" s="31">
        <f>IFERROR(__xludf.DUMMYFUNCTION("""COMPUTED_VALUE"""),46483.0)</f>
        <v>46483</v>
      </c>
      <c r="AA52" s="6" t="str">
        <f>IFERROR(__xludf.DUMMYFUNCTION("""COMPUTED_VALUE"""),"Berlaku")</f>
        <v>Berlaku</v>
      </c>
      <c r="AB52" s="31">
        <f>IFERROR(__xludf.DUMMYFUNCTION("""COMPUTED_VALUE"""),46856.0)</f>
        <v>46856</v>
      </c>
      <c r="AC52" s="6" t="str">
        <f>IFERROR(__xludf.DUMMYFUNCTION("""COMPUTED_VALUE"""),"Berlaku")</f>
        <v>Berlaku</v>
      </c>
      <c r="AD52" s="33">
        <f>IFERROR(__xludf.DUMMYFUNCTION("""COMPUTED_VALUE"""),46320.0)</f>
        <v>46320</v>
      </c>
      <c r="AE52" s="6" t="str">
        <f>IFERROR(__xludf.DUMMYFUNCTION("""COMPUTED_VALUE"""),"Berlaku")</f>
        <v>Berlaku</v>
      </c>
      <c r="AF52" s="6" t="str">
        <f>IFERROR(__xludf.DUMMYFUNCTION("""COMPUTED_VALUE"""),"TUGU")</f>
        <v>TUGU</v>
      </c>
      <c r="AG52" s="6" t="str">
        <f>IFERROR(__xludf.DUMMYFUNCTION("""COMPUTED_VALUE"""),"AKTIF ")</f>
        <v>AKTIF </v>
      </c>
      <c r="AH52" s="6"/>
      <c r="AI52" s="6" t="str">
        <f>IFERROR(__xludf.DUMMYFUNCTION("""COMPUTED_VALUE"""),"MEREMAJAKAN MT G9047OA")</f>
        <v>MEREMAJAKAN MT G9047OA</v>
      </c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hidden="1">
      <c r="A53" s="6">
        <f>IFERROR(__xludf.DUMMYFUNCTION("""COMPUTED_VALUE"""),71.0)</f>
        <v>71</v>
      </c>
      <c r="B53" s="6" t="str">
        <f>IFERROR(__xludf.DUMMYFUNCTION("""COMPUTED_VALUE"""),"G9214OA")</f>
        <v>G9214OA</v>
      </c>
      <c r="C53" s="6" t="str">
        <f>IFERROR(__xludf.DUMMYFUNCTION("""COMPUTED_VALUE"""),"8+8+8")</f>
        <v>8+8+8</v>
      </c>
      <c r="D53" s="6">
        <f>IFERROR(__xludf.DUMMYFUNCTION("""COMPUTED_VALUE"""),24.0)</f>
        <v>24</v>
      </c>
      <c r="E53" s="6" t="str">
        <f>IFERROR(__xludf.DUMMYFUNCTION("""COMPUTED_VALUE"""),"PT. MURNI ADHI DUKUH JAYA")</f>
        <v>PT. MURNI ADHI DUKUH JAYA</v>
      </c>
      <c r="F53" s="6">
        <f>IFERROR(__xludf.DUMMYFUNCTION("""COMPUTED_VALUE"""),2022.0)</f>
        <v>2022</v>
      </c>
      <c r="G53" s="6">
        <f>IFERROR(__xludf.DUMMYFUNCTION("""COMPUTED_VALUE"""),2022.0)</f>
        <v>2022</v>
      </c>
      <c r="H53" s="6">
        <f>IFERROR(__xludf.DUMMYFUNCTION("""COMPUTED_VALUE"""),4.0)</f>
        <v>4</v>
      </c>
      <c r="I53" s="6" t="str">
        <f>IFERROR(__xludf.DUMMYFUNCTION("""COMPUTED_VALUE"""),"SG8JF2B-XGJ (4X2)")</f>
        <v>SG8JF2B-XGJ (4X2)</v>
      </c>
      <c r="J53" s="6">
        <f>IFERROR(__xludf.DUMMYFUNCTION("""COMPUTED_VALUE"""),7684.0)</f>
        <v>7684</v>
      </c>
      <c r="K53" s="6" t="str">
        <f>IFERROR(__xludf.DUMMYFUNCTION("""COMPUTED_VALUE"""),"EURO 4")</f>
        <v>EURO 4</v>
      </c>
      <c r="L53" s="6" t="str">
        <f>IFERROR(__xludf.DUMMYFUNCTION("""COMPUTED_VALUE"""),"Standart")</f>
        <v>Standart</v>
      </c>
      <c r="M53" s="6" t="str">
        <f>IFERROR(__xludf.DUMMYFUNCTION("""COMPUTED_VALUE"""),"Aweco")</f>
        <v>Aweco</v>
      </c>
      <c r="N53" s="6">
        <f>IFERROR(__xludf.DUMMYFUNCTION("""COMPUTED_VALUE"""),2012.0)</f>
        <v>2012</v>
      </c>
      <c r="O53" s="6">
        <f>IFERROR(__xludf.DUMMYFUNCTION("""COMPUTED_VALUE"""),14.0)</f>
        <v>14</v>
      </c>
      <c r="P53" s="6" t="str">
        <f>IFERROR(__xludf.DUMMYFUNCTION("""COMPUTED_VALUE"""),"AA")</f>
        <v>AA</v>
      </c>
      <c r="Q53" s="6" t="str">
        <f>IFERROR(__xludf.DUMMYFUNCTION("""COMPUTED_VALUE"""),"HINO 500")</f>
        <v>HINO 500</v>
      </c>
      <c r="R53" s="6" t="str">
        <f>IFERROR(__xludf.DUMMYFUNCTION("""COMPUTED_VALUE"""),"J08EWDJ10869")</f>
        <v>J08EWDJ10869</v>
      </c>
      <c r="S53" s="6" t="str">
        <f>IFERROR(__xludf.DUMMYFUNCTION("""COMPUTED_VALUE"""),"MJESG8JF2NJX10053")</f>
        <v>MJESG8JF2NJX10053</v>
      </c>
      <c r="T53" s="31">
        <f>IFERROR(__xludf.DUMMYFUNCTION("""COMPUTED_VALUE"""),46639.0)</f>
        <v>46639</v>
      </c>
      <c r="U53" s="6" t="str">
        <f>IFERROR(__xludf.DUMMYFUNCTION("""COMPUTED_VALUE"""),"Berlaku")</f>
        <v>Berlaku</v>
      </c>
      <c r="V53" s="31">
        <f>IFERROR(__xludf.DUMMYFUNCTION("""COMPUTED_VALUE"""),46639.0)</f>
        <v>46639</v>
      </c>
      <c r="W53" s="6" t="str">
        <f>IFERROR(__xludf.DUMMYFUNCTION("""COMPUTED_VALUE"""),"Berlaku")</f>
        <v>Berlaku</v>
      </c>
      <c r="X53" s="31">
        <f>IFERROR(__xludf.DUMMYFUNCTION("""COMPUTED_VALUE"""),46301.0)</f>
        <v>46301</v>
      </c>
      <c r="Y53" s="6" t="str">
        <f>IFERROR(__xludf.DUMMYFUNCTION("""COMPUTED_VALUE"""),"Habis dalam 7-1 Hari")</f>
        <v>Habis dalam 7-1 Hari</v>
      </c>
      <c r="Z53" s="31">
        <f>IFERROR(__xludf.DUMMYFUNCTION("""COMPUTED_VALUE"""),46301.0)</f>
        <v>46301</v>
      </c>
      <c r="AA53" s="6" t="str">
        <f>IFERROR(__xludf.DUMMYFUNCTION("""COMPUTED_VALUE"""),"Habis dalam 7-1 Hari")</f>
        <v>Habis dalam 7-1 Hari</v>
      </c>
      <c r="AB53" s="31">
        <f>IFERROR(__xludf.DUMMYFUNCTION("""COMPUTED_VALUE"""),47013.0)</f>
        <v>47013</v>
      </c>
      <c r="AC53" s="6" t="str">
        <f>IFERROR(__xludf.DUMMYFUNCTION("""COMPUTED_VALUE"""),"Berlaku")</f>
        <v>Berlaku</v>
      </c>
      <c r="AD53" s="33">
        <f>IFERROR(__xludf.DUMMYFUNCTION("""COMPUTED_VALUE"""),46304.0)</f>
        <v>46304</v>
      </c>
      <c r="AE53" s="6" t="str">
        <f>IFERROR(__xludf.DUMMYFUNCTION("""COMPUTED_VALUE"""),"Akan Habis")</f>
        <v>Akan Habis</v>
      </c>
      <c r="AF53" s="6" t="str">
        <f>IFERROR(__xludf.DUMMYFUNCTION("""COMPUTED_VALUE"""),"TUGU (MANDIRI)")</f>
        <v>TUGU (MANDIRI)</v>
      </c>
      <c r="AG53" s="6" t="str">
        <f>IFERROR(__xludf.DUMMYFUNCTION("""COMPUTED_VALUE"""),"AKTIF ")</f>
        <v>AKTIF </v>
      </c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hidden="1">
      <c r="A54" s="6">
        <f>IFERROR(__xludf.DUMMYFUNCTION("""COMPUTED_VALUE"""),72.0)</f>
        <v>72</v>
      </c>
      <c r="B54" s="6" t="str">
        <f>IFERROR(__xludf.DUMMYFUNCTION("""COMPUTED_VALUE"""),"AD8603OH")</f>
        <v>AD8603OH</v>
      </c>
      <c r="C54" s="6" t="str">
        <f>IFERROR(__xludf.DUMMYFUNCTION("""COMPUTED_VALUE"""),"8+8+8")</f>
        <v>8+8+8</v>
      </c>
      <c r="D54" s="6">
        <f>IFERROR(__xludf.DUMMYFUNCTION("""COMPUTED_VALUE"""),24.0)</f>
        <v>24</v>
      </c>
      <c r="E54" s="6" t="str">
        <f>IFERROR(__xludf.DUMMYFUNCTION("""COMPUTED_VALUE"""),"PT. KARYAMAS NIAGA MANUNGGAL JAYA")</f>
        <v>PT. KARYAMAS NIAGA MANUNGGAL JAYA</v>
      </c>
      <c r="F54" s="6">
        <f>IFERROR(__xludf.DUMMYFUNCTION("""COMPUTED_VALUE"""),2024.0)</f>
        <v>2024</v>
      </c>
      <c r="G54" s="6">
        <f>IFERROR(__xludf.DUMMYFUNCTION("""COMPUTED_VALUE"""),2025.0)</f>
        <v>2025</v>
      </c>
      <c r="H54" s="6">
        <f>IFERROR(__xludf.DUMMYFUNCTION("""COMPUTED_VALUE"""),2.0)</f>
        <v>2</v>
      </c>
      <c r="I54" s="6" t="str">
        <f>IFERROR(__xludf.DUMMYFUNCTION("""COMPUTED_VALUE"""),"GVR34U-JDYIN4")</f>
        <v>GVR34U-JDYIN4</v>
      </c>
      <c r="J54" s="6">
        <f>IFERROR(__xludf.DUMMYFUNCTION("""COMPUTED_VALUE"""),7790.0)</f>
        <v>7790</v>
      </c>
      <c r="K54" s="6" t="str">
        <f>IFERROR(__xludf.DUMMYFUNCTION("""COMPUTED_VALUE"""),"EURO 4")</f>
        <v>EURO 4</v>
      </c>
      <c r="L54" s="6" t="str">
        <f>IFERROR(__xludf.DUMMYFUNCTION("""COMPUTED_VALUE"""),"Standart")</f>
        <v>Standart</v>
      </c>
      <c r="M54" s="6" t="str">
        <f>IFERROR(__xludf.DUMMYFUNCTION("""COMPUTED_VALUE"""),"Antika Raya")</f>
        <v>Antika Raya</v>
      </c>
      <c r="N54" s="6">
        <f>IFERROR(__xludf.DUMMYFUNCTION("""COMPUTED_VALUE"""),2025.0)</f>
        <v>2025</v>
      </c>
      <c r="O54" s="6">
        <f>IFERROR(__xludf.DUMMYFUNCTION("""COMPUTED_VALUE"""),1.0)</f>
        <v>1</v>
      </c>
      <c r="P54" s="6" t="str">
        <f>IFERROR(__xludf.DUMMYFUNCTION("""COMPUTED_VALUE"""),"AA")</f>
        <v>AA</v>
      </c>
      <c r="Q54" s="6" t="str">
        <f>IFERROR(__xludf.DUMMYFUNCTION("""COMPUTED_VALUE"""),"ISUZU")</f>
        <v>ISUZU</v>
      </c>
      <c r="R54" s="6" t="str">
        <f>IFERROR(__xludf.DUMMYFUNCTION("""COMPUTED_VALUE"""),"6HK1F110090")</f>
        <v>6HK1F110090</v>
      </c>
      <c r="S54" s="6" t="str">
        <f>IFERROR(__xludf.DUMMYFUNCTION("""COMPUTED_VALUE"""),"MHCGVR34JRJ002409")</f>
        <v>MHCGVR34JRJ002409</v>
      </c>
      <c r="T54" s="31">
        <f>IFERROR(__xludf.DUMMYFUNCTION("""COMPUTED_VALUE"""),47645.0)</f>
        <v>47645</v>
      </c>
      <c r="U54" s="6" t="str">
        <f>IFERROR(__xludf.DUMMYFUNCTION("""COMPUTED_VALUE"""),"Berlaku")</f>
        <v>Berlaku</v>
      </c>
      <c r="V54" s="31">
        <f>IFERROR(__xludf.DUMMYFUNCTION("""COMPUTED_VALUE"""),46549.0)</f>
        <v>46549</v>
      </c>
      <c r="W54" s="6" t="str">
        <f>IFERROR(__xludf.DUMMYFUNCTION("""COMPUTED_VALUE"""),"Berlaku")</f>
        <v>Berlaku</v>
      </c>
      <c r="X54" s="31">
        <f>IFERROR(__xludf.DUMMYFUNCTION("""COMPUTED_VALUE"""),46364.0)</f>
        <v>46364</v>
      </c>
      <c r="Y54" s="6" t="str">
        <f>IFERROR(__xludf.DUMMYFUNCTION("""COMPUTED_VALUE"""),"Berlaku")</f>
        <v>Berlaku</v>
      </c>
      <c r="Z54" s="31">
        <f>IFERROR(__xludf.DUMMYFUNCTION("""COMPUTED_VALUE"""),46364.0)</f>
        <v>46364</v>
      </c>
      <c r="AA54" s="6" t="str">
        <f>IFERROR(__xludf.DUMMYFUNCTION("""COMPUTED_VALUE"""),"Berlaku")</f>
        <v>Berlaku</v>
      </c>
      <c r="AB54" s="31">
        <f>IFERROR(__xludf.DUMMYFUNCTION("""COMPUTED_VALUE"""),46576.0)</f>
        <v>46576</v>
      </c>
      <c r="AC54" s="6" t="str">
        <f>IFERROR(__xludf.DUMMYFUNCTION("""COMPUTED_VALUE"""),"Berlaku")</f>
        <v>Berlaku</v>
      </c>
      <c r="AD54" s="33">
        <f>IFERROR(__xludf.DUMMYFUNCTION("""COMPUTED_VALUE"""),46304.0)</f>
        <v>46304</v>
      </c>
      <c r="AE54" s="6" t="str">
        <f>IFERROR(__xludf.DUMMYFUNCTION("""COMPUTED_VALUE"""),"Akan Habis")</f>
        <v>Akan Habis</v>
      </c>
      <c r="AF54" s="6" t="str">
        <f>IFERROR(__xludf.DUMMYFUNCTION("""COMPUTED_VALUE"""),"SUNDAY (MANDIRI)")</f>
        <v>SUNDAY (MANDIRI)</v>
      </c>
      <c r="AG54" s="6" t="str">
        <f>IFERROR(__xludf.DUMMYFUNCTION("""COMPUTED_VALUE"""),"AKTIF ")</f>
        <v>AKTIF </v>
      </c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hidden="1">
      <c r="A55" s="6">
        <f>IFERROR(__xludf.DUMMYFUNCTION("""COMPUTED_VALUE"""),74.0)</f>
        <v>74</v>
      </c>
      <c r="B55" s="6" t="str">
        <f>IFERROR(__xludf.DUMMYFUNCTION("""COMPUTED_VALUE"""),"B9022SFV")</f>
        <v>B9022SFV</v>
      </c>
      <c r="C55" s="6" t="str">
        <f>IFERROR(__xludf.DUMMYFUNCTION("""COMPUTED_VALUE"""),"8+8")</f>
        <v>8+8</v>
      </c>
      <c r="D55" s="6">
        <f>IFERROR(__xludf.DUMMYFUNCTION("""COMPUTED_VALUE"""),16.0)</f>
        <v>16</v>
      </c>
      <c r="E55" s="6" t="str">
        <f>IFERROR(__xludf.DUMMYFUNCTION("""COMPUTED_VALUE"""),"PT. PERTAMINA PATRA NIAGA")</f>
        <v>PT. PERTAMINA PATRA NIAGA</v>
      </c>
      <c r="F55" s="6">
        <f>IFERROR(__xludf.DUMMYFUNCTION("""COMPUTED_VALUE"""),2017.0)</f>
        <v>2017</v>
      </c>
      <c r="G55" s="6">
        <f>IFERROR(__xludf.DUMMYFUNCTION("""COMPUTED_VALUE"""),2018.0)</f>
        <v>2018</v>
      </c>
      <c r="H55" s="6">
        <f>IFERROR(__xludf.DUMMYFUNCTION("""COMPUTED_VALUE"""),9.0)</f>
        <v>9</v>
      </c>
      <c r="I55" s="6" t="str">
        <f>IFERROR(__xludf.DUMMYFUNCTION("""COMPUTED_VALUE"""),"FL8JN1A-BGJ")</f>
        <v>FL8JN1A-BGJ</v>
      </c>
      <c r="J55" s="6">
        <f>IFERROR(__xludf.DUMMYFUNCTION("""COMPUTED_VALUE"""),7684.0)</f>
        <v>7684</v>
      </c>
      <c r="K55" s="6" t="str">
        <f>IFERROR(__xludf.DUMMYFUNCTION("""COMPUTED_VALUE"""),"EURO 2")</f>
        <v>EURO 2</v>
      </c>
      <c r="L55" s="6" t="str">
        <f>IFERROR(__xludf.DUMMYFUNCTION("""COMPUTED_VALUE"""),"PTO")</f>
        <v>PTO</v>
      </c>
      <c r="M55" s="6" t="str">
        <f>IFERROR(__xludf.DUMMYFUNCTION("""COMPUTED_VALUE"""),"Geluran Adikarya")</f>
        <v>Geluran Adikarya</v>
      </c>
      <c r="N55" s="6">
        <f>IFERROR(__xludf.DUMMYFUNCTION("""COMPUTED_VALUE"""),2017.0)</f>
        <v>2017</v>
      </c>
      <c r="O55" s="6">
        <f>IFERROR(__xludf.DUMMYFUNCTION("""COMPUTED_VALUE"""),9.0)</f>
        <v>9</v>
      </c>
      <c r="P55" s="6" t="str">
        <f>IFERROR(__xludf.DUMMYFUNCTION("""COMPUTED_VALUE"""),"CS")</f>
        <v>CS</v>
      </c>
      <c r="Q55" s="6" t="str">
        <f>IFERROR(__xludf.DUMMYFUNCTION("""COMPUTED_VALUE"""),"HINO")</f>
        <v>HINO</v>
      </c>
      <c r="R55" s="6" t="str">
        <f>IFERROR(__xludf.DUMMYFUNCTION("""COMPUTED_VALUE"""),"Jo8EUGJ59273")</f>
        <v>Jo8EUGJ59273</v>
      </c>
      <c r="S55" s="6" t="str">
        <f>IFERROR(__xludf.DUMMYFUNCTION("""COMPUTED_VALUE"""),"MJEFL8JN1HJB10879")</f>
        <v>MJEFL8JN1HJB10879</v>
      </c>
      <c r="T55" s="31">
        <f>IFERROR(__xludf.DUMMYFUNCTION("""COMPUTED_VALUE"""),46831.0)</f>
        <v>46831</v>
      </c>
      <c r="U55" s="6" t="str">
        <f>IFERROR(__xludf.DUMMYFUNCTION("""COMPUTED_VALUE"""),"Berlaku")</f>
        <v>Berlaku</v>
      </c>
      <c r="V55" s="31">
        <f>IFERROR(__xludf.DUMMYFUNCTION("""COMPUTED_VALUE"""),46465.0)</f>
        <v>46465</v>
      </c>
      <c r="W55" s="6" t="str">
        <f>IFERROR(__xludf.DUMMYFUNCTION("""COMPUTED_VALUE"""),"Berlaku")</f>
        <v>Berlaku</v>
      </c>
      <c r="X55" s="31"/>
      <c r="Y55" s="6" t="str">
        <f>IFERROR(__xludf.DUMMYFUNCTION("""COMPUTED_VALUE"""),"Habis")</f>
        <v>Habis</v>
      </c>
      <c r="Z55" s="31">
        <f>IFERROR(__xludf.DUMMYFUNCTION("""COMPUTED_VALUE"""),46338.0)</f>
        <v>46338</v>
      </c>
      <c r="AA55" s="6" t="str">
        <f>IFERROR(__xludf.DUMMYFUNCTION("""COMPUTED_VALUE"""),"Berlaku")</f>
        <v>Berlaku</v>
      </c>
      <c r="AB55" s="31">
        <f>IFERROR(__xludf.DUMMYFUNCTION("""COMPUTED_VALUE"""),46436.0)</f>
        <v>46436</v>
      </c>
      <c r="AC55" s="6" t="str">
        <f>IFERROR(__xludf.DUMMYFUNCTION("""COMPUTED_VALUE"""),"Berlaku")</f>
        <v>Berlaku</v>
      </c>
      <c r="AD55" s="33">
        <f>IFERROR(__xludf.DUMMYFUNCTION("""COMPUTED_VALUE"""),46360.0)</f>
        <v>46360</v>
      </c>
      <c r="AE55" s="6" t="str">
        <f>IFERROR(__xludf.DUMMYFUNCTION("""COMPUTED_VALUE"""),"Berlaku")</f>
        <v>Berlaku</v>
      </c>
      <c r="AF55" s="6" t="str">
        <f>IFERROR(__xludf.DUMMYFUNCTION("""COMPUTED_VALUE"""),"TUGU")</f>
        <v>TUGU</v>
      </c>
      <c r="AG55" s="6" t="str">
        <f>IFERROR(__xludf.DUMMYFUNCTION("""COMPUTED_VALUE"""),"AKTIF ")</f>
        <v>AKTIF 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hidden="1">
      <c r="A56" s="6">
        <f>IFERROR(__xludf.DUMMYFUNCTION("""COMPUTED_VALUE"""),75.0)</f>
        <v>75</v>
      </c>
      <c r="B56" s="6" t="str">
        <f>IFERROR(__xludf.DUMMYFUNCTION("""COMPUTED_VALUE"""),"B9077SEI")</f>
        <v>B9077SEI</v>
      </c>
      <c r="C56" s="6" t="str">
        <f>IFERROR(__xludf.DUMMYFUNCTION("""COMPUTED_VALUE"""),"8+8+8")</f>
        <v>8+8+8</v>
      </c>
      <c r="D56" s="6">
        <f>IFERROR(__xludf.DUMMYFUNCTION("""COMPUTED_VALUE"""),24.0)</f>
        <v>24</v>
      </c>
      <c r="E56" s="6" t="str">
        <f>IFERROR(__xludf.DUMMYFUNCTION("""COMPUTED_VALUE"""),"PT. PERTAMINA PATRA NIAGA")</f>
        <v>PT. PERTAMINA PATRA NIAGA</v>
      </c>
      <c r="F56" s="6">
        <f>IFERROR(__xludf.DUMMYFUNCTION("""COMPUTED_VALUE"""),2019.0)</f>
        <v>2019</v>
      </c>
      <c r="G56" s="6">
        <f>IFERROR(__xludf.DUMMYFUNCTION("""COMPUTED_VALUE"""),2019.0)</f>
        <v>2019</v>
      </c>
      <c r="H56" s="6">
        <f>IFERROR(__xludf.DUMMYFUNCTION("""COMPUTED_VALUE"""),7.0)</f>
        <v>7</v>
      </c>
      <c r="I56" s="6" t="str">
        <f>IFERROR(__xludf.DUMMYFUNCTION("""COMPUTED_VALUE"""),"4028 T4X2 MT")</f>
        <v>4028 T4X2 MT</v>
      </c>
      <c r="J56" s="6">
        <f>IFERROR(__xludf.DUMMYFUNCTION("""COMPUTED_VALUE"""),6374.0)</f>
        <v>6374</v>
      </c>
      <c r="K56" s="6" t="str">
        <f>IFERROR(__xludf.DUMMYFUNCTION("""COMPUTED_VALUE"""),"EURO 4")</f>
        <v>EURO 4</v>
      </c>
      <c r="L56" s="6" t="str">
        <f>IFERROR(__xludf.DUMMYFUNCTION("""COMPUTED_VALUE"""),"Standart")</f>
        <v>Standart</v>
      </c>
      <c r="M56" s="6" t="str">
        <f>IFERROR(__xludf.DUMMYFUNCTION("""COMPUTED_VALUE"""),"Geluran Adikarya")</f>
        <v>Geluran Adikarya</v>
      </c>
      <c r="N56" s="6">
        <f>IFERROR(__xludf.DUMMYFUNCTION("""COMPUTED_VALUE"""),2019.0)</f>
        <v>2019</v>
      </c>
      <c r="O56" s="6">
        <f>IFERROR(__xludf.DUMMYFUNCTION("""COMPUTED_VALUE"""),7.0)</f>
        <v>7</v>
      </c>
      <c r="P56" s="6" t="str">
        <f>IFERROR(__xludf.DUMMYFUNCTION("""COMPUTED_VALUE"""),"AA")</f>
        <v>AA</v>
      </c>
      <c r="Q56" s="6" t="str">
        <f>IFERROR(__xludf.DUMMYFUNCTION("""COMPUTED_VALUE"""),"MERCEDES BENZ")</f>
        <v>MERCEDES BENZ</v>
      </c>
      <c r="R56" s="6" t="str">
        <f>IFERROR(__xludf.DUMMYFUNCTION("""COMPUTED_VALUE"""),"400951D0082705")</f>
        <v>400951D0082705</v>
      </c>
      <c r="S56" s="6" t="str">
        <f>IFERROR(__xludf.DUMMYFUNCTION("""COMPUTED_VALUE"""),"MEC2622CBKP082115")</f>
        <v>MEC2622CBKP082115</v>
      </c>
      <c r="T56" s="31">
        <f>IFERROR(__xludf.DUMMYFUNCTION("""COMPUTED_VALUE"""),47402.0)</f>
        <v>47402</v>
      </c>
      <c r="U56" s="6" t="str">
        <f>IFERROR(__xludf.DUMMYFUNCTION("""COMPUTED_VALUE"""),"Berlaku")</f>
        <v>Berlaku</v>
      </c>
      <c r="V56" s="31">
        <f>IFERROR(__xludf.DUMMYFUNCTION("""COMPUTED_VALUE"""),46306.0)</f>
        <v>46306</v>
      </c>
      <c r="W56" s="6" t="str">
        <f>IFERROR(__xludf.DUMMYFUNCTION("""COMPUTED_VALUE"""),"Akan Habis")</f>
        <v>Akan Habis</v>
      </c>
      <c r="X56" s="31">
        <f>IFERROR(__xludf.DUMMYFUNCTION("""COMPUTED_VALUE"""),46355.0)</f>
        <v>46355</v>
      </c>
      <c r="Y56" s="6" t="str">
        <f>IFERROR(__xludf.DUMMYFUNCTION("""COMPUTED_VALUE"""),"Berlaku")</f>
        <v>Berlaku</v>
      </c>
      <c r="Z56" s="31">
        <f>IFERROR(__xludf.DUMMYFUNCTION("""COMPUTED_VALUE"""),46279.0)</f>
        <v>46279</v>
      </c>
      <c r="AA56" s="6" t="str">
        <f>IFERROR(__xludf.DUMMYFUNCTION("""COMPUTED_VALUE"""),"Habis")</f>
        <v>Habis</v>
      </c>
      <c r="AB56" s="31">
        <f>IFERROR(__xludf.DUMMYFUNCTION("""COMPUTED_VALUE"""),46815.0)</f>
        <v>46815</v>
      </c>
      <c r="AC56" s="6" t="str">
        <f>IFERROR(__xludf.DUMMYFUNCTION("""COMPUTED_VALUE"""),"Berlaku")</f>
        <v>Berlaku</v>
      </c>
      <c r="AD56" s="33">
        <f>IFERROR(__xludf.DUMMYFUNCTION("""COMPUTED_VALUE"""),46302.0)</f>
        <v>46302</v>
      </c>
      <c r="AE56" s="6" t="str">
        <f>IFERROR(__xludf.DUMMYFUNCTION("""COMPUTED_VALUE"""),"Habis dalam 7-1 Hari")</f>
        <v>Habis dalam 7-1 Hari</v>
      </c>
      <c r="AF56" s="6" t="str">
        <f>IFERROR(__xludf.DUMMYFUNCTION("""COMPUTED_VALUE"""),"TUGU")</f>
        <v>TUGU</v>
      </c>
      <c r="AG56" s="6" t="str">
        <f>IFERROR(__xludf.DUMMYFUNCTION("""COMPUTED_VALUE"""),"AKTIF ")</f>
        <v>AKTIF 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hidden="1">
      <c r="A57" s="6">
        <f>IFERROR(__xludf.DUMMYFUNCTION("""COMPUTED_VALUE"""),76.0)</f>
        <v>76</v>
      </c>
      <c r="B57" s="6" t="str">
        <f>IFERROR(__xludf.DUMMYFUNCTION("""COMPUTED_VALUE"""),"B9223SFV")</f>
        <v>B9223SFV</v>
      </c>
      <c r="C57" s="6" t="str">
        <f>IFERROR(__xludf.DUMMYFUNCTION("""COMPUTED_VALUE"""),"8+8")</f>
        <v>8+8</v>
      </c>
      <c r="D57" s="6">
        <f>IFERROR(__xludf.DUMMYFUNCTION("""COMPUTED_VALUE"""),16.0)</f>
        <v>16</v>
      </c>
      <c r="E57" s="6" t="str">
        <f>IFERROR(__xludf.DUMMYFUNCTION("""COMPUTED_VALUE"""),"PT. PERTAMINA PATRA NIAGA")</f>
        <v>PT. PERTAMINA PATRA NIAGA</v>
      </c>
      <c r="F57" s="6">
        <f>IFERROR(__xludf.DUMMYFUNCTION("""COMPUTED_VALUE"""),2019.0)</f>
        <v>2019</v>
      </c>
      <c r="G57" s="6">
        <f>IFERROR(__xludf.DUMMYFUNCTION("""COMPUTED_VALUE"""),2019.0)</f>
        <v>2019</v>
      </c>
      <c r="H57" s="6">
        <f>IFERROR(__xludf.DUMMYFUNCTION("""COMPUTED_VALUE"""),7.0)</f>
        <v>7</v>
      </c>
      <c r="I57" s="6" t="str">
        <f>IFERROR(__xludf.DUMMYFUNCTION("""COMPUTED_VALUE"""),"CDE250 6X2R WB4300MM")</f>
        <v>CDE250 6X2R WB4300MM</v>
      </c>
      <c r="J57" s="6">
        <f>IFERROR(__xludf.DUMMYFUNCTION("""COMPUTED_VALUE"""),7698.0)</f>
        <v>7698</v>
      </c>
      <c r="K57" s="6" t="str">
        <f>IFERROR(__xludf.DUMMYFUNCTION("""COMPUTED_VALUE"""),"EURO 4")</f>
        <v>EURO 4</v>
      </c>
      <c r="L57" s="6" t="str">
        <f>IFERROR(__xludf.DUMMYFUNCTION("""COMPUTED_VALUE"""),"Standart")</f>
        <v>Standart</v>
      </c>
      <c r="M57" s="6" t="str">
        <f>IFERROR(__xludf.DUMMYFUNCTION("""COMPUTED_VALUE"""),"Aweco")</f>
        <v>Aweco</v>
      </c>
      <c r="N57" s="6">
        <f>IFERROR(__xludf.DUMMYFUNCTION("""COMPUTED_VALUE"""),2019.0)</f>
        <v>2019</v>
      </c>
      <c r="O57" s="6">
        <f>IFERROR(__xludf.DUMMYFUNCTION("""COMPUTED_VALUE"""),7.0)</f>
        <v>7</v>
      </c>
      <c r="P57" s="6" t="str">
        <f>IFERROR(__xludf.DUMMYFUNCTION("""COMPUTED_VALUE"""),"CS")</f>
        <v>CS</v>
      </c>
      <c r="Q57" s="6" t="str">
        <f>IFERROR(__xludf.DUMMYFUNCTION("""COMPUTED_VALUE"""),"UD TRUCKS")</f>
        <v>UD TRUCKS</v>
      </c>
      <c r="R57" s="6" t="str">
        <f>IFERROR(__xludf.DUMMYFUNCTION("""COMPUTED_VALUE"""),"GH8502917A1P")</f>
        <v>GH8502917A1P</v>
      </c>
      <c r="S57" s="6" t="str">
        <f>IFERROR(__xludf.DUMMYFUNCTION("""COMPUTED_VALUE"""),"MHHCDX22GKK810812")</f>
        <v>MHHCDX22GKK810812</v>
      </c>
      <c r="T57" s="31">
        <f>IFERROR(__xludf.DUMMYFUNCTION("""COMPUTED_VALUE"""),47396.0)</f>
        <v>47396</v>
      </c>
      <c r="U57" s="6" t="str">
        <f>IFERROR(__xludf.DUMMYFUNCTION("""COMPUTED_VALUE"""),"Berlaku")</f>
        <v>Berlaku</v>
      </c>
      <c r="V57" s="31">
        <f>IFERROR(__xludf.DUMMYFUNCTION("""COMPUTED_VALUE"""),46300.0)</f>
        <v>46300</v>
      </c>
      <c r="W57" s="6" t="str">
        <f>IFERROR(__xludf.DUMMYFUNCTION("""COMPUTED_VALUE"""),"Habis dalam 7-1 Hari")</f>
        <v>Habis dalam 7-1 Hari</v>
      </c>
      <c r="X57" s="31"/>
      <c r="Y57" s="6" t="str">
        <f>IFERROR(__xludf.DUMMYFUNCTION("""COMPUTED_VALUE"""),"Habis")</f>
        <v>Habis</v>
      </c>
      <c r="Z57" s="31">
        <f>IFERROR(__xludf.DUMMYFUNCTION("""COMPUTED_VALUE"""),46460.0)</f>
        <v>46460</v>
      </c>
      <c r="AA57" s="6" t="str">
        <f>IFERROR(__xludf.DUMMYFUNCTION("""COMPUTED_VALUE"""),"Berlaku")</f>
        <v>Berlaku</v>
      </c>
      <c r="AB57" s="31">
        <f>IFERROR(__xludf.DUMMYFUNCTION("""COMPUTED_VALUE"""),46472.0)</f>
        <v>46472</v>
      </c>
      <c r="AC57" s="6" t="str">
        <f>IFERROR(__xludf.DUMMYFUNCTION("""COMPUTED_VALUE"""),"Berlaku")</f>
        <v>Berlaku</v>
      </c>
      <c r="AD57" s="33">
        <f>IFERROR(__xludf.DUMMYFUNCTION("""COMPUTED_VALUE"""),46302.0)</f>
        <v>46302</v>
      </c>
      <c r="AE57" s="6" t="str">
        <f>IFERROR(__xludf.DUMMYFUNCTION("""COMPUTED_VALUE"""),"Habis dalam 7-1 Hari")</f>
        <v>Habis dalam 7-1 Hari</v>
      </c>
      <c r="AF57" s="6" t="str">
        <f>IFERROR(__xludf.DUMMYFUNCTION("""COMPUTED_VALUE"""),"TUGU")</f>
        <v>TUGU</v>
      </c>
      <c r="AG57" s="6" t="str">
        <f>IFERROR(__xludf.DUMMYFUNCTION("""COMPUTED_VALUE"""),"AKTIF ")</f>
        <v>AKTIF </v>
      </c>
      <c r="AH57" s="6"/>
      <c r="AI57" s="6" t="str">
        <f>IFERROR(__xludf.DUMMYFUNCTION("""COMPUTED_VALUE"""),"MT Switching dari B9699SFV ke IT Panjang")</f>
        <v>MT Switching dari B9699SFV ke IT Panjang</v>
      </c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hidden="1">
      <c r="A58" s="6">
        <f>IFERROR(__xludf.DUMMYFUNCTION("""COMPUTED_VALUE"""),77.0)</f>
        <v>77</v>
      </c>
      <c r="B58" s="6" t="str">
        <f>IFERROR(__xludf.DUMMYFUNCTION("""COMPUTED_VALUE"""),"B9106SEI")</f>
        <v>B9106SEI</v>
      </c>
      <c r="C58" s="6" t="str">
        <f>IFERROR(__xludf.DUMMYFUNCTION("""COMPUTED_VALUE"""),"8+8+8")</f>
        <v>8+8+8</v>
      </c>
      <c r="D58" s="6">
        <f>IFERROR(__xludf.DUMMYFUNCTION("""COMPUTED_VALUE"""),24.0)</f>
        <v>24</v>
      </c>
      <c r="E58" s="6" t="str">
        <f>IFERROR(__xludf.DUMMYFUNCTION("""COMPUTED_VALUE"""),"PT. PERTAMINA PATRA NIAGA")</f>
        <v>PT. PERTAMINA PATRA NIAGA</v>
      </c>
      <c r="F58" s="6">
        <f>IFERROR(__xludf.DUMMYFUNCTION("""COMPUTED_VALUE"""),2019.0)</f>
        <v>2019</v>
      </c>
      <c r="G58" s="6">
        <f>IFERROR(__xludf.DUMMYFUNCTION("""COMPUTED_VALUE"""),2019.0)</f>
        <v>2019</v>
      </c>
      <c r="H58" s="6">
        <f>IFERROR(__xludf.DUMMYFUNCTION("""COMPUTED_VALUE"""),7.0)</f>
        <v>7</v>
      </c>
      <c r="I58" s="6" t="str">
        <f>IFERROR(__xludf.DUMMYFUNCTION("""COMPUTED_VALUE"""),"4028 T")</f>
        <v>4028 T</v>
      </c>
      <c r="J58" s="6">
        <f>IFERROR(__xludf.DUMMYFUNCTION("""COMPUTED_VALUE"""),6374.0)</f>
        <v>6374</v>
      </c>
      <c r="K58" s="6" t="str">
        <f>IFERROR(__xludf.DUMMYFUNCTION("""COMPUTED_VALUE"""),"EURO 4")</f>
        <v>EURO 4</v>
      </c>
      <c r="L58" s="6" t="str">
        <f>IFERROR(__xludf.DUMMYFUNCTION("""COMPUTED_VALUE"""),"Standart")</f>
        <v>Standart</v>
      </c>
      <c r="M58" s="6" t="str">
        <f>IFERROR(__xludf.DUMMYFUNCTION("""COMPUTED_VALUE"""),"Geluran")</f>
        <v>Geluran</v>
      </c>
      <c r="N58" s="6">
        <f>IFERROR(__xludf.DUMMYFUNCTION("""COMPUTED_VALUE"""),2019.0)</f>
        <v>2019</v>
      </c>
      <c r="O58" s="6">
        <f>IFERROR(__xludf.DUMMYFUNCTION("""COMPUTED_VALUE"""),7.0)</f>
        <v>7</v>
      </c>
      <c r="P58" s="6" t="str">
        <f>IFERROR(__xludf.DUMMYFUNCTION("""COMPUTED_VALUE"""),"AA")</f>
        <v>AA</v>
      </c>
      <c r="Q58" s="6" t="str">
        <f>IFERROR(__xludf.DUMMYFUNCTION("""COMPUTED_VALUE"""),"MERCEDES BENZ")</f>
        <v>MERCEDES BENZ</v>
      </c>
      <c r="R58" s="6" t="str">
        <f>IFERROR(__xludf.DUMMYFUNCTION("""COMPUTED_VALUE"""),"400951D0081794")</f>
        <v>400951D0081794</v>
      </c>
      <c r="S58" s="6" t="str">
        <f>IFERROR(__xludf.DUMMYFUNCTION("""COMPUTED_VALUE"""),"MEC2622CBKP081282")</f>
        <v>MEC2622CBKP081282</v>
      </c>
      <c r="T58" s="31">
        <f>IFERROR(__xludf.DUMMYFUNCTION("""COMPUTED_VALUE"""),47405.0)</f>
        <v>47405</v>
      </c>
      <c r="U58" s="6" t="str">
        <f>IFERROR(__xludf.DUMMYFUNCTION("""COMPUTED_VALUE"""),"Berlaku")</f>
        <v>Berlaku</v>
      </c>
      <c r="V58" s="31">
        <f>IFERROR(__xludf.DUMMYFUNCTION("""COMPUTED_VALUE"""),46309.0)</f>
        <v>46309</v>
      </c>
      <c r="W58" s="6" t="str">
        <f>IFERROR(__xludf.DUMMYFUNCTION("""COMPUTED_VALUE"""),"Akan Habis")</f>
        <v>Akan Habis</v>
      </c>
      <c r="X58" s="31">
        <f>IFERROR(__xludf.DUMMYFUNCTION("""COMPUTED_VALUE"""),46276.0)</f>
        <v>46276</v>
      </c>
      <c r="Y58" s="6" t="str">
        <f>IFERROR(__xludf.DUMMYFUNCTION("""COMPUTED_VALUE"""),"Habis")</f>
        <v>Habis</v>
      </c>
      <c r="Z58" s="31">
        <f>IFERROR(__xludf.DUMMYFUNCTION("""COMPUTED_VALUE"""),46279.0)</f>
        <v>46279</v>
      </c>
      <c r="AA58" s="6" t="str">
        <f>IFERROR(__xludf.DUMMYFUNCTION("""COMPUTED_VALUE"""),"Habis")</f>
        <v>Habis</v>
      </c>
      <c r="AB58" s="31">
        <f>IFERROR(__xludf.DUMMYFUNCTION("""COMPUTED_VALUE"""),46599.0)</f>
        <v>46599</v>
      </c>
      <c r="AC58" s="6" t="str">
        <f>IFERROR(__xludf.DUMMYFUNCTION("""COMPUTED_VALUE"""),"Berlaku")</f>
        <v>Berlaku</v>
      </c>
      <c r="AD58" s="33">
        <f>IFERROR(__xludf.DUMMYFUNCTION("""COMPUTED_VALUE"""),46302.0)</f>
        <v>46302</v>
      </c>
      <c r="AE58" s="6" t="str">
        <f>IFERROR(__xludf.DUMMYFUNCTION("""COMPUTED_VALUE"""),"Habis dalam 7-1 Hari")</f>
        <v>Habis dalam 7-1 Hari</v>
      </c>
      <c r="AF58" s="6" t="str">
        <f>IFERROR(__xludf.DUMMYFUNCTION("""COMPUTED_VALUE"""),"TUGU")</f>
        <v>TUGU</v>
      </c>
      <c r="AG58" s="6" t="str">
        <f>IFERROR(__xludf.DUMMYFUNCTION("""COMPUTED_VALUE"""),"AKTIF ")</f>
        <v>AKTIF </v>
      </c>
      <c r="AH58" s="6"/>
      <c r="AI58" s="6" t="str">
        <f>IFERROR(__xludf.DUMMYFUNCTION("""COMPUTED_VALUE"""),"MT Switching dari B9774SFU dibawa ke IT Panjang")</f>
        <v>MT Switching dari B9774SFU dibawa ke IT Panjang</v>
      </c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hidden="1">
      <c r="A59" s="6">
        <f>IFERROR(__xludf.DUMMYFUNCTION("""COMPUTED_VALUE"""),78.0)</f>
        <v>78</v>
      </c>
      <c r="B59" s="6" t="str">
        <f>IFERROR(__xludf.DUMMYFUNCTION("""COMPUTED_VALUE"""),"B9234SFV")</f>
        <v>B9234SFV</v>
      </c>
      <c r="C59" s="6" t="str">
        <f>IFERROR(__xludf.DUMMYFUNCTION("""COMPUTED_VALUE"""),"8+8")</f>
        <v>8+8</v>
      </c>
      <c r="D59" s="6">
        <f>IFERROR(__xludf.DUMMYFUNCTION("""COMPUTED_VALUE"""),16.0)</f>
        <v>16</v>
      </c>
      <c r="E59" s="6" t="str">
        <f>IFERROR(__xludf.DUMMYFUNCTION("""COMPUTED_VALUE"""),"PT. PERTAMINA PATRA NIAGA")</f>
        <v>PT. PERTAMINA PATRA NIAGA</v>
      </c>
      <c r="F59" s="6">
        <f>IFERROR(__xludf.DUMMYFUNCTION("""COMPUTED_VALUE"""),2019.0)</f>
        <v>2019</v>
      </c>
      <c r="G59" s="6">
        <f>IFERROR(__xludf.DUMMYFUNCTION("""COMPUTED_VALUE"""),2019.0)</f>
        <v>2019</v>
      </c>
      <c r="H59" s="6">
        <f>IFERROR(__xludf.DUMMYFUNCTION("""COMPUTED_VALUE"""),7.0)</f>
        <v>7</v>
      </c>
      <c r="I59" s="6" t="str">
        <f>IFERROR(__xludf.DUMMYFUNCTION("""COMPUTED_VALUE"""),"CDE250 6X2R WB4300MM")</f>
        <v>CDE250 6X2R WB4300MM</v>
      </c>
      <c r="J59" s="6">
        <f>IFERROR(__xludf.DUMMYFUNCTION("""COMPUTED_VALUE"""),7698.0)</f>
        <v>7698</v>
      </c>
      <c r="K59" s="6" t="str">
        <f>IFERROR(__xludf.DUMMYFUNCTION("""COMPUTED_VALUE"""),"EURO 2")</f>
        <v>EURO 2</v>
      </c>
      <c r="L59" s="6" t="str">
        <f>IFERROR(__xludf.DUMMYFUNCTION("""COMPUTED_VALUE"""),"Standart")</f>
        <v>Standart</v>
      </c>
      <c r="M59" s="6" t="str">
        <f>IFERROR(__xludf.DUMMYFUNCTION("""COMPUTED_VALUE"""),"Geluran Adikarya")</f>
        <v>Geluran Adikarya</v>
      </c>
      <c r="N59" s="6">
        <f>IFERROR(__xludf.DUMMYFUNCTION("""COMPUTED_VALUE"""),2019.0)</f>
        <v>2019</v>
      </c>
      <c r="O59" s="6">
        <f>IFERROR(__xludf.DUMMYFUNCTION("""COMPUTED_VALUE"""),7.0)</f>
        <v>7</v>
      </c>
      <c r="P59" s="6" t="str">
        <f>IFERROR(__xludf.DUMMYFUNCTION("""COMPUTED_VALUE"""),"CS")</f>
        <v>CS</v>
      </c>
      <c r="Q59" s="6" t="str">
        <f>IFERROR(__xludf.DUMMYFUNCTION("""COMPUTED_VALUE"""),"UD TRUCKS")</f>
        <v>UD TRUCKS</v>
      </c>
      <c r="R59" s="6" t="str">
        <f>IFERROR(__xludf.DUMMYFUNCTION("""COMPUTED_VALUE"""),"GH8502925A1P")</f>
        <v>GH8502925A1P</v>
      </c>
      <c r="S59" s="6" t="str">
        <f>IFERROR(__xludf.DUMMYFUNCTION("""COMPUTED_VALUE"""),"MHHCDX22GKK810796")</f>
        <v>MHHCDX22GKK810796</v>
      </c>
      <c r="T59" s="31">
        <f>IFERROR(__xludf.DUMMYFUNCTION("""COMPUTED_VALUE"""),47396.0)</f>
        <v>47396</v>
      </c>
      <c r="U59" s="6" t="str">
        <f>IFERROR(__xludf.DUMMYFUNCTION("""COMPUTED_VALUE"""),"Berlaku")</f>
        <v>Berlaku</v>
      </c>
      <c r="V59" s="31">
        <f>IFERROR(__xludf.DUMMYFUNCTION("""COMPUTED_VALUE"""),46300.0)</f>
        <v>46300</v>
      </c>
      <c r="W59" s="6" t="str">
        <f>IFERROR(__xludf.DUMMYFUNCTION("""COMPUTED_VALUE"""),"Habis dalam 7-1 Hari")</f>
        <v>Habis dalam 7-1 Hari</v>
      </c>
      <c r="X59" s="31"/>
      <c r="Y59" s="6" t="str">
        <f>IFERROR(__xludf.DUMMYFUNCTION("""COMPUTED_VALUE"""),"Habis")</f>
        <v>Habis</v>
      </c>
      <c r="Z59" s="31">
        <f>IFERROR(__xludf.DUMMYFUNCTION("""COMPUTED_VALUE"""),46277.0)</f>
        <v>46277</v>
      </c>
      <c r="AA59" s="6" t="str">
        <f>IFERROR(__xludf.DUMMYFUNCTION("""COMPUTED_VALUE"""),"Habis")</f>
        <v>Habis</v>
      </c>
      <c r="AB59" s="31">
        <f>IFERROR(__xludf.DUMMYFUNCTION("""COMPUTED_VALUE"""),46773.0)</f>
        <v>46773</v>
      </c>
      <c r="AC59" s="6" t="str">
        <f>IFERROR(__xludf.DUMMYFUNCTION("""COMPUTED_VALUE"""),"Berlaku")</f>
        <v>Berlaku</v>
      </c>
      <c r="AD59" s="33">
        <f>IFERROR(__xludf.DUMMYFUNCTION("""COMPUTED_VALUE"""),46302.0)</f>
        <v>46302</v>
      </c>
      <c r="AE59" s="6" t="str">
        <f>IFERROR(__xludf.DUMMYFUNCTION("""COMPUTED_VALUE"""),"Habis dalam 7-1 Hari")</f>
        <v>Habis dalam 7-1 Hari</v>
      </c>
      <c r="AF59" s="6" t="str">
        <f>IFERROR(__xludf.DUMMYFUNCTION("""COMPUTED_VALUE"""),"TUGU")</f>
        <v>TUGU</v>
      </c>
      <c r="AG59" s="6" t="str">
        <f>IFERROR(__xludf.DUMMYFUNCTION("""COMPUTED_VALUE"""),"AKTIF ")</f>
        <v>AKTIF 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hidden="1">
      <c r="A60" s="6">
        <f>IFERROR(__xludf.DUMMYFUNCTION("""COMPUTED_VALUE"""),79.0)</f>
        <v>79</v>
      </c>
      <c r="B60" s="6" t="str">
        <f>IFERROR(__xludf.DUMMYFUNCTION("""COMPUTED_VALUE"""),"B9246SFV")</f>
        <v>B9246SFV</v>
      </c>
      <c r="C60" s="6" t="str">
        <f>IFERROR(__xludf.DUMMYFUNCTION("""COMPUTED_VALUE"""),"8+8")</f>
        <v>8+8</v>
      </c>
      <c r="D60" s="6">
        <f>IFERROR(__xludf.DUMMYFUNCTION("""COMPUTED_VALUE"""),16.0)</f>
        <v>16</v>
      </c>
      <c r="E60" s="6" t="str">
        <f>IFERROR(__xludf.DUMMYFUNCTION("""COMPUTED_VALUE"""),"PT. PERTAMINA PATRA NIAGA")</f>
        <v>PT. PERTAMINA PATRA NIAGA</v>
      </c>
      <c r="F60" s="6">
        <f>IFERROR(__xludf.DUMMYFUNCTION("""COMPUTED_VALUE"""),2019.0)</f>
        <v>2019</v>
      </c>
      <c r="G60" s="6">
        <f>IFERROR(__xludf.DUMMYFUNCTION("""COMPUTED_VALUE"""),2019.0)</f>
        <v>2019</v>
      </c>
      <c r="H60" s="6">
        <f>IFERROR(__xludf.DUMMYFUNCTION("""COMPUTED_VALUE"""),7.0)</f>
        <v>7</v>
      </c>
      <c r="I60" s="6" t="str">
        <f>IFERROR(__xludf.DUMMYFUNCTION("""COMPUTED_VALUE"""),"CDE250 6X2R WB4300MM")</f>
        <v>CDE250 6X2R WB4300MM</v>
      </c>
      <c r="J60" s="6">
        <f>IFERROR(__xludf.DUMMYFUNCTION("""COMPUTED_VALUE"""),7698.0)</f>
        <v>7698</v>
      </c>
      <c r="K60" s="6" t="str">
        <f>IFERROR(__xludf.DUMMYFUNCTION("""COMPUTED_VALUE"""),"EURO 2")</f>
        <v>EURO 2</v>
      </c>
      <c r="L60" s="6" t="str">
        <f>IFERROR(__xludf.DUMMYFUNCTION("""COMPUTED_VALUE"""),"Standart")</f>
        <v>Standart</v>
      </c>
      <c r="M60" s="6" t="str">
        <f>IFERROR(__xludf.DUMMYFUNCTION("""COMPUTED_VALUE"""),"Geluran Adikarya")</f>
        <v>Geluran Adikarya</v>
      </c>
      <c r="N60" s="6">
        <f>IFERROR(__xludf.DUMMYFUNCTION("""COMPUTED_VALUE"""),2019.0)</f>
        <v>2019</v>
      </c>
      <c r="O60" s="6">
        <f>IFERROR(__xludf.DUMMYFUNCTION("""COMPUTED_VALUE"""),7.0)</f>
        <v>7</v>
      </c>
      <c r="P60" s="6" t="str">
        <f>IFERROR(__xludf.DUMMYFUNCTION("""COMPUTED_VALUE"""),"CS")</f>
        <v>CS</v>
      </c>
      <c r="Q60" s="6" t="str">
        <f>IFERROR(__xludf.DUMMYFUNCTION("""COMPUTED_VALUE"""),"UD TRUCKS")</f>
        <v>UD TRUCKS</v>
      </c>
      <c r="R60" s="6" t="str">
        <f>IFERROR(__xludf.DUMMYFUNCTION("""COMPUTED_VALUE"""),"GH8502901A1P")</f>
        <v>GH8502901A1P</v>
      </c>
      <c r="S60" s="6" t="str">
        <f>IFERROR(__xludf.DUMMYFUNCTION("""COMPUTED_VALUE"""),"MHHCDX22GKK810794")</f>
        <v>MHHCDX22GKK810794</v>
      </c>
      <c r="T60" s="31">
        <f>IFERROR(__xludf.DUMMYFUNCTION("""COMPUTED_VALUE"""),47396.0)</f>
        <v>47396</v>
      </c>
      <c r="U60" s="6" t="str">
        <f>IFERROR(__xludf.DUMMYFUNCTION("""COMPUTED_VALUE"""),"Berlaku")</f>
        <v>Berlaku</v>
      </c>
      <c r="V60" s="31">
        <f>IFERROR(__xludf.DUMMYFUNCTION("""COMPUTED_VALUE"""),46300.0)</f>
        <v>46300</v>
      </c>
      <c r="W60" s="6" t="str">
        <f>IFERROR(__xludf.DUMMYFUNCTION("""COMPUTED_VALUE"""),"Habis dalam 7-1 Hari")</f>
        <v>Habis dalam 7-1 Hari</v>
      </c>
      <c r="X60" s="31"/>
      <c r="Y60" s="6" t="str">
        <f>IFERROR(__xludf.DUMMYFUNCTION("""COMPUTED_VALUE"""),"Habis")</f>
        <v>Habis</v>
      </c>
      <c r="Z60" s="31">
        <f>IFERROR(__xludf.DUMMYFUNCTION("""COMPUTED_VALUE"""),46277.0)</f>
        <v>46277</v>
      </c>
      <c r="AA60" s="6" t="str">
        <f>IFERROR(__xludf.DUMMYFUNCTION("""COMPUTED_VALUE"""),"Habis")</f>
        <v>Habis</v>
      </c>
      <c r="AB60" s="31">
        <f>IFERROR(__xludf.DUMMYFUNCTION("""COMPUTED_VALUE"""),46443.0)</f>
        <v>46443</v>
      </c>
      <c r="AC60" s="6" t="str">
        <f>IFERROR(__xludf.DUMMYFUNCTION("""COMPUTED_VALUE"""),"Berlaku")</f>
        <v>Berlaku</v>
      </c>
      <c r="AD60" s="33">
        <f>IFERROR(__xludf.DUMMYFUNCTION("""COMPUTED_VALUE"""),46340.0)</f>
        <v>46340</v>
      </c>
      <c r="AE60" s="6" t="str">
        <f>IFERROR(__xludf.DUMMYFUNCTION("""COMPUTED_VALUE"""),"Berlaku")</f>
        <v>Berlaku</v>
      </c>
      <c r="AF60" s="6" t="str">
        <f>IFERROR(__xludf.DUMMYFUNCTION("""COMPUTED_VALUE"""),"TUGU")</f>
        <v>TUGU</v>
      </c>
      <c r="AG60" s="6" t="str">
        <f>IFERROR(__xludf.DUMMYFUNCTION("""COMPUTED_VALUE"""),"AKTIF ")</f>
        <v>AKTIF </v>
      </c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hidden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hidden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hidden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hidden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</row>
    <row r="65" hidden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</row>
    <row r="66" hidden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</row>
    <row r="67" hidden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</row>
    <row r="68" hidden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</row>
    <row r="69" hidden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</row>
    <row r="70" hidden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hidden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hidden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hidden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hidden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hidden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hidden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hidden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hidden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hidden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hidden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hidden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hidden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hidden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hidden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hidden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hidden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hidden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hidden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hidden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</row>
    <row r="90" hidden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</row>
    <row r="91" hidden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</row>
    <row r="92" hidden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</row>
    <row r="93" hidden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</row>
    <row r="94" hidden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</row>
    <row r="95" hidden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</row>
    <row r="96" hidden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</row>
    <row r="97" hidden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</row>
    <row r="98" hidden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</row>
    <row r="99" hidden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</row>
    <row r="100" hidden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</row>
    <row r="101" hidden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</row>
    <row r="102" hidden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hidden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hidden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hidden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hidden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hidden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hidden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hidden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hidden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hidden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hidden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hidden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hidden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hidden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hidden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hidden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hidden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hidden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hidden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hidden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hidden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hidden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hidden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hidden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hidden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hidden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 hidden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 hidden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hidden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hidden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hidden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hidden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hidden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hidden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hidden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hidden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hidden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hidden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hidden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hidden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hidden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hidden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hidden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</row>
  </sheetData>
  <autoFilter ref="$B$2:$AG$144">
    <filterColumn colId="3">
      <filters>
        <filter val="PT. ADAM TRANS"/>
        <filter val="PT. SATU HATI"/>
        <filter val="PT. LUMAS PRIMA"/>
        <filter val="PT. PUSPITA CIPTA"/>
      </filters>
    </filterColumn>
    <sortState ref="B2:AG144">
      <sortCondition ref="X2:X144"/>
    </sortState>
  </autoFilter>
  <mergeCells count="1">
    <mergeCell ref="B1:AG1"/>
  </mergeCells>
  <conditionalFormatting sqref="U3:U129 W3:W142 Y3:Y148 AA3:AA133 AC3:AC133 AE3:AE133">
    <cfRule type="containsText" dxfId="0" priority="1" operator="containsText" text="Akan Habis">
      <formula>NOT(ISERROR(SEARCH(("Akan Habis"),(U3))))</formula>
    </cfRule>
  </conditionalFormatting>
  <conditionalFormatting sqref="U3:U129 W3:W142 Y3:Y148 AA3:AA133 AC3:AC133 AE3:AE133">
    <cfRule type="cellIs" dxfId="1" priority="2" operator="equal">
      <formula>"Habis"</formula>
    </cfRule>
  </conditionalFormatting>
  <conditionalFormatting sqref="U3:U129 W3:W142 Y3:Y148 AA3:AA133 AC3:AC133 AE3:AE133">
    <cfRule type="containsText" dxfId="2" priority="3" operator="containsText" text="Habis dalam 7-1 Hari">
      <formula>NOT(ISERROR(SEARCH(("Habis dalam 7-1 Hari"),(U3))))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7.5"/>
    <col customWidth="1" min="4" max="4" width="32.75"/>
  </cols>
  <sheetData>
    <row r="2">
      <c r="A2" s="490" t="s">
        <v>2</v>
      </c>
      <c r="B2" s="490" t="s">
        <v>4</v>
      </c>
      <c r="C2" s="490" t="s">
        <v>3</v>
      </c>
      <c r="D2" s="491" t="s">
        <v>899</v>
      </c>
    </row>
    <row r="3" hidden="1">
      <c r="A3" s="492">
        <v>1.0</v>
      </c>
      <c r="B3" s="493" t="s">
        <v>8</v>
      </c>
      <c r="C3" s="493" t="s">
        <v>26</v>
      </c>
      <c r="D3" s="494">
        <v>46688.0</v>
      </c>
    </row>
    <row r="4" hidden="1">
      <c r="A4" s="492"/>
      <c r="B4" s="493" t="s">
        <v>118</v>
      </c>
      <c r="C4" s="493" t="s">
        <v>121</v>
      </c>
      <c r="D4" s="494">
        <v>46634.0</v>
      </c>
    </row>
    <row r="5" hidden="1">
      <c r="A5" s="492">
        <v>6.0</v>
      </c>
      <c r="B5" s="493" t="s">
        <v>8</v>
      </c>
      <c r="C5" s="493" t="s">
        <v>33</v>
      </c>
      <c r="D5" s="495">
        <v>46402.0</v>
      </c>
    </row>
    <row r="6" hidden="1">
      <c r="A6" s="492">
        <v>7.0</v>
      </c>
      <c r="B6" s="493" t="s">
        <v>8</v>
      </c>
      <c r="C6" s="493" t="s">
        <v>14</v>
      </c>
      <c r="D6" s="495">
        <v>46409.0</v>
      </c>
    </row>
    <row r="7" hidden="1">
      <c r="A7" s="492">
        <v>8.0</v>
      </c>
      <c r="B7" s="493" t="s">
        <v>8</v>
      </c>
      <c r="C7" s="493" t="s">
        <v>17</v>
      </c>
      <c r="D7" s="495">
        <v>46506.0</v>
      </c>
    </row>
    <row r="8" hidden="1">
      <c r="A8" s="492">
        <v>9.0</v>
      </c>
      <c r="B8" s="493" t="s">
        <v>8</v>
      </c>
      <c r="C8" s="493" t="s">
        <v>22</v>
      </c>
      <c r="D8" s="495">
        <v>46507.0</v>
      </c>
    </row>
    <row r="9" hidden="1">
      <c r="A9" s="492">
        <v>10.0</v>
      </c>
      <c r="B9" s="493" t="s">
        <v>8</v>
      </c>
      <c r="C9" s="493" t="s">
        <v>31</v>
      </c>
      <c r="D9" s="495">
        <v>46548.0</v>
      </c>
    </row>
    <row r="10" hidden="1">
      <c r="A10" s="492">
        <v>11.0</v>
      </c>
      <c r="B10" s="493" t="s">
        <v>8</v>
      </c>
      <c r="C10" s="493" t="s">
        <v>28</v>
      </c>
      <c r="D10" s="496">
        <v>46684.0</v>
      </c>
    </row>
    <row r="11" hidden="1">
      <c r="A11" s="492">
        <v>12.0</v>
      </c>
      <c r="B11" s="493" t="s">
        <v>109</v>
      </c>
      <c r="C11" s="493" t="s">
        <v>108</v>
      </c>
      <c r="D11" s="494">
        <v>46711.0</v>
      </c>
    </row>
    <row r="12" hidden="1">
      <c r="A12" s="492">
        <v>13.0</v>
      </c>
      <c r="B12" s="493" t="s">
        <v>109</v>
      </c>
      <c r="C12" s="493" t="s">
        <v>110</v>
      </c>
      <c r="D12" s="494">
        <v>46526.0</v>
      </c>
    </row>
    <row r="13" hidden="1">
      <c r="A13" s="492">
        <v>14.0</v>
      </c>
      <c r="B13" s="493" t="s">
        <v>109</v>
      </c>
      <c r="C13" s="493" t="s">
        <v>111</v>
      </c>
      <c r="D13" s="494">
        <v>46711.0</v>
      </c>
    </row>
    <row r="14">
      <c r="A14" s="492">
        <v>18.0</v>
      </c>
      <c r="B14" s="493" t="s">
        <v>142</v>
      </c>
      <c r="C14" s="497" t="s">
        <v>135</v>
      </c>
      <c r="D14" s="498">
        <v>46803.0</v>
      </c>
    </row>
    <row r="15">
      <c r="A15" s="492">
        <v>19.0</v>
      </c>
      <c r="B15" s="493" t="s">
        <v>142</v>
      </c>
      <c r="C15" s="493" t="s">
        <v>358</v>
      </c>
      <c r="D15" s="499">
        <v>46802.0</v>
      </c>
    </row>
    <row r="16">
      <c r="A16" s="492">
        <v>20.0</v>
      </c>
      <c r="B16" s="493" t="s">
        <v>900</v>
      </c>
      <c r="C16" s="493" t="s">
        <v>87</v>
      </c>
      <c r="D16" s="500">
        <v>46109.0</v>
      </c>
    </row>
    <row r="17" hidden="1">
      <c r="A17" s="492">
        <v>21.0</v>
      </c>
      <c r="B17" s="493" t="s">
        <v>900</v>
      </c>
      <c r="C17" s="493" t="s">
        <v>89</v>
      </c>
      <c r="D17" s="501">
        <v>46451.0</v>
      </c>
    </row>
    <row r="18" hidden="1">
      <c r="A18" s="492">
        <v>22.0</v>
      </c>
      <c r="B18" s="493" t="s">
        <v>900</v>
      </c>
      <c r="C18" s="493" t="s">
        <v>91</v>
      </c>
      <c r="D18" s="501">
        <v>46542.0</v>
      </c>
    </row>
    <row r="19" hidden="1">
      <c r="A19" s="492">
        <v>23.0</v>
      </c>
      <c r="B19" s="493" t="s">
        <v>900</v>
      </c>
      <c r="C19" s="493" t="s">
        <v>92</v>
      </c>
      <c r="D19" s="501">
        <v>46668.0</v>
      </c>
    </row>
    <row r="20">
      <c r="A20" s="492">
        <v>24.0</v>
      </c>
      <c r="B20" s="493" t="s">
        <v>900</v>
      </c>
      <c r="C20" s="493" t="s">
        <v>86</v>
      </c>
      <c r="D20" s="495">
        <v>46157.0</v>
      </c>
    </row>
    <row r="21" hidden="1">
      <c r="A21" s="492">
        <v>25.0</v>
      </c>
      <c r="B21" s="493" t="s">
        <v>39</v>
      </c>
      <c r="C21" s="493" t="s">
        <v>38</v>
      </c>
      <c r="D21" s="501">
        <v>46669.0</v>
      </c>
    </row>
    <row r="22" hidden="1">
      <c r="A22" s="492">
        <v>26.0</v>
      </c>
      <c r="B22" s="493" t="s">
        <v>39</v>
      </c>
      <c r="C22" s="493" t="s">
        <v>41</v>
      </c>
      <c r="D22" s="496">
        <v>46684.0</v>
      </c>
    </row>
    <row r="23" hidden="1">
      <c r="A23" s="492">
        <v>27.0</v>
      </c>
      <c r="B23" s="493" t="s">
        <v>133</v>
      </c>
      <c r="C23" s="493" t="s">
        <v>129</v>
      </c>
      <c r="D23" s="495">
        <v>46578.0</v>
      </c>
    </row>
    <row r="24" hidden="1">
      <c r="A24" s="492">
        <v>28.0</v>
      </c>
      <c r="B24" s="493" t="s">
        <v>133</v>
      </c>
      <c r="C24" s="493" t="s">
        <v>134</v>
      </c>
      <c r="D24" s="495">
        <v>46591.0</v>
      </c>
    </row>
    <row r="25">
      <c r="A25" s="492">
        <v>29.0</v>
      </c>
      <c r="B25" s="493" t="s">
        <v>78</v>
      </c>
      <c r="C25" s="493" t="s">
        <v>81</v>
      </c>
      <c r="D25" s="502">
        <v>46158.0</v>
      </c>
    </row>
    <row r="26">
      <c r="A26" s="492">
        <v>30.0</v>
      </c>
      <c r="B26" s="493" t="s">
        <v>47</v>
      </c>
      <c r="C26" s="493" t="s">
        <v>53</v>
      </c>
      <c r="D26" s="501">
        <v>46178.0</v>
      </c>
    </row>
    <row r="27">
      <c r="A27" s="492">
        <v>31.0</v>
      </c>
      <c r="B27" s="493" t="s">
        <v>47</v>
      </c>
      <c r="C27" s="493" t="s">
        <v>54</v>
      </c>
      <c r="D27" s="501">
        <v>46180.0</v>
      </c>
    </row>
    <row r="28" hidden="1">
      <c r="A28" s="492">
        <v>32.0</v>
      </c>
      <c r="B28" s="493" t="s">
        <v>118</v>
      </c>
      <c r="C28" s="493" t="s">
        <v>122</v>
      </c>
      <c r="D28" s="495">
        <v>46492.0</v>
      </c>
    </row>
    <row r="29" hidden="1">
      <c r="A29" s="492">
        <v>33.0</v>
      </c>
      <c r="B29" s="493" t="s">
        <v>118</v>
      </c>
      <c r="C29" s="493" t="s">
        <v>117</v>
      </c>
      <c r="D29" s="495">
        <v>46493.0</v>
      </c>
    </row>
    <row r="30" hidden="1">
      <c r="A30" s="492">
        <v>34.0</v>
      </c>
      <c r="B30" s="493" t="s">
        <v>116</v>
      </c>
      <c r="C30" s="493" t="s">
        <v>115</v>
      </c>
      <c r="D30" s="495">
        <v>46648.0</v>
      </c>
    </row>
    <row r="31">
      <c r="A31" s="492">
        <v>35.0</v>
      </c>
      <c r="B31" s="493" t="s">
        <v>901</v>
      </c>
      <c r="C31" s="493" t="s">
        <v>670</v>
      </c>
      <c r="D31" s="495">
        <v>46186.0</v>
      </c>
    </row>
    <row r="32">
      <c r="A32" s="492">
        <v>36.0</v>
      </c>
      <c r="B32" s="493" t="s">
        <v>8</v>
      </c>
      <c r="C32" s="493" t="s">
        <v>20</v>
      </c>
      <c r="D32" s="495">
        <v>46187.0</v>
      </c>
    </row>
    <row r="33" hidden="1">
      <c r="A33" s="492">
        <v>37.0</v>
      </c>
      <c r="B33" s="493" t="s">
        <v>901</v>
      </c>
      <c r="C33" s="493" t="s">
        <v>675</v>
      </c>
      <c r="D33" s="495">
        <v>46405.0</v>
      </c>
    </row>
    <row r="34" hidden="1">
      <c r="A34" s="492">
        <v>38.0</v>
      </c>
      <c r="B34" s="493" t="s">
        <v>901</v>
      </c>
      <c r="C34" s="493" t="s">
        <v>809</v>
      </c>
      <c r="D34" s="495">
        <v>46443.0</v>
      </c>
    </row>
    <row r="35" hidden="1">
      <c r="A35" s="492">
        <v>39.0</v>
      </c>
      <c r="B35" s="493" t="s">
        <v>901</v>
      </c>
      <c r="C35" s="493" t="s">
        <v>813</v>
      </c>
      <c r="D35" s="495">
        <v>46529.0</v>
      </c>
    </row>
    <row r="36">
      <c r="A36" s="492">
        <v>40.0</v>
      </c>
      <c r="B36" s="493" t="s">
        <v>105</v>
      </c>
      <c r="C36" s="493" t="s">
        <v>104</v>
      </c>
      <c r="D36" s="502">
        <v>46199.0</v>
      </c>
    </row>
    <row r="37">
      <c r="A37" s="492">
        <v>41.0</v>
      </c>
      <c r="B37" s="493" t="s">
        <v>94</v>
      </c>
      <c r="C37" s="493" t="s">
        <v>95</v>
      </c>
      <c r="D37" s="501">
        <v>46211.0</v>
      </c>
    </row>
    <row r="38">
      <c r="A38" s="492">
        <v>42.0</v>
      </c>
      <c r="B38" s="493" t="s">
        <v>78</v>
      </c>
      <c r="C38" s="493" t="s">
        <v>83</v>
      </c>
      <c r="D38" s="502">
        <v>46218.0</v>
      </c>
    </row>
    <row r="39">
      <c r="A39" s="492">
        <v>43.0</v>
      </c>
      <c r="B39" s="493" t="s">
        <v>8</v>
      </c>
      <c r="C39" s="493" t="s">
        <v>6</v>
      </c>
      <c r="D39" s="495">
        <v>46225.0</v>
      </c>
    </row>
    <row r="40" hidden="1">
      <c r="A40" s="492">
        <v>44.0</v>
      </c>
      <c r="B40" s="493" t="s">
        <v>142</v>
      </c>
      <c r="C40" s="493" t="s">
        <v>359</v>
      </c>
      <c r="D40" s="495">
        <v>46438.0</v>
      </c>
    </row>
    <row r="41" hidden="1">
      <c r="A41" s="492">
        <v>45.0</v>
      </c>
      <c r="B41" s="493" t="s">
        <v>142</v>
      </c>
      <c r="C41" s="493" t="s">
        <v>152</v>
      </c>
      <c r="D41" s="495">
        <v>46443.0</v>
      </c>
    </row>
    <row r="42" hidden="1">
      <c r="A42" s="492">
        <v>46.0</v>
      </c>
      <c r="B42" s="493" t="s">
        <v>142</v>
      </c>
      <c r="C42" s="493" t="s">
        <v>147</v>
      </c>
      <c r="D42" s="495">
        <v>46472.0</v>
      </c>
    </row>
    <row r="43" hidden="1">
      <c r="A43" s="492">
        <v>47.0</v>
      </c>
      <c r="B43" s="493" t="s">
        <v>142</v>
      </c>
      <c r="C43" s="493" t="s">
        <v>149</v>
      </c>
      <c r="D43" s="495">
        <v>46599.0</v>
      </c>
    </row>
    <row r="44">
      <c r="A44" s="492">
        <v>48.0</v>
      </c>
      <c r="B44" s="493" t="s">
        <v>900</v>
      </c>
      <c r="C44" s="493" t="s">
        <v>88</v>
      </c>
      <c r="D44" s="495">
        <v>46233.0</v>
      </c>
    </row>
    <row r="45">
      <c r="A45" s="492">
        <v>49.0</v>
      </c>
      <c r="B45" s="493" t="s">
        <v>39</v>
      </c>
      <c r="C45" s="493" t="s">
        <v>44</v>
      </c>
      <c r="D45" s="495">
        <v>46234.0</v>
      </c>
    </row>
    <row r="46">
      <c r="A46" s="492">
        <v>50.0</v>
      </c>
      <c r="B46" s="493" t="s">
        <v>94</v>
      </c>
      <c r="C46" s="493" t="s">
        <v>93</v>
      </c>
      <c r="D46" s="495">
        <v>46234.0</v>
      </c>
    </row>
    <row r="47">
      <c r="A47" s="492">
        <v>51.0</v>
      </c>
      <c r="B47" s="493" t="s">
        <v>8</v>
      </c>
      <c r="C47" s="493" t="s">
        <v>12</v>
      </c>
      <c r="D47" s="501">
        <v>46240.0</v>
      </c>
    </row>
    <row r="48" hidden="1">
      <c r="A48" s="492">
        <v>52.0</v>
      </c>
      <c r="B48" s="493" t="s">
        <v>47</v>
      </c>
      <c r="C48" s="493" t="s">
        <v>56</v>
      </c>
      <c r="D48" s="495">
        <v>46429.0</v>
      </c>
    </row>
    <row r="49" hidden="1">
      <c r="A49" s="492">
        <v>53.0</v>
      </c>
      <c r="B49" s="493" t="s">
        <v>47</v>
      </c>
      <c r="C49" s="493" t="s">
        <v>57</v>
      </c>
      <c r="D49" s="494">
        <v>46430.0</v>
      </c>
    </row>
    <row r="50" hidden="1">
      <c r="A50" s="492">
        <v>54.0</v>
      </c>
      <c r="B50" s="493" t="s">
        <v>47</v>
      </c>
      <c r="C50" s="493" t="s">
        <v>46</v>
      </c>
      <c r="D50" s="495">
        <v>46437.0</v>
      </c>
    </row>
    <row r="51" hidden="1">
      <c r="A51" s="492">
        <v>55.0</v>
      </c>
      <c r="B51" s="493" t="s">
        <v>47</v>
      </c>
      <c r="C51" s="493" t="s">
        <v>712</v>
      </c>
      <c r="D51" s="495">
        <v>46442.0</v>
      </c>
    </row>
    <row r="52" hidden="1">
      <c r="A52" s="492">
        <v>56.0</v>
      </c>
      <c r="B52" s="493" t="s">
        <v>47</v>
      </c>
      <c r="C52" s="493" t="s">
        <v>58</v>
      </c>
      <c r="D52" s="501">
        <v>46452.0</v>
      </c>
    </row>
    <row r="53" hidden="1">
      <c r="A53" s="492">
        <v>57.0</v>
      </c>
      <c r="B53" s="493" t="s">
        <v>47</v>
      </c>
      <c r="C53" s="493" t="s">
        <v>709</v>
      </c>
      <c r="D53" s="501">
        <v>46540.0</v>
      </c>
    </row>
    <row r="54" hidden="1">
      <c r="A54" s="492">
        <v>58.0</v>
      </c>
      <c r="B54" s="493" t="s">
        <v>47</v>
      </c>
      <c r="C54" s="493" t="s">
        <v>69</v>
      </c>
      <c r="D54" s="501">
        <v>46570.0</v>
      </c>
    </row>
    <row r="55" hidden="1">
      <c r="A55" s="492">
        <v>59.0</v>
      </c>
      <c r="B55" s="493" t="s">
        <v>47</v>
      </c>
      <c r="C55" s="493" t="s">
        <v>66</v>
      </c>
      <c r="D55" s="501">
        <v>46571.0</v>
      </c>
    </row>
    <row r="56" hidden="1">
      <c r="A56" s="492">
        <v>60.0</v>
      </c>
      <c r="B56" s="493" t="s">
        <v>47</v>
      </c>
      <c r="C56" s="493" t="s">
        <v>68</v>
      </c>
      <c r="D56" s="501">
        <v>46575.0</v>
      </c>
    </row>
    <row r="57" hidden="1">
      <c r="A57" s="492">
        <v>60.0</v>
      </c>
      <c r="B57" s="493" t="s">
        <v>47</v>
      </c>
      <c r="C57" s="497" t="s">
        <v>70</v>
      </c>
      <c r="D57" s="494">
        <v>46688.0</v>
      </c>
    </row>
    <row r="58" hidden="1">
      <c r="A58" s="492">
        <v>61.0</v>
      </c>
      <c r="B58" s="493" t="s">
        <v>47</v>
      </c>
      <c r="C58" s="493" t="s">
        <v>51</v>
      </c>
      <c r="D58" s="495">
        <v>46586.0</v>
      </c>
    </row>
    <row r="59">
      <c r="A59" s="492">
        <v>62.0</v>
      </c>
      <c r="B59" s="493" t="s">
        <v>94</v>
      </c>
      <c r="C59" s="493" t="s">
        <v>97</v>
      </c>
      <c r="D59" s="501">
        <v>46241.0</v>
      </c>
    </row>
    <row r="60">
      <c r="A60" s="492">
        <v>63.0</v>
      </c>
      <c r="B60" s="493" t="s">
        <v>118</v>
      </c>
      <c r="C60" s="493" t="s">
        <v>119</v>
      </c>
      <c r="D60" s="495">
        <v>46277.0</v>
      </c>
    </row>
    <row r="61">
      <c r="A61" s="492">
        <v>64.0</v>
      </c>
      <c r="B61" s="493" t="s">
        <v>901</v>
      </c>
      <c r="C61" s="493" t="s">
        <v>127</v>
      </c>
      <c r="D61" s="495">
        <v>46312.0</v>
      </c>
    </row>
    <row r="62" hidden="1">
      <c r="A62" s="492">
        <v>65.0</v>
      </c>
      <c r="B62" s="493" t="s">
        <v>100</v>
      </c>
      <c r="C62" s="493" t="s">
        <v>103</v>
      </c>
      <c r="D62" s="494">
        <v>46694.0</v>
      </c>
    </row>
    <row r="63">
      <c r="A63" s="492">
        <v>66.0</v>
      </c>
      <c r="B63" s="493" t="s">
        <v>100</v>
      </c>
      <c r="C63" s="493" t="s">
        <v>706</v>
      </c>
      <c r="D63" s="495">
        <v>46318.0</v>
      </c>
    </row>
    <row r="64">
      <c r="A64" s="492">
        <v>67.0</v>
      </c>
      <c r="B64" s="493" t="s">
        <v>100</v>
      </c>
      <c r="C64" s="493" t="s">
        <v>102</v>
      </c>
      <c r="D64" s="495">
        <v>46318.0</v>
      </c>
    </row>
    <row r="65">
      <c r="A65" s="492">
        <v>68.0</v>
      </c>
      <c r="B65" s="493" t="s">
        <v>47</v>
      </c>
      <c r="C65" s="493" t="s">
        <v>699</v>
      </c>
      <c r="D65" s="495">
        <v>46319.0</v>
      </c>
    </row>
    <row r="66" hidden="1">
      <c r="A66" s="492">
        <v>69.0</v>
      </c>
      <c r="B66" s="493" t="s">
        <v>100</v>
      </c>
      <c r="C66" s="493" t="s">
        <v>703</v>
      </c>
      <c r="D66" s="495">
        <v>46592.0</v>
      </c>
    </row>
    <row r="67" hidden="1">
      <c r="A67" s="492">
        <v>70.0</v>
      </c>
      <c r="B67" s="493" t="s">
        <v>100</v>
      </c>
      <c r="C67" s="493" t="s">
        <v>98</v>
      </c>
      <c r="D67" s="495">
        <v>46648.0</v>
      </c>
    </row>
    <row r="68">
      <c r="A68" s="492">
        <v>71.0</v>
      </c>
      <c r="B68" s="493" t="s">
        <v>118</v>
      </c>
      <c r="C68" s="493" t="s">
        <v>120</v>
      </c>
      <c r="D68" s="495">
        <v>46325.0</v>
      </c>
    </row>
    <row r="69">
      <c r="A69" s="492">
        <v>72.0</v>
      </c>
      <c r="B69" s="493" t="s">
        <v>8</v>
      </c>
      <c r="C69" s="493" t="s">
        <v>24</v>
      </c>
      <c r="D69" s="495">
        <v>46337.0</v>
      </c>
    </row>
    <row r="70">
      <c r="A70" s="492">
        <v>73.0</v>
      </c>
      <c r="B70" s="493" t="s">
        <v>36</v>
      </c>
      <c r="C70" s="493" t="s">
        <v>35</v>
      </c>
      <c r="D70" s="495">
        <v>46339.0</v>
      </c>
    </row>
    <row r="71">
      <c r="A71" s="492">
        <v>74.0</v>
      </c>
      <c r="B71" s="493" t="s">
        <v>100</v>
      </c>
      <c r="C71" s="493" t="s">
        <v>101</v>
      </c>
      <c r="D71" s="495">
        <v>46339.0</v>
      </c>
    </row>
    <row r="72" hidden="1">
      <c r="A72" s="492">
        <v>75.0</v>
      </c>
      <c r="B72" s="493" t="s">
        <v>78</v>
      </c>
      <c r="C72" s="493" t="s">
        <v>80</v>
      </c>
      <c r="D72" s="503">
        <v>46520.0</v>
      </c>
    </row>
    <row r="73">
      <c r="A73" s="492">
        <v>76.0</v>
      </c>
      <c r="B73" s="493" t="s">
        <v>47</v>
      </c>
      <c r="C73" s="493" t="s">
        <v>55</v>
      </c>
      <c r="D73" s="495">
        <v>46351.0</v>
      </c>
    </row>
    <row r="74" hidden="1">
      <c r="A74" s="492">
        <v>77.0</v>
      </c>
      <c r="B74" s="493" t="s">
        <v>105</v>
      </c>
      <c r="C74" s="493" t="s">
        <v>106</v>
      </c>
      <c r="D74" s="502">
        <v>46438.0</v>
      </c>
    </row>
    <row r="75">
      <c r="H75" s="493"/>
    </row>
    <row r="76">
      <c r="H76" s="493"/>
    </row>
    <row r="77">
      <c r="H77" s="493"/>
    </row>
    <row r="78">
      <c r="H78" s="493"/>
    </row>
    <row r="79">
      <c r="H79" s="493"/>
    </row>
    <row r="80">
      <c r="H80" s="493"/>
    </row>
  </sheetData>
  <autoFilter ref="$B$2:$D$74">
    <filterColumn colId="2">
      <filters>
        <filter val="22 May 2027"/>
        <filter val="02 July 2027"/>
        <filter val="16 May 2026"/>
        <filter val="30 October 2026"/>
        <filter val="19 May 2027"/>
        <filter val="05 June 2026"/>
        <filter val="09 October 2027"/>
        <filter val="13 June 2026"/>
        <filter val="02 June 2027"/>
        <filter val="12 September 2026"/>
        <filter val="11 November 2026"/>
        <filter val="18 January 2027"/>
        <filter val="28 October 2027"/>
        <filter val="10 July 2027"/>
        <filter val="04 June 2027"/>
        <filter val="10 June 2027"/>
        <filter val="24 February 2027"/>
        <filter val="15 May 2026"/>
        <filter val="19 February 2028"/>
        <filter val="17 October 2026"/>
        <filter val="14 June 2026"/>
        <filter val="19 February 2027"/>
        <filter val="22 July 2026"/>
        <filter val="20 February 2028"/>
        <filter val="03 July 2027"/>
        <filter val="15 July 2026"/>
        <filter val="25 February 2027"/>
        <filter val="20 February 2027"/>
        <filter val="28 March 2026"/>
        <filter val="05 March 2027"/>
        <filter val="08 October 2027"/>
        <filter val="13 November 2026"/>
        <filter val="07 July 2027"/>
        <filter val="07 June 2026"/>
        <filter val="26 June 2026"/>
        <filter val="31 July 2027"/>
        <filter val="31 July 2026"/>
        <filter val="15 January 2027"/>
        <filter val="23 July 2027"/>
        <filter val="11 February 2027"/>
        <filter val="22 January 2027"/>
        <filter val="24 October 2026"/>
        <filter val="24 October 2027"/>
        <filter val="23 October 2026"/>
        <filter val="18 July 2027"/>
        <filter val="26 March 2027"/>
        <filter val="24 July 2027"/>
        <filter val="07 August 2026"/>
        <filter val="08 July 2026"/>
        <filter val="25 November 2026"/>
        <filter val="12 February 2027"/>
        <filter val="06 March 2027"/>
        <filter val="30 July 2026"/>
        <filter val="13 May 2027"/>
        <filter val="06 August 2026"/>
      </filters>
    </filterColumn>
    <sortState ref="B2:D74">
      <sortCondition ref="D2:D74"/>
      <sortCondition ref="B2:B74"/>
    </sortState>
  </autoFilter>
  <conditionalFormatting sqref="D6">
    <cfRule type="notContainsBlanks" dxfId="4" priority="1">
      <formula>LEN(TRIM(D6))&gt;0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6.13"/>
    <col customWidth="1" min="2" max="2" width="7.63"/>
    <col customWidth="1" min="3" max="3" width="12.25"/>
    <col customWidth="1" min="4" max="4" width="11.0"/>
    <col customWidth="1" min="5" max="5" width="27.0"/>
    <col customWidth="1" min="6" max="7" width="7.63"/>
    <col customWidth="1" min="8" max="8" width="16.5"/>
    <col customWidth="1" min="9" max="9" width="7.63"/>
    <col customWidth="1" min="10" max="10" width="12.38"/>
    <col customWidth="1" min="11" max="12" width="7.63"/>
    <col customWidth="1" min="13" max="13" width="14.25"/>
    <col customWidth="1" min="14" max="14" width="38.75"/>
    <col customWidth="1" min="15" max="16" width="17.75"/>
    <col customWidth="1" min="17" max="17" width="7.63"/>
    <col customWidth="1" min="18" max="18" width="18.13"/>
    <col customWidth="1" min="19" max="19" width="10.13"/>
    <col customWidth="1" min="20" max="20" width="10.63"/>
    <col customWidth="1" min="21" max="26" width="7.63"/>
  </cols>
  <sheetData>
    <row r="1" ht="31.5" customHeight="1">
      <c r="A1" s="504" t="s">
        <v>2</v>
      </c>
      <c r="B1" s="504" t="s">
        <v>902</v>
      </c>
      <c r="C1" s="504" t="s">
        <v>903</v>
      </c>
      <c r="D1" s="504" t="s">
        <v>3</v>
      </c>
      <c r="E1" s="504" t="s">
        <v>904</v>
      </c>
      <c r="F1" s="504" t="s">
        <v>905</v>
      </c>
      <c r="G1" s="504" t="s">
        <v>906</v>
      </c>
      <c r="H1" s="504" t="s">
        <v>907</v>
      </c>
      <c r="I1" s="505" t="s">
        <v>908</v>
      </c>
      <c r="J1" s="504" t="s">
        <v>909</v>
      </c>
      <c r="K1" s="505" t="s">
        <v>910</v>
      </c>
      <c r="L1" s="505" t="s">
        <v>911</v>
      </c>
      <c r="M1" s="504" t="s">
        <v>912</v>
      </c>
      <c r="N1" s="505" t="s">
        <v>913</v>
      </c>
      <c r="O1" s="505" t="s">
        <v>144</v>
      </c>
      <c r="P1" s="505" t="s">
        <v>146</v>
      </c>
      <c r="Q1" s="505" t="s">
        <v>914</v>
      </c>
      <c r="R1" s="505" t="s">
        <v>915</v>
      </c>
      <c r="S1" s="505" t="s">
        <v>141</v>
      </c>
      <c r="T1" s="505" t="s">
        <v>916</v>
      </c>
      <c r="U1" s="504" t="s">
        <v>917</v>
      </c>
      <c r="V1" s="505" t="s">
        <v>918</v>
      </c>
      <c r="W1" s="504" t="s">
        <v>919</v>
      </c>
      <c r="X1" s="504" t="s">
        <v>920</v>
      </c>
      <c r="Y1" s="504" t="s">
        <v>921</v>
      </c>
      <c r="Z1" s="504" t="s">
        <v>107</v>
      </c>
    </row>
    <row r="2" ht="20.25" customHeight="1">
      <c r="A2" s="48"/>
      <c r="B2" s="48"/>
      <c r="C2" s="48"/>
      <c r="D2" s="48"/>
      <c r="E2" s="48"/>
      <c r="F2" s="48"/>
      <c r="G2" s="48"/>
      <c r="H2" s="48"/>
      <c r="I2" s="506" t="s">
        <v>922</v>
      </c>
      <c r="J2" s="48"/>
      <c r="K2" s="506" t="s">
        <v>923</v>
      </c>
      <c r="L2" s="506" t="s">
        <v>924</v>
      </c>
      <c r="M2" s="48"/>
      <c r="N2" s="506" t="s">
        <v>925</v>
      </c>
      <c r="O2" s="506" t="s">
        <v>925</v>
      </c>
      <c r="P2" s="506" t="s">
        <v>925</v>
      </c>
      <c r="Q2" s="506" t="s">
        <v>926</v>
      </c>
      <c r="R2" s="506" t="s">
        <v>927</v>
      </c>
      <c r="S2" s="506" t="s">
        <v>928</v>
      </c>
      <c r="T2" s="506" t="s">
        <v>924</v>
      </c>
      <c r="U2" s="48"/>
      <c r="V2" s="506" t="s">
        <v>929</v>
      </c>
      <c r="W2" s="48"/>
      <c r="X2" s="48"/>
      <c r="Y2" s="48"/>
      <c r="Z2" s="48"/>
    </row>
    <row r="3" ht="14.25" customHeight="1">
      <c r="A3" s="507" t="s">
        <v>930</v>
      </c>
      <c r="B3" s="508" t="s">
        <v>931</v>
      </c>
      <c r="C3" s="507" t="s">
        <v>932</v>
      </c>
      <c r="D3" s="508" t="s">
        <v>933</v>
      </c>
      <c r="E3" s="508" t="s">
        <v>934</v>
      </c>
      <c r="F3" s="508">
        <v>24.0</v>
      </c>
      <c r="G3" s="508" t="s">
        <v>935</v>
      </c>
      <c r="H3" s="508" t="s">
        <v>936</v>
      </c>
      <c r="I3" s="508" t="s">
        <v>937</v>
      </c>
      <c r="J3" s="508" t="s">
        <v>934</v>
      </c>
      <c r="K3" s="508" t="s">
        <v>938</v>
      </c>
      <c r="L3" s="509">
        <v>45728.0</v>
      </c>
      <c r="M3" s="507" t="s">
        <v>939</v>
      </c>
      <c r="N3" s="508" t="s">
        <v>940</v>
      </c>
      <c r="O3" s="508">
        <v>6.57890975E8</v>
      </c>
      <c r="P3" s="508" t="s">
        <v>941</v>
      </c>
      <c r="Q3" s="508" t="s">
        <v>942</v>
      </c>
      <c r="R3" s="508" t="s">
        <v>508</v>
      </c>
      <c r="S3" s="508" t="s">
        <v>943</v>
      </c>
      <c r="T3" s="509">
        <v>45728.0</v>
      </c>
      <c r="U3" s="507" t="s">
        <v>944</v>
      </c>
      <c r="V3" s="508" t="s">
        <v>945</v>
      </c>
      <c r="W3" s="508" t="s">
        <v>153</v>
      </c>
      <c r="X3" s="508" t="s">
        <v>946</v>
      </c>
      <c r="Y3" s="508" t="s">
        <v>945</v>
      </c>
      <c r="Z3" s="508" t="s">
        <v>947</v>
      </c>
    </row>
    <row r="4" ht="14.25" customHeight="1">
      <c r="A4" s="511">
        <v>1.0</v>
      </c>
      <c r="B4" s="512" t="s">
        <v>951</v>
      </c>
      <c r="C4" s="514" t="s">
        <v>962</v>
      </c>
      <c r="D4" s="514" t="s">
        <v>224</v>
      </c>
      <c r="E4" s="514" t="s">
        <v>8</v>
      </c>
      <c r="F4" s="515">
        <v>24.0</v>
      </c>
      <c r="G4" s="512" t="s">
        <v>935</v>
      </c>
      <c r="H4" s="516" t="s">
        <v>936</v>
      </c>
      <c r="I4" s="512" t="s">
        <v>937</v>
      </c>
      <c r="J4" s="512" t="s">
        <v>969</v>
      </c>
      <c r="K4" s="512" t="s">
        <v>938</v>
      </c>
      <c r="L4" s="517">
        <v>42399.0</v>
      </c>
      <c r="M4" s="514" t="s">
        <v>971</v>
      </c>
      <c r="N4" s="512" t="s">
        <v>973</v>
      </c>
      <c r="O4" s="514" t="s">
        <v>186</v>
      </c>
      <c r="P4" s="514" t="s">
        <v>187</v>
      </c>
      <c r="Q4" s="516" t="s">
        <v>945</v>
      </c>
      <c r="R4" s="512" t="s">
        <v>648</v>
      </c>
      <c r="S4" s="512" t="s">
        <v>975</v>
      </c>
      <c r="T4" s="517">
        <v>42399.0</v>
      </c>
      <c r="U4" s="512" t="s">
        <v>976</v>
      </c>
      <c r="V4" s="516" t="s">
        <v>945</v>
      </c>
      <c r="W4" s="512" t="s">
        <v>153</v>
      </c>
      <c r="X4" s="518" t="s">
        <v>946</v>
      </c>
      <c r="Y4" s="512" t="s">
        <v>945</v>
      </c>
      <c r="Z4" s="519" t="s">
        <v>516</v>
      </c>
    </row>
    <row r="5" ht="14.25" customHeight="1">
      <c r="A5" s="511">
        <v>2.0</v>
      </c>
      <c r="B5" s="512" t="s">
        <v>951</v>
      </c>
      <c r="C5" s="514" t="s">
        <v>962</v>
      </c>
      <c r="D5" s="514" t="s">
        <v>222</v>
      </c>
      <c r="E5" s="514" t="s">
        <v>8</v>
      </c>
      <c r="F5" s="515">
        <v>24.0</v>
      </c>
      <c r="G5" s="512" t="s">
        <v>935</v>
      </c>
      <c r="H5" s="516" t="s">
        <v>936</v>
      </c>
      <c r="I5" s="512" t="s">
        <v>937</v>
      </c>
      <c r="J5" s="512" t="s">
        <v>969</v>
      </c>
      <c r="K5" s="512" t="s">
        <v>938</v>
      </c>
      <c r="L5" s="517">
        <v>42731.0</v>
      </c>
      <c r="M5" s="514" t="s">
        <v>971</v>
      </c>
      <c r="N5" s="512" t="s">
        <v>982</v>
      </c>
      <c r="O5" s="514" t="s">
        <v>164</v>
      </c>
      <c r="P5" s="514" t="s">
        <v>165</v>
      </c>
      <c r="Q5" s="516" t="s">
        <v>945</v>
      </c>
      <c r="R5" s="512" t="s">
        <v>648</v>
      </c>
      <c r="S5" s="512" t="s">
        <v>975</v>
      </c>
      <c r="T5" s="517">
        <v>42731.0</v>
      </c>
      <c r="U5" s="512" t="s">
        <v>976</v>
      </c>
      <c r="V5" s="516" t="s">
        <v>945</v>
      </c>
      <c r="W5" s="512" t="s">
        <v>153</v>
      </c>
      <c r="X5" s="518" t="s">
        <v>946</v>
      </c>
      <c r="Y5" s="512" t="s">
        <v>945</v>
      </c>
      <c r="Z5" s="519" t="s">
        <v>516</v>
      </c>
    </row>
    <row r="6" ht="14.25" customHeight="1">
      <c r="A6" s="511">
        <v>3.0</v>
      </c>
      <c r="B6" s="512" t="s">
        <v>951</v>
      </c>
      <c r="C6" s="514" t="s">
        <v>962</v>
      </c>
      <c r="D6" s="514" t="s">
        <v>223</v>
      </c>
      <c r="E6" s="514" t="s">
        <v>8</v>
      </c>
      <c r="F6" s="515">
        <v>24.0</v>
      </c>
      <c r="G6" s="512" t="s">
        <v>935</v>
      </c>
      <c r="H6" s="516" t="s">
        <v>936</v>
      </c>
      <c r="I6" s="512" t="s">
        <v>937</v>
      </c>
      <c r="J6" s="512" t="s">
        <v>969</v>
      </c>
      <c r="K6" s="512" t="s">
        <v>938</v>
      </c>
      <c r="L6" s="517">
        <v>42731.0</v>
      </c>
      <c r="M6" s="514" t="s">
        <v>971</v>
      </c>
      <c r="N6" s="512" t="s">
        <v>982</v>
      </c>
      <c r="O6" s="514" t="s">
        <v>174</v>
      </c>
      <c r="P6" s="514" t="s">
        <v>175</v>
      </c>
      <c r="Q6" s="516" t="s">
        <v>945</v>
      </c>
      <c r="R6" s="512" t="s">
        <v>648</v>
      </c>
      <c r="S6" s="512" t="s">
        <v>975</v>
      </c>
      <c r="T6" s="517">
        <v>42731.0</v>
      </c>
      <c r="U6" s="512" t="s">
        <v>976</v>
      </c>
      <c r="V6" s="516" t="s">
        <v>945</v>
      </c>
      <c r="W6" s="512" t="s">
        <v>153</v>
      </c>
      <c r="X6" s="518" t="s">
        <v>946</v>
      </c>
      <c r="Y6" s="512" t="s">
        <v>945</v>
      </c>
      <c r="Z6" s="519" t="s">
        <v>516</v>
      </c>
    </row>
    <row r="7" ht="14.25" customHeight="1">
      <c r="A7" s="511">
        <v>4.0</v>
      </c>
      <c r="B7" s="512" t="s">
        <v>951</v>
      </c>
      <c r="C7" s="514" t="s">
        <v>962</v>
      </c>
      <c r="D7" s="514" t="s">
        <v>231</v>
      </c>
      <c r="E7" s="514" t="s">
        <v>8</v>
      </c>
      <c r="F7" s="515">
        <v>24.0</v>
      </c>
      <c r="G7" s="512" t="s">
        <v>935</v>
      </c>
      <c r="H7" s="516" t="s">
        <v>936</v>
      </c>
      <c r="I7" s="512" t="s">
        <v>937</v>
      </c>
      <c r="J7" s="512" t="s">
        <v>969</v>
      </c>
      <c r="K7" s="512" t="s">
        <v>938</v>
      </c>
      <c r="L7" s="517">
        <v>43250.0</v>
      </c>
      <c r="M7" s="514" t="s">
        <v>990</v>
      </c>
      <c r="N7" s="512" t="s">
        <v>991</v>
      </c>
      <c r="O7" s="514" t="s">
        <v>200</v>
      </c>
      <c r="P7" s="514" t="s">
        <v>201</v>
      </c>
      <c r="Q7" s="516" t="s">
        <v>945</v>
      </c>
      <c r="R7" s="512" t="s">
        <v>648</v>
      </c>
      <c r="S7" s="512" t="s">
        <v>975</v>
      </c>
      <c r="T7" s="517">
        <v>43250.0</v>
      </c>
      <c r="U7" s="512" t="s">
        <v>976</v>
      </c>
      <c r="V7" s="516" t="s">
        <v>945</v>
      </c>
      <c r="W7" s="512" t="s">
        <v>153</v>
      </c>
      <c r="X7" s="518" t="s">
        <v>946</v>
      </c>
      <c r="Y7" s="512" t="s">
        <v>945</v>
      </c>
      <c r="Z7" s="519" t="s">
        <v>516</v>
      </c>
    </row>
    <row r="8" ht="14.25" customHeight="1">
      <c r="A8" s="511">
        <v>5.0</v>
      </c>
      <c r="B8" s="512" t="s">
        <v>951</v>
      </c>
      <c r="C8" s="514" t="s">
        <v>962</v>
      </c>
      <c r="D8" s="514" t="s">
        <v>232</v>
      </c>
      <c r="E8" s="514" t="s">
        <v>8</v>
      </c>
      <c r="F8" s="515">
        <v>24.0</v>
      </c>
      <c r="G8" s="512" t="s">
        <v>935</v>
      </c>
      <c r="H8" s="516" t="s">
        <v>936</v>
      </c>
      <c r="I8" s="512" t="s">
        <v>937</v>
      </c>
      <c r="J8" s="512" t="s">
        <v>969</v>
      </c>
      <c r="K8" s="512" t="s">
        <v>938</v>
      </c>
      <c r="L8" s="517">
        <v>43250.0</v>
      </c>
      <c r="M8" s="514" t="s">
        <v>990</v>
      </c>
      <c r="N8" s="512" t="s">
        <v>991</v>
      </c>
      <c r="O8" s="514" t="s">
        <v>210</v>
      </c>
      <c r="P8" s="514" t="s">
        <v>211</v>
      </c>
      <c r="Q8" s="516" t="s">
        <v>945</v>
      </c>
      <c r="R8" s="512" t="s">
        <v>648</v>
      </c>
      <c r="S8" s="512" t="s">
        <v>975</v>
      </c>
      <c r="T8" s="517">
        <v>43250.0</v>
      </c>
      <c r="U8" s="512" t="s">
        <v>976</v>
      </c>
      <c r="V8" s="516" t="s">
        <v>945</v>
      </c>
      <c r="W8" s="512" t="s">
        <v>153</v>
      </c>
      <c r="X8" s="518" t="s">
        <v>946</v>
      </c>
      <c r="Y8" s="512" t="s">
        <v>945</v>
      </c>
      <c r="Z8" s="519" t="s">
        <v>516</v>
      </c>
    </row>
    <row r="9" ht="14.25" customHeight="1">
      <c r="A9" s="511">
        <v>6.0</v>
      </c>
      <c r="B9" s="512" t="s">
        <v>951</v>
      </c>
      <c r="C9" s="514" t="s">
        <v>962</v>
      </c>
      <c r="D9" s="514" t="s">
        <v>233</v>
      </c>
      <c r="E9" s="514" t="s">
        <v>8</v>
      </c>
      <c r="F9" s="515">
        <v>24.0</v>
      </c>
      <c r="G9" s="512" t="s">
        <v>935</v>
      </c>
      <c r="H9" s="516" t="s">
        <v>936</v>
      </c>
      <c r="I9" s="512" t="s">
        <v>937</v>
      </c>
      <c r="J9" s="512" t="s">
        <v>969</v>
      </c>
      <c r="K9" s="512" t="s">
        <v>938</v>
      </c>
      <c r="L9" s="517">
        <v>43250.0</v>
      </c>
      <c r="M9" s="514" t="s">
        <v>990</v>
      </c>
      <c r="N9" s="512" t="s">
        <v>991</v>
      </c>
      <c r="O9" s="514" t="s">
        <v>226</v>
      </c>
      <c r="P9" s="514" t="s">
        <v>228</v>
      </c>
      <c r="Q9" s="516" t="s">
        <v>945</v>
      </c>
      <c r="R9" s="512" t="s">
        <v>648</v>
      </c>
      <c r="S9" s="512" t="s">
        <v>975</v>
      </c>
      <c r="T9" s="517">
        <v>43250.0</v>
      </c>
      <c r="U9" s="512" t="s">
        <v>976</v>
      </c>
      <c r="V9" s="516" t="s">
        <v>945</v>
      </c>
      <c r="W9" s="512" t="s">
        <v>153</v>
      </c>
      <c r="X9" s="518" t="s">
        <v>946</v>
      </c>
      <c r="Y9" s="512" t="s">
        <v>945</v>
      </c>
      <c r="Z9" s="519" t="s">
        <v>516</v>
      </c>
    </row>
    <row r="10" ht="14.25" customHeight="1">
      <c r="A10" s="511">
        <v>7.0</v>
      </c>
      <c r="B10" s="512" t="s">
        <v>951</v>
      </c>
      <c r="C10" s="514" t="s">
        <v>962</v>
      </c>
      <c r="D10" s="514" t="s">
        <v>219</v>
      </c>
      <c r="E10" s="514" t="s">
        <v>8</v>
      </c>
      <c r="F10" s="515">
        <v>16.0</v>
      </c>
      <c r="G10" s="512" t="s">
        <v>935</v>
      </c>
      <c r="H10" s="516" t="s">
        <v>936</v>
      </c>
      <c r="I10" s="512" t="s">
        <v>937</v>
      </c>
      <c r="J10" s="512" t="s">
        <v>969</v>
      </c>
      <c r="K10" s="512" t="s">
        <v>938</v>
      </c>
      <c r="L10" s="517">
        <v>45198.0</v>
      </c>
      <c r="M10" s="514" t="s">
        <v>999</v>
      </c>
      <c r="N10" s="512" t="s">
        <v>1000</v>
      </c>
      <c r="O10" s="514" t="s">
        <v>291</v>
      </c>
      <c r="P10" s="514" t="s">
        <v>292</v>
      </c>
      <c r="Q10" s="516" t="s">
        <v>1002</v>
      </c>
      <c r="R10" s="512" t="s">
        <v>1003</v>
      </c>
      <c r="S10" s="512" t="s">
        <v>1004</v>
      </c>
      <c r="T10" s="517">
        <v>45198.0</v>
      </c>
      <c r="U10" s="512" t="s">
        <v>976</v>
      </c>
      <c r="V10" s="516" t="s">
        <v>945</v>
      </c>
      <c r="W10" s="512" t="s">
        <v>240</v>
      </c>
      <c r="X10" s="521" t="s">
        <v>1005</v>
      </c>
      <c r="Y10" s="512" t="s">
        <v>945</v>
      </c>
      <c r="Z10" s="519" t="s">
        <v>1007</v>
      </c>
    </row>
    <row r="11" ht="14.25" customHeight="1">
      <c r="A11" s="511">
        <v>8.0</v>
      </c>
      <c r="B11" s="512" t="s">
        <v>951</v>
      </c>
      <c r="C11" s="514" t="s">
        <v>962</v>
      </c>
      <c r="D11" s="514" t="s">
        <v>220</v>
      </c>
      <c r="E11" s="514" t="s">
        <v>8</v>
      </c>
      <c r="F11" s="515">
        <v>16.0</v>
      </c>
      <c r="G11" s="512" t="s">
        <v>935</v>
      </c>
      <c r="H11" s="516" t="s">
        <v>936</v>
      </c>
      <c r="I11" s="512" t="s">
        <v>937</v>
      </c>
      <c r="J11" s="512" t="s">
        <v>969</v>
      </c>
      <c r="K11" s="512" t="s">
        <v>938</v>
      </c>
      <c r="L11" s="517">
        <v>45198.0</v>
      </c>
      <c r="M11" s="514" t="s">
        <v>999</v>
      </c>
      <c r="N11" s="512" t="s">
        <v>1000</v>
      </c>
      <c r="O11" s="514" t="s">
        <v>1009</v>
      </c>
      <c r="P11" s="514" t="s">
        <v>273</v>
      </c>
      <c r="Q11" s="516" t="s">
        <v>1002</v>
      </c>
      <c r="R11" s="512" t="s">
        <v>1003</v>
      </c>
      <c r="S11" s="512" t="s">
        <v>1004</v>
      </c>
      <c r="T11" s="517">
        <v>45198.0</v>
      </c>
      <c r="U11" s="512" t="s">
        <v>976</v>
      </c>
      <c r="V11" s="516" t="s">
        <v>945</v>
      </c>
      <c r="W11" s="512" t="s">
        <v>240</v>
      </c>
      <c r="X11" s="521" t="s">
        <v>1005</v>
      </c>
      <c r="Y11" s="512" t="s">
        <v>945</v>
      </c>
      <c r="Z11" s="519" t="s">
        <v>1010</v>
      </c>
    </row>
    <row r="12" ht="14.25" customHeight="1">
      <c r="A12" s="511">
        <v>9.0</v>
      </c>
      <c r="B12" s="512" t="s">
        <v>951</v>
      </c>
      <c r="C12" s="514" t="s">
        <v>962</v>
      </c>
      <c r="D12" s="514" t="s">
        <v>216</v>
      </c>
      <c r="E12" s="514" t="s">
        <v>8</v>
      </c>
      <c r="F12" s="515">
        <v>24.0</v>
      </c>
      <c r="G12" s="512" t="s">
        <v>935</v>
      </c>
      <c r="H12" s="516" t="s">
        <v>936</v>
      </c>
      <c r="I12" s="512" t="s">
        <v>937</v>
      </c>
      <c r="J12" s="512" t="s">
        <v>969</v>
      </c>
      <c r="K12" s="512" t="s">
        <v>938</v>
      </c>
      <c r="L12" s="517">
        <v>44896.0</v>
      </c>
      <c r="M12" s="514" t="s">
        <v>971</v>
      </c>
      <c r="N12" s="512" t="s">
        <v>1012</v>
      </c>
      <c r="O12" s="514" t="s">
        <v>310</v>
      </c>
      <c r="P12" s="514" t="s">
        <v>883</v>
      </c>
      <c r="Q12" s="516" t="s">
        <v>1002</v>
      </c>
      <c r="R12" s="512" t="s">
        <v>1003</v>
      </c>
      <c r="S12" s="512" t="s">
        <v>975</v>
      </c>
      <c r="T12" s="517">
        <v>44896.0</v>
      </c>
      <c r="U12" s="512" t="s">
        <v>976</v>
      </c>
      <c r="V12" s="516" t="s">
        <v>945</v>
      </c>
      <c r="W12" s="512" t="s">
        <v>153</v>
      </c>
      <c r="X12" s="518" t="s">
        <v>946</v>
      </c>
      <c r="Y12" s="512" t="s">
        <v>945</v>
      </c>
      <c r="Z12" s="519" t="s">
        <v>1014</v>
      </c>
    </row>
    <row r="13" ht="14.25" customHeight="1">
      <c r="A13" s="511">
        <v>10.0</v>
      </c>
      <c r="B13" s="512" t="s">
        <v>951</v>
      </c>
      <c r="C13" s="514" t="s">
        <v>962</v>
      </c>
      <c r="D13" s="514" t="s">
        <v>218</v>
      </c>
      <c r="E13" s="514" t="s">
        <v>8</v>
      </c>
      <c r="F13" s="515">
        <v>24.0</v>
      </c>
      <c r="G13" s="512" t="s">
        <v>935</v>
      </c>
      <c r="H13" s="516" t="s">
        <v>936</v>
      </c>
      <c r="I13" s="512" t="s">
        <v>937</v>
      </c>
      <c r="J13" s="512" t="s">
        <v>969</v>
      </c>
      <c r="K13" s="512" t="s">
        <v>938</v>
      </c>
      <c r="L13" s="517">
        <v>44854.0</v>
      </c>
      <c r="M13" s="514" t="s">
        <v>971</v>
      </c>
      <c r="N13" s="512" t="s">
        <v>1012</v>
      </c>
      <c r="O13" s="514" t="s">
        <v>1016</v>
      </c>
      <c r="P13" s="514" t="s">
        <v>314</v>
      </c>
      <c r="Q13" s="516" t="s">
        <v>1002</v>
      </c>
      <c r="R13" s="512" t="s">
        <v>1003</v>
      </c>
      <c r="S13" s="512" t="s">
        <v>975</v>
      </c>
      <c r="T13" s="517">
        <v>44854.0</v>
      </c>
      <c r="U13" s="512" t="s">
        <v>976</v>
      </c>
      <c r="V13" s="516" t="s">
        <v>945</v>
      </c>
      <c r="W13" s="512" t="s">
        <v>153</v>
      </c>
      <c r="X13" s="518" t="s">
        <v>946</v>
      </c>
      <c r="Y13" s="512" t="s">
        <v>945</v>
      </c>
      <c r="Z13" s="519" t="s">
        <v>1018</v>
      </c>
    </row>
    <row r="14" ht="14.25" customHeight="1">
      <c r="A14" s="511">
        <v>11.0</v>
      </c>
      <c r="B14" s="512" t="s">
        <v>951</v>
      </c>
      <c r="C14" s="514" t="s">
        <v>962</v>
      </c>
      <c r="D14" s="514" t="s">
        <v>217</v>
      </c>
      <c r="E14" s="514" t="s">
        <v>8</v>
      </c>
      <c r="F14" s="515">
        <v>16.0</v>
      </c>
      <c r="G14" s="512" t="s">
        <v>935</v>
      </c>
      <c r="H14" s="516" t="s">
        <v>936</v>
      </c>
      <c r="I14" s="512" t="s">
        <v>937</v>
      </c>
      <c r="J14" s="512" t="s">
        <v>969</v>
      </c>
      <c r="K14" s="512" t="s">
        <v>938</v>
      </c>
      <c r="L14" s="517">
        <v>44911.0</v>
      </c>
      <c r="M14" s="514" t="s">
        <v>971</v>
      </c>
      <c r="N14" s="512" t="s">
        <v>1020</v>
      </c>
      <c r="O14" s="514" t="s">
        <v>246</v>
      </c>
      <c r="P14" s="514" t="s">
        <v>248</v>
      </c>
      <c r="Q14" s="516" t="s">
        <v>1002</v>
      </c>
      <c r="R14" s="512" t="s">
        <v>648</v>
      </c>
      <c r="S14" s="512" t="s">
        <v>1004</v>
      </c>
      <c r="T14" s="517">
        <v>44911.0</v>
      </c>
      <c r="U14" s="512" t="s">
        <v>976</v>
      </c>
      <c r="V14" s="516" t="s">
        <v>945</v>
      </c>
      <c r="W14" s="512" t="s">
        <v>240</v>
      </c>
      <c r="X14" s="521" t="s">
        <v>1005</v>
      </c>
      <c r="Y14" s="512" t="s">
        <v>945</v>
      </c>
      <c r="Z14" s="519" t="s">
        <v>259</v>
      </c>
    </row>
    <row r="15" ht="14.25" customHeight="1">
      <c r="A15" s="511">
        <v>12.0</v>
      </c>
      <c r="B15" s="512" t="s">
        <v>951</v>
      </c>
      <c r="C15" s="514" t="s">
        <v>962</v>
      </c>
      <c r="D15" s="514" t="s">
        <v>276</v>
      </c>
      <c r="E15" s="514" t="s">
        <v>109</v>
      </c>
      <c r="F15" s="515">
        <v>16.0</v>
      </c>
      <c r="G15" s="512" t="s">
        <v>935</v>
      </c>
      <c r="H15" s="516" t="s">
        <v>936</v>
      </c>
      <c r="I15" s="512" t="s">
        <v>937</v>
      </c>
      <c r="J15" s="512" t="s">
        <v>969</v>
      </c>
      <c r="K15" s="512" t="s">
        <v>938</v>
      </c>
      <c r="L15" s="517">
        <v>45244.0</v>
      </c>
      <c r="M15" s="514" t="s">
        <v>971</v>
      </c>
      <c r="N15" s="512" t="s">
        <v>1024</v>
      </c>
      <c r="O15" s="514" t="s">
        <v>487</v>
      </c>
      <c r="P15" s="514" t="s">
        <v>1026</v>
      </c>
      <c r="Q15" s="516" t="s">
        <v>1002</v>
      </c>
      <c r="R15" s="512" t="s">
        <v>657</v>
      </c>
      <c r="S15" s="512" t="s">
        <v>1004</v>
      </c>
      <c r="T15" s="517">
        <v>45244.0</v>
      </c>
      <c r="U15" s="512" t="s">
        <v>976</v>
      </c>
      <c r="V15" s="516" t="s">
        <v>945</v>
      </c>
      <c r="W15" s="512" t="s">
        <v>240</v>
      </c>
      <c r="X15" s="521" t="s">
        <v>1005</v>
      </c>
      <c r="Y15" s="512" t="s">
        <v>945</v>
      </c>
      <c r="Z15" s="519" t="s">
        <v>1028</v>
      </c>
    </row>
    <row r="16" ht="14.25" customHeight="1">
      <c r="A16" s="511">
        <v>13.0</v>
      </c>
      <c r="B16" s="512" t="s">
        <v>951</v>
      </c>
      <c r="C16" s="514" t="s">
        <v>962</v>
      </c>
      <c r="D16" s="514" t="s">
        <v>277</v>
      </c>
      <c r="E16" s="514" t="s">
        <v>109</v>
      </c>
      <c r="F16" s="515">
        <v>16.0</v>
      </c>
      <c r="G16" s="512" t="s">
        <v>935</v>
      </c>
      <c r="H16" s="516" t="s">
        <v>936</v>
      </c>
      <c r="I16" s="512" t="s">
        <v>937</v>
      </c>
      <c r="J16" s="512" t="s">
        <v>969</v>
      </c>
      <c r="K16" s="512" t="s">
        <v>938</v>
      </c>
      <c r="L16" s="517">
        <v>45244.0</v>
      </c>
      <c r="M16" s="514" t="s">
        <v>971</v>
      </c>
      <c r="N16" s="512" t="s">
        <v>1024</v>
      </c>
      <c r="O16" s="514" t="s">
        <v>494</v>
      </c>
      <c r="P16" s="514" t="s">
        <v>1030</v>
      </c>
      <c r="Q16" s="516" t="s">
        <v>1002</v>
      </c>
      <c r="R16" s="512" t="s">
        <v>657</v>
      </c>
      <c r="S16" s="512" t="s">
        <v>1004</v>
      </c>
      <c r="T16" s="517">
        <v>45244.0</v>
      </c>
      <c r="U16" s="512" t="s">
        <v>976</v>
      </c>
      <c r="V16" s="516" t="s">
        <v>945</v>
      </c>
      <c r="W16" s="512" t="s">
        <v>240</v>
      </c>
      <c r="X16" s="521" t="s">
        <v>1005</v>
      </c>
      <c r="Y16" s="512" t="s">
        <v>945</v>
      </c>
      <c r="Z16" s="519" t="s">
        <v>1031</v>
      </c>
    </row>
    <row r="17" ht="14.25" customHeight="1">
      <c r="A17" s="511">
        <v>14.0</v>
      </c>
      <c r="B17" s="512" t="s">
        <v>951</v>
      </c>
      <c r="C17" s="514" t="s">
        <v>962</v>
      </c>
      <c r="D17" s="514" t="s">
        <v>280</v>
      </c>
      <c r="E17" s="514" t="s">
        <v>109</v>
      </c>
      <c r="F17" s="515">
        <v>24.0</v>
      </c>
      <c r="G17" s="512" t="s">
        <v>935</v>
      </c>
      <c r="H17" s="516" t="s">
        <v>936</v>
      </c>
      <c r="I17" s="512" t="s">
        <v>937</v>
      </c>
      <c r="J17" s="512" t="s">
        <v>969</v>
      </c>
      <c r="K17" s="512" t="s">
        <v>938</v>
      </c>
      <c r="L17" s="517">
        <v>45288.0</v>
      </c>
      <c r="M17" s="514" t="s">
        <v>971</v>
      </c>
      <c r="N17" s="512" t="s">
        <v>1033</v>
      </c>
      <c r="O17" s="514" t="s">
        <v>514</v>
      </c>
      <c r="P17" s="514" t="s">
        <v>515</v>
      </c>
      <c r="Q17" s="516" t="s">
        <v>1002</v>
      </c>
      <c r="R17" s="512" t="s">
        <v>657</v>
      </c>
      <c r="S17" s="512" t="s">
        <v>975</v>
      </c>
      <c r="T17" s="517">
        <v>45288.0</v>
      </c>
      <c r="U17" s="512" t="s">
        <v>976</v>
      </c>
      <c r="V17" s="516" t="s">
        <v>945</v>
      </c>
      <c r="W17" s="512" t="s">
        <v>153</v>
      </c>
      <c r="X17" s="518" t="s">
        <v>946</v>
      </c>
      <c r="Y17" s="512" t="s">
        <v>945</v>
      </c>
      <c r="Z17" s="519" t="s">
        <v>1034</v>
      </c>
    </row>
    <row r="18" ht="14.25" customHeight="1">
      <c r="A18" s="511">
        <v>15.0</v>
      </c>
      <c r="B18" s="512" t="s">
        <v>951</v>
      </c>
      <c r="C18" s="514" t="s">
        <v>962</v>
      </c>
      <c r="D18" s="514" t="s">
        <v>282</v>
      </c>
      <c r="E18" s="514" t="s">
        <v>109</v>
      </c>
      <c r="F18" s="515">
        <v>24.0</v>
      </c>
      <c r="G18" s="512" t="s">
        <v>935</v>
      </c>
      <c r="H18" s="516" t="s">
        <v>936</v>
      </c>
      <c r="I18" s="512" t="s">
        <v>937</v>
      </c>
      <c r="J18" s="512" t="s">
        <v>969</v>
      </c>
      <c r="K18" s="512" t="s">
        <v>938</v>
      </c>
      <c r="L18" s="517">
        <v>45306.0</v>
      </c>
      <c r="M18" s="514" t="s">
        <v>971</v>
      </c>
      <c r="N18" s="512" t="s">
        <v>1035</v>
      </c>
      <c r="O18" s="514" t="s">
        <v>523</v>
      </c>
      <c r="P18" s="514" t="s">
        <v>524</v>
      </c>
      <c r="Q18" s="516" t="s">
        <v>1002</v>
      </c>
      <c r="R18" s="512" t="s">
        <v>657</v>
      </c>
      <c r="S18" s="512" t="s">
        <v>975</v>
      </c>
      <c r="T18" s="517">
        <v>45306.0</v>
      </c>
      <c r="U18" s="512" t="s">
        <v>976</v>
      </c>
      <c r="V18" s="516" t="s">
        <v>945</v>
      </c>
      <c r="W18" s="512" t="s">
        <v>153</v>
      </c>
      <c r="X18" s="518" t="s">
        <v>946</v>
      </c>
      <c r="Y18" s="512" t="s">
        <v>945</v>
      </c>
      <c r="Z18" s="519" t="s">
        <v>1036</v>
      </c>
    </row>
    <row r="19" ht="14.25" customHeight="1">
      <c r="A19" s="511">
        <v>16.0</v>
      </c>
      <c r="B19" s="512" t="s">
        <v>951</v>
      </c>
      <c r="C19" s="514" t="s">
        <v>962</v>
      </c>
      <c r="D19" s="514" t="s">
        <v>278</v>
      </c>
      <c r="E19" s="514" t="s">
        <v>109</v>
      </c>
      <c r="F19" s="515">
        <v>16.0</v>
      </c>
      <c r="G19" s="512" t="s">
        <v>935</v>
      </c>
      <c r="H19" s="516" t="s">
        <v>936</v>
      </c>
      <c r="I19" s="512" t="s">
        <v>937</v>
      </c>
      <c r="J19" s="512" t="s">
        <v>969</v>
      </c>
      <c r="K19" s="512" t="s">
        <v>938</v>
      </c>
      <c r="L19" s="517">
        <v>45244.0</v>
      </c>
      <c r="M19" s="514" t="s">
        <v>971</v>
      </c>
      <c r="N19" s="512" t="s">
        <v>1024</v>
      </c>
      <c r="O19" s="514" t="s">
        <v>506</v>
      </c>
      <c r="P19" s="514" t="s">
        <v>1037</v>
      </c>
      <c r="Q19" s="516" t="s">
        <v>1002</v>
      </c>
      <c r="R19" s="512" t="s">
        <v>657</v>
      </c>
      <c r="S19" s="512" t="s">
        <v>1004</v>
      </c>
      <c r="T19" s="517">
        <v>45244.0</v>
      </c>
      <c r="U19" s="512" t="s">
        <v>976</v>
      </c>
      <c r="V19" s="516" t="s">
        <v>945</v>
      </c>
      <c r="W19" s="512" t="s">
        <v>240</v>
      </c>
      <c r="X19" s="521" t="s">
        <v>1005</v>
      </c>
      <c r="Y19" s="512" t="s">
        <v>945</v>
      </c>
      <c r="Z19" s="519" t="s">
        <v>1038</v>
      </c>
    </row>
    <row r="20" ht="14.25" customHeight="1">
      <c r="A20" s="511">
        <v>17.0</v>
      </c>
      <c r="B20" s="512" t="s">
        <v>951</v>
      </c>
      <c r="C20" s="514" t="s">
        <v>962</v>
      </c>
      <c r="D20" s="514" t="s">
        <v>290</v>
      </c>
      <c r="E20" s="514" t="s">
        <v>1039</v>
      </c>
      <c r="F20" s="515">
        <v>24.0</v>
      </c>
      <c r="G20" s="512" t="s">
        <v>935</v>
      </c>
      <c r="H20" s="516" t="s">
        <v>936</v>
      </c>
      <c r="I20" s="512" t="s">
        <v>937</v>
      </c>
      <c r="J20" s="512" t="s">
        <v>969</v>
      </c>
      <c r="K20" s="512" t="s">
        <v>938</v>
      </c>
      <c r="L20" s="517">
        <v>45358.0</v>
      </c>
      <c r="M20" s="514" t="s">
        <v>990</v>
      </c>
      <c r="N20" s="512" t="s">
        <v>1040</v>
      </c>
      <c r="O20" s="514" t="s">
        <v>1042</v>
      </c>
      <c r="P20" s="514" t="s">
        <v>438</v>
      </c>
      <c r="Q20" s="516" t="s">
        <v>1002</v>
      </c>
      <c r="R20" s="512" t="s">
        <v>657</v>
      </c>
      <c r="S20" s="512" t="s">
        <v>975</v>
      </c>
      <c r="T20" s="517">
        <v>45358.0</v>
      </c>
      <c r="U20" s="512" t="s">
        <v>976</v>
      </c>
      <c r="V20" s="516" t="s">
        <v>945</v>
      </c>
      <c r="W20" s="512" t="s">
        <v>153</v>
      </c>
      <c r="X20" s="518" t="s">
        <v>946</v>
      </c>
      <c r="Y20" s="512" t="s">
        <v>945</v>
      </c>
      <c r="Z20" s="519" t="s">
        <v>1043</v>
      </c>
    </row>
    <row r="21" ht="14.25" customHeight="1">
      <c r="A21" s="511">
        <v>18.0</v>
      </c>
      <c r="B21" s="512" t="s">
        <v>951</v>
      </c>
      <c r="C21" s="514" t="s">
        <v>962</v>
      </c>
      <c r="D21" s="514" t="s">
        <v>289</v>
      </c>
      <c r="E21" s="514" t="s">
        <v>1039</v>
      </c>
      <c r="F21" s="515">
        <v>24.0</v>
      </c>
      <c r="G21" s="512" t="s">
        <v>935</v>
      </c>
      <c r="H21" s="516" t="s">
        <v>936</v>
      </c>
      <c r="I21" s="512" t="s">
        <v>937</v>
      </c>
      <c r="J21" s="512" t="s">
        <v>969</v>
      </c>
      <c r="K21" s="512" t="s">
        <v>938</v>
      </c>
      <c r="L21" s="517">
        <v>45358.0</v>
      </c>
      <c r="M21" s="514" t="s">
        <v>990</v>
      </c>
      <c r="N21" s="512" t="s">
        <v>1046</v>
      </c>
      <c r="O21" s="514" t="s">
        <v>1047</v>
      </c>
      <c r="P21" s="514" t="s">
        <v>431</v>
      </c>
      <c r="Q21" s="516" t="s">
        <v>1002</v>
      </c>
      <c r="R21" s="512" t="s">
        <v>657</v>
      </c>
      <c r="S21" s="512" t="s">
        <v>975</v>
      </c>
      <c r="T21" s="517">
        <v>45358.0</v>
      </c>
      <c r="U21" s="512" t="s">
        <v>976</v>
      </c>
      <c r="V21" s="516" t="s">
        <v>945</v>
      </c>
      <c r="W21" s="512" t="s">
        <v>153</v>
      </c>
      <c r="X21" s="518" t="s">
        <v>946</v>
      </c>
      <c r="Y21" s="512" t="s">
        <v>945</v>
      </c>
      <c r="Z21" s="519" t="s">
        <v>1048</v>
      </c>
    </row>
    <row r="22" ht="14.25" customHeight="1">
      <c r="A22" s="511">
        <v>19.0</v>
      </c>
      <c r="B22" s="512" t="s">
        <v>951</v>
      </c>
      <c r="C22" s="514" t="s">
        <v>962</v>
      </c>
      <c r="D22" s="514" t="s">
        <v>298</v>
      </c>
      <c r="E22" s="514" t="s">
        <v>1039</v>
      </c>
      <c r="F22" s="515">
        <v>16.0</v>
      </c>
      <c r="G22" s="512" t="s">
        <v>935</v>
      </c>
      <c r="H22" s="516" t="s">
        <v>936</v>
      </c>
      <c r="I22" s="512" t="s">
        <v>937</v>
      </c>
      <c r="J22" s="512" t="s">
        <v>969</v>
      </c>
      <c r="K22" s="512" t="s">
        <v>938</v>
      </c>
      <c r="L22" s="517">
        <v>45387.0</v>
      </c>
      <c r="M22" s="514" t="s">
        <v>990</v>
      </c>
      <c r="N22" s="512" t="s">
        <v>1050</v>
      </c>
      <c r="O22" s="512" t="s">
        <v>1051</v>
      </c>
      <c r="P22" s="514" t="s">
        <v>424</v>
      </c>
      <c r="Q22" s="516" t="s">
        <v>1002</v>
      </c>
      <c r="R22" s="512" t="s">
        <v>657</v>
      </c>
      <c r="S22" s="512" t="s">
        <v>1004</v>
      </c>
      <c r="T22" s="517">
        <v>45387.0</v>
      </c>
      <c r="U22" s="512" t="s">
        <v>976</v>
      </c>
      <c r="V22" s="516" t="s">
        <v>945</v>
      </c>
      <c r="W22" s="512" t="s">
        <v>240</v>
      </c>
      <c r="X22" s="521" t="s">
        <v>1005</v>
      </c>
      <c r="Y22" s="512" t="s">
        <v>945</v>
      </c>
      <c r="Z22" s="519" t="s">
        <v>1052</v>
      </c>
    </row>
    <row r="23" ht="14.25" customHeight="1">
      <c r="A23" s="511">
        <v>20.0</v>
      </c>
      <c r="B23" s="512" t="s">
        <v>951</v>
      </c>
      <c r="C23" s="514" t="s">
        <v>962</v>
      </c>
      <c r="D23" s="514" t="s">
        <v>288</v>
      </c>
      <c r="E23" s="514" t="s">
        <v>1039</v>
      </c>
      <c r="F23" s="515">
        <v>8.0</v>
      </c>
      <c r="G23" s="512" t="s">
        <v>935</v>
      </c>
      <c r="H23" s="516" t="s">
        <v>936</v>
      </c>
      <c r="I23" s="512" t="s">
        <v>937</v>
      </c>
      <c r="J23" s="512" t="s">
        <v>969</v>
      </c>
      <c r="K23" s="512" t="s">
        <v>938</v>
      </c>
      <c r="L23" s="517">
        <v>45427.0</v>
      </c>
      <c r="M23" s="514" t="s">
        <v>990</v>
      </c>
      <c r="N23" s="512" t="s">
        <v>1054</v>
      </c>
      <c r="O23" s="514" t="s">
        <v>434</v>
      </c>
      <c r="P23" s="514" t="s">
        <v>1055</v>
      </c>
      <c r="Q23" s="516" t="s">
        <v>1002</v>
      </c>
      <c r="R23" s="512" t="s">
        <v>657</v>
      </c>
      <c r="S23" s="512" t="s">
        <v>1004</v>
      </c>
      <c r="T23" s="517">
        <v>45427.0</v>
      </c>
      <c r="U23" s="512" t="s">
        <v>976</v>
      </c>
      <c r="V23" s="516" t="s">
        <v>945</v>
      </c>
      <c r="W23" s="512" t="s">
        <v>324</v>
      </c>
      <c r="X23" s="521">
        <v>2.22</v>
      </c>
      <c r="Y23" s="512" t="s">
        <v>945</v>
      </c>
      <c r="Z23" s="519" t="s">
        <v>1056</v>
      </c>
    </row>
    <row r="24" ht="14.25" customHeight="1">
      <c r="A24" s="511">
        <v>21.0</v>
      </c>
      <c r="B24" s="512" t="s">
        <v>951</v>
      </c>
      <c r="C24" s="514" t="s">
        <v>962</v>
      </c>
      <c r="D24" s="514" t="s">
        <v>296</v>
      </c>
      <c r="E24" s="514" t="s">
        <v>1039</v>
      </c>
      <c r="F24" s="515">
        <v>16.0</v>
      </c>
      <c r="G24" s="512" t="s">
        <v>935</v>
      </c>
      <c r="H24" s="516" t="s">
        <v>936</v>
      </c>
      <c r="I24" s="512" t="s">
        <v>937</v>
      </c>
      <c r="J24" s="512" t="s">
        <v>969</v>
      </c>
      <c r="K24" s="512" t="s">
        <v>938</v>
      </c>
      <c r="L24" s="517">
        <v>45181.0</v>
      </c>
      <c r="M24" s="514" t="s">
        <v>990</v>
      </c>
      <c r="N24" s="512" t="s">
        <v>1058</v>
      </c>
      <c r="O24" s="514" t="s">
        <v>423</v>
      </c>
      <c r="P24" s="514" t="s">
        <v>424</v>
      </c>
      <c r="Q24" s="516" t="s">
        <v>1002</v>
      </c>
      <c r="R24" s="512" t="s">
        <v>657</v>
      </c>
      <c r="S24" s="512" t="s">
        <v>1004</v>
      </c>
      <c r="T24" s="517">
        <v>45181.0</v>
      </c>
      <c r="U24" s="512" t="s">
        <v>976</v>
      </c>
      <c r="V24" s="516" t="s">
        <v>945</v>
      </c>
      <c r="W24" s="512" t="s">
        <v>240</v>
      </c>
      <c r="X24" s="521" t="s">
        <v>1005</v>
      </c>
      <c r="Y24" s="512" t="s">
        <v>945</v>
      </c>
      <c r="Z24" s="519" t="s">
        <v>1059</v>
      </c>
    </row>
    <row r="25" ht="14.25" customHeight="1">
      <c r="A25" s="511">
        <v>22.0</v>
      </c>
      <c r="B25" s="512" t="s">
        <v>951</v>
      </c>
      <c r="C25" s="514" t="s">
        <v>962</v>
      </c>
      <c r="D25" s="514" t="s">
        <v>1060</v>
      </c>
      <c r="E25" s="514" t="s">
        <v>142</v>
      </c>
      <c r="F25" s="515">
        <v>16.0</v>
      </c>
      <c r="G25" s="512" t="s">
        <v>935</v>
      </c>
      <c r="H25" s="516" t="s">
        <v>936</v>
      </c>
      <c r="I25" s="512" t="s">
        <v>937</v>
      </c>
      <c r="J25" s="512" t="s">
        <v>969</v>
      </c>
      <c r="K25" s="512" t="s">
        <v>938</v>
      </c>
      <c r="L25" s="517">
        <v>43731.0</v>
      </c>
      <c r="M25" s="514" t="s">
        <v>990</v>
      </c>
      <c r="N25" s="512" t="s">
        <v>1061</v>
      </c>
      <c r="O25" s="514" t="s">
        <v>636</v>
      </c>
      <c r="P25" s="514" t="s">
        <v>637</v>
      </c>
      <c r="Q25" s="516" t="s">
        <v>1002</v>
      </c>
      <c r="R25" s="512" t="s">
        <v>657</v>
      </c>
      <c r="S25" s="512" t="s">
        <v>1004</v>
      </c>
      <c r="T25" s="517">
        <v>43731.0</v>
      </c>
      <c r="U25" s="512" t="s">
        <v>976</v>
      </c>
      <c r="V25" s="516" t="s">
        <v>945</v>
      </c>
      <c r="W25" s="512" t="s">
        <v>240</v>
      </c>
      <c r="X25" s="521" t="s">
        <v>1005</v>
      </c>
      <c r="Y25" s="512" t="s">
        <v>945</v>
      </c>
      <c r="Z25" s="519" t="s">
        <v>516</v>
      </c>
    </row>
    <row r="26" ht="14.25" customHeight="1">
      <c r="A26" s="511">
        <v>23.0</v>
      </c>
      <c r="B26" s="512" t="s">
        <v>951</v>
      </c>
      <c r="C26" s="514" t="s">
        <v>962</v>
      </c>
      <c r="D26" s="514" t="s">
        <v>225</v>
      </c>
      <c r="E26" s="514" t="s">
        <v>39</v>
      </c>
      <c r="F26" s="515">
        <v>24.0</v>
      </c>
      <c r="G26" s="512" t="s">
        <v>935</v>
      </c>
      <c r="H26" s="516" t="s">
        <v>936</v>
      </c>
      <c r="I26" s="512" t="s">
        <v>937</v>
      </c>
      <c r="J26" s="512" t="s">
        <v>969</v>
      </c>
      <c r="K26" s="512" t="s">
        <v>938</v>
      </c>
      <c r="L26" s="517">
        <v>45097.0</v>
      </c>
      <c r="M26" s="514" t="s">
        <v>971</v>
      </c>
      <c r="N26" s="512" t="s">
        <v>1012</v>
      </c>
      <c r="O26" s="514" t="s">
        <v>320</v>
      </c>
      <c r="P26" s="514" t="s">
        <v>321</v>
      </c>
      <c r="Q26" s="516" t="s">
        <v>1002</v>
      </c>
      <c r="R26" s="512" t="s">
        <v>648</v>
      </c>
      <c r="S26" s="512" t="s">
        <v>975</v>
      </c>
      <c r="T26" s="517">
        <v>45097.0</v>
      </c>
      <c r="U26" s="512" t="s">
        <v>976</v>
      </c>
      <c r="V26" s="516" t="s">
        <v>945</v>
      </c>
      <c r="W26" s="512" t="s">
        <v>153</v>
      </c>
      <c r="X26" s="518" t="s">
        <v>946</v>
      </c>
      <c r="Y26" s="512" t="s">
        <v>945</v>
      </c>
      <c r="Z26" s="519" t="s">
        <v>1065</v>
      </c>
    </row>
    <row r="27" ht="14.25" customHeight="1">
      <c r="A27" s="511">
        <v>24.0</v>
      </c>
      <c r="B27" s="512" t="s">
        <v>951</v>
      </c>
      <c r="C27" s="514" t="s">
        <v>962</v>
      </c>
      <c r="D27" s="514" t="s">
        <v>1066</v>
      </c>
      <c r="E27" s="514" t="s">
        <v>39</v>
      </c>
      <c r="F27" s="515">
        <v>24.0</v>
      </c>
      <c r="G27" s="512" t="s">
        <v>935</v>
      </c>
      <c r="H27" s="516" t="s">
        <v>1067</v>
      </c>
      <c r="I27" s="512" t="s">
        <v>937</v>
      </c>
      <c r="J27" s="512" t="s">
        <v>969</v>
      </c>
      <c r="K27" s="512" t="s">
        <v>938</v>
      </c>
      <c r="L27" s="517">
        <v>42675.0</v>
      </c>
      <c r="M27" s="514" t="s">
        <v>971</v>
      </c>
      <c r="N27" s="516" t="s">
        <v>516</v>
      </c>
      <c r="O27" s="514" t="s">
        <v>1068</v>
      </c>
      <c r="P27" s="514" t="s">
        <v>1069</v>
      </c>
      <c r="Q27" s="516" t="s">
        <v>516</v>
      </c>
      <c r="R27" s="516" t="s">
        <v>516</v>
      </c>
      <c r="S27" s="516" t="s">
        <v>516</v>
      </c>
      <c r="T27" s="517">
        <v>42675.0</v>
      </c>
      <c r="U27" s="516" t="s">
        <v>516</v>
      </c>
      <c r="V27" s="516" t="s">
        <v>516</v>
      </c>
      <c r="W27" s="516" t="s">
        <v>516</v>
      </c>
      <c r="X27" s="526"/>
      <c r="Y27" s="512" t="s">
        <v>945</v>
      </c>
      <c r="Z27" s="516" t="s">
        <v>516</v>
      </c>
    </row>
    <row r="28" ht="14.25" customHeight="1">
      <c r="A28" s="511">
        <v>25.0</v>
      </c>
      <c r="B28" s="512" t="s">
        <v>951</v>
      </c>
      <c r="C28" s="514" t="s">
        <v>962</v>
      </c>
      <c r="D28" s="514" t="s">
        <v>227</v>
      </c>
      <c r="E28" s="514" t="s">
        <v>39</v>
      </c>
      <c r="F28" s="515">
        <v>8.0</v>
      </c>
      <c r="G28" s="512" t="s">
        <v>935</v>
      </c>
      <c r="H28" s="516" t="s">
        <v>936</v>
      </c>
      <c r="I28" s="512" t="s">
        <v>937</v>
      </c>
      <c r="J28" s="512" t="s">
        <v>969</v>
      </c>
      <c r="K28" s="512" t="s">
        <v>938</v>
      </c>
      <c r="L28" s="517">
        <v>45159.0</v>
      </c>
      <c r="M28" s="514" t="s">
        <v>971</v>
      </c>
      <c r="N28" s="512" t="s">
        <v>1073</v>
      </c>
      <c r="O28" s="514" t="s">
        <v>1075</v>
      </c>
      <c r="P28" s="514" t="s">
        <v>1076</v>
      </c>
      <c r="Q28" s="516" t="s">
        <v>1002</v>
      </c>
      <c r="R28" s="512" t="s">
        <v>648</v>
      </c>
      <c r="S28" s="512" t="s">
        <v>1004</v>
      </c>
      <c r="T28" s="517">
        <v>45159.0</v>
      </c>
      <c r="U28" s="512" t="s">
        <v>976</v>
      </c>
      <c r="V28" s="516" t="s">
        <v>945</v>
      </c>
      <c r="W28" s="512" t="s">
        <v>324</v>
      </c>
      <c r="X28" s="521">
        <v>2.22</v>
      </c>
      <c r="Y28" s="512" t="s">
        <v>945</v>
      </c>
      <c r="Z28" s="519" t="s">
        <v>1077</v>
      </c>
    </row>
    <row r="29" ht="14.25" customHeight="1">
      <c r="A29" s="511">
        <v>26.0</v>
      </c>
      <c r="B29" s="512" t="s">
        <v>951</v>
      </c>
      <c r="C29" s="514" t="s">
        <v>962</v>
      </c>
      <c r="D29" s="514" t="s">
        <v>1078</v>
      </c>
      <c r="E29" s="514" t="s">
        <v>1039</v>
      </c>
      <c r="F29" s="515" t="s">
        <v>1079</v>
      </c>
      <c r="G29" s="512" t="s">
        <v>935</v>
      </c>
      <c r="H29" s="516" t="s">
        <v>936</v>
      </c>
      <c r="I29" s="512" t="s">
        <v>937</v>
      </c>
      <c r="J29" s="512" t="s">
        <v>969</v>
      </c>
      <c r="K29" s="512" t="s">
        <v>938</v>
      </c>
      <c r="L29" s="517">
        <v>45770.0</v>
      </c>
      <c r="M29" s="514" t="s">
        <v>1081</v>
      </c>
      <c r="N29" s="512" t="s">
        <v>1082</v>
      </c>
      <c r="O29" s="514" t="s">
        <v>442</v>
      </c>
      <c r="P29" s="514" t="s">
        <v>1083</v>
      </c>
      <c r="Q29" s="516" t="s">
        <v>1002</v>
      </c>
      <c r="R29" s="512" t="s">
        <v>657</v>
      </c>
      <c r="S29" s="512" t="s">
        <v>975</v>
      </c>
      <c r="T29" s="517">
        <v>45770.0</v>
      </c>
      <c r="U29" s="512" t="s">
        <v>976</v>
      </c>
      <c r="V29" s="516" t="s">
        <v>945</v>
      </c>
      <c r="W29" s="512" t="s">
        <v>240</v>
      </c>
      <c r="X29" s="521" t="s">
        <v>1005</v>
      </c>
      <c r="Y29" s="512" t="s">
        <v>945</v>
      </c>
      <c r="Z29" s="519" t="s">
        <v>740</v>
      </c>
    </row>
    <row r="30" ht="14.25" customHeight="1">
      <c r="A30" s="511">
        <v>27.0</v>
      </c>
      <c r="B30" s="512" t="s">
        <v>951</v>
      </c>
      <c r="C30" s="514" t="s">
        <v>962</v>
      </c>
      <c r="D30" s="514" t="s">
        <v>1084</v>
      </c>
      <c r="E30" s="514" t="s">
        <v>36</v>
      </c>
      <c r="F30" s="515">
        <v>24.0</v>
      </c>
      <c r="G30" s="512" t="s">
        <v>935</v>
      </c>
      <c r="H30" s="516" t="s">
        <v>598</v>
      </c>
      <c r="I30" s="512" t="s">
        <v>937</v>
      </c>
      <c r="J30" s="512" t="s">
        <v>969</v>
      </c>
      <c r="K30" s="512" t="s">
        <v>938</v>
      </c>
      <c r="L30" s="517">
        <v>44356.0</v>
      </c>
      <c r="M30" s="514" t="s">
        <v>971</v>
      </c>
      <c r="N30" s="516" t="s">
        <v>516</v>
      </c>
      <c r="O30" s="514" t="s">
        <v>822</v>
      </c>
      <c r="P30" s="514" t="s">
        <v>823</v>
      </c>
      <c r="Q30" s="516" t="s">
        <v>516</v>
      </c>
      <c r="R30" s="516" t="s">
        <v>516</v>
      </c>
      <c r="S30" s="516" t="s">
        <v>516</v>
      </c>
      <c r="T30" s="517">
        <v>40441.0</v>
      </c>
      <c r="U30" s="516" t="s">
        <v>516</v>
      </c>
      <c r="V30" s="516" t="s">
        <v>516</v>
      </c>
      <c r="W30" s="516" t="s">
        <v>516</v>
      </c>
      <c r="X30" s="526"/>
      <c r="Y30" s="512" t="s">
        <v>945</v>
      </c>
      <c r="Z30" s="516" t="s">
        <v>516</v>
      </c>
    </row>
    <row r="31" ht="14.25" customHeight="1">
      <c r="A31" s="511">
        <v>28.0</v>
      </c>
      <c r="B31" s="512" t="s">
        <v>951</v>
      </c>
      <c r="C31" s="514" t="s">
        <v>962</v>
      </c>
      <c r="D31" s="514" t="s">
        <v>300</v>
      </c>
      <c r="E31" s="514" t="s">
        <v>36</v>
      </c>
      <c r="F31" s="515">
        <v>24.0</v>
      </c>
      <c r="G31" s="512" t="s">
        <v>935</v>
      </c>
      <c r="H31" s="516" t="s">
        <v>936</v>
      </c>
      <c r="I31" s="512" t="s">
        <v>937</v>
      </c>
      <c r="J31" s="512" t="s">
        <v>969</v>
      </c>
      <c r="K31" s="512" t="s">
        <v>938</v>
      </c>
      <c r="L31" s="517">
        <v>44882.0</v>
      </c>
      <c r="M31" s="514" t="s">
        <v>971</v>
      </c>
      <c r="N31" s="512" t="s">
        <v>1087</v>
      </c>
      <c r="O31" s="514" t="s">
        <v>318</v>
      </c>
      <c r="P31" s="514" t="s">
        <v>319</v>
      </c>
      <c r="Q31" s="516" t="s">
        <v>1002</v>
      </c>
      <c r="R31" s="512" t="s">
        <v>1003</v>
      </c>
      <c r="S31" s="512" t="s">
        <v>975</v>
      </c>
      <c r="T31" s="517">
        <v>41062.0</v>
      </c>
      <c r="U31" s="512" t="s">
        <v>976</v>
      </c>
      <c r="V31" s="516" t="s">
        <v>945</v>
      </c>
      <c r="W31" s="512" t="s">
        <v>153</v>
      </c>
      <c r="X31" s="518" t="s">
        <v>946</v>
      </c>
      <c r="Y31" s="512" t="s">
        <v>945</v>
      </c>
      <c r="Z31" s="519" t="s">
        <v>516</v>
      </c>
    </row>
    <row r="32" ht="14.25" customHeight="1">
      <c r="A32" s="511">
        <v>29.0</v>
      </c>
      <c r="B32" s="512" t="s">
        <v>951</v>
      </c>
      <c r="C32" s="514" t="s">
        <v>962</v>
      </c>
      <c r="D32" s="514" t="s">
        <v>1089</v>
      </c>
      <c r="E32" s="514" t="s">
        <v>1039</v>
      </c>
      <c r="F32" s="515">
        <v>16.0</v>
      </c>
      <c r="G32" s="512" t="s">
        <v>935</v>
      </c>
      <c r="H32" s="516" t="s">
        <v>936</v>
      </c>
      <c r="I32" s="512" t="s">
        <v>937</v>
      </c>
      <c r="J32" s="512" t="s">
        <v>969</v>
      </c>
      <c r="K32" s="512" t="s">
        <v>938</v>
      </c>
      <c r="L32" s="517">
        <v>45912.0</v>
      </c>
      <c r="M32" s="514" t="s">
        <v>1081</v>
      </c>
      <c r="N32" s="512" t="s">
        <v>1082</v>
      </c>
      <c r="O32" s="514" t="s">
        <v>1090</v>
      </c>
      <c r="P32" s="514" t="s">
        <v>447</v>
      </c>
      <c r="Q32" s="516" t="s">
        <v>1002</v>
      </c>
      <c r="R32" s="512" t="s">
        <v>648</v>
      </c>
      <c r="S32" s="512" t="s">
        <v>975</v>
      </c>
      <c r="T32" s="517">
        <v>45912.0</v>
      </c>
      <c r="U32" s="512" t="s">
        <v>976</v>
      </c>
      <c r="V32" s="516" t="s">
        <v>945</v>
      </c>
      <c r="W32" s="512" t="s">
        <v>240</v>
      </c>
      <c r="X32" s="521" t="s">
        <v>1005</v>
      </c>
      <c r="Y32" s="512" t="s">
        <v>945</v>
      </c>
      <c r="Z32" s="519" t="s">
        <v>744</v>
      </c>
    </row>
    <row r="33" ht="14.25" customHeight="1">
      <c r="A33" s="511">
        <v>30.0</v>
      </c>
      <c r="B33" s="512" t="s">
        <v>951</v>
      </c>
      <c r="C33" s="514" t="s">
        <v>962</v>
      </c>
      <c r="D33" s="514" t="s">
        <v>272</v>
      </c>
      <c r="E33" s="514" t="s">
        <v>118</v>
      </c>
      <c r="F33" s="515">
        <v>16.0</v>
      </c>
      <c r="G33" s="512" t="s">
        <v>935</v>
      </c>
      <c r="H33" s="516" t="s">
        <v>936</v>
      </c>
      <c r="I33" s="512" t="s">
        <v>937</v>
      </c>
      <c r="J33" s="512" t="s">
        <v>969</v>
      </c>
      <c r="K33" s="512" t="s">
        <v>938</v>
      </c>
      <c r="L33" s="517">
        <v>45534.0</v>
      </c>
      <c r="M33" s="514" t="s">
        <v>971</v>
      </c>
      <c r="N33" s="512" t="s">
        <v>1024</v>
      </c>
      <c r="O33" s="514" t="s">
        <v>557</v>
      </c>
      <c r="P33" s="514" t="s">
        <v>1092</v>
      </c>
      <c r="Q33" s="516" t="s">
        <v>1002</v>
      </c>
      <c r="R33" s="512" t="s">
        <v>1003</v>
      </c>
      <c r="S33" s="512" t="s">
        <v>1004</v>
      </c>
      <c r="T33" s="517">
        <v>45534.0</v>
      </c>
      <c r="U33" s="512" t="s">
        <v>976</v>
      </c>
      <c r="V33" s="516" t="s">
        <v>945</v>
      </c>
      <c r="W33" s="512" t="s">
        <v>240</v>
      </c>
      <c r="X33" s="521" t="s">
        <v>1005</v>
      </c>
      <c r="Y33" s="512" t="s">
        <v>945</v>
      </c>
      <c r="Z33" s="519" t="s">
        <v>1094</v>
      </c>
    </row>
    <row r="34" ht="14.25" customHeight="1">
      <c r="A34" s="511">
        <v>31.0</v>
      </c>
      <c r="B34" s="512" t="s">
        <v>951</v>
      </c>
      <c r="C34" s="514" t="s">
        <v>962</v>
      </c>
      <c r="D34" s="514" t="s">
        <v>283</v>
      </c>
      <c r="E34" s="514" t="s">
        <v>118</v>
      </c>
      <c r="F34" s="512">
        <v>16.0</v>
      </c>
      <c r="G34" s="512" t="s">
        <v>935</v>
      </c>
      <c r="H34" s="516" t="s">
        <v>936</v>
      </c>
      <c r="I34" s="512" t="s">
        <v>937</v>
      </c>
      <c r="J34" s="512" t="s">
        <v>969</v>
      </c>
      <c r="K34" s="512" t="s">
        <v>938</v>
      </c>
      <c r="L34" s="517">
        <v>45373.0</v>
      </c>
      <c r="M34" s="514" t="s">
        <v>971</v>
      </c>
      <c r="N34" s="512" t="s">
        <v>1024</v>
      </c>
      <c r="O34" s="514" t="s">
        <v>548</v>
      </c>
      <c r="P34" s="514" t="s">
        <v>549</v>
      </c>
      <c r="Q34" s="516" t="s">
        <v>1002</v>
      </c>
      <c r="R34" s="512" t="s">
        <v>657</v>
      </c>
      <c r="S34" s="512" t="s">
        <v>1004</v>
      </c>
      <c r="T34" s="517">
        <v>45373.0</v>
      </c>
      <c r="U34" s="512" t="s">
        <v>976</v>
      </c>
      <c r="V34" s="516" t="s">
        <v>945</v>
      </c>
      <c r="W34" s="512" t="s">
        <v>240</v>
      </c>
      <c r="X34" s="521" t="s">
        <v>1005</v>
      </c>
      <c r="Y34" s="512" t="s">
        <v>945</v>
      </c>
      <c r="Z34" s="519" t="s">
        <v>1097</v>
      </c>
    </row>
    <row r="35" ht="14.25" customHeight="1">
      <c r="A35" s="511">
        <v>32.0</v>
      </c>
      <c r="B35" s="512" t="s">
        <v>951</v>
      </c>
      <c r="C35" s="514" t="s">
        <v>962</v>
      </c>
      <c r="D35" s="514" t="s">
        <v>269</v>
      </c>
      <c r="E35" s="514" t="s">
        <v>1098</v>
      </c>
      <c r="F35" s="515">
        <v>8.0</v>
      </c>
      <c r="G35" s="512" t="s">
        <v>935</v>
      </c>
      <c r="H35" s="516" t="s">
        <v>936</v>
      </c>
      <c r="I35" s="512" t="s">
        <v>937</v>
      </c>
      <c r="J35" s="512" t="s">
        <v>969</v>
      </c>
      <c r="K35" s="512" t="s">
        <v>938</v>
      </c>
      <c r="L35" s="517">
        <v>45511.0</v>
      </c>
      <c r="M35" s="514" t="s">
        <v>569</v>
      </c>
      <c r="N35" s="512" t="s">
        <v>1099</v>
      </c>
      <c r="O35" s="514" t="s">
        <v>570</v>
      </c>
      <c r="P35" s="514" t="s">
        <v>571</v>
      </c>
      <c r="Q35" s="516" t="s">
        <v>1002</v>
      </c>
      <c r="R35" s="512" t="s">
        <v>1100</v>
      </c>
      <c r="S35" s="512" t="s">
        <v>1004</v>
      </c>
      <c r="T35" s="517">
        <v>45511.0</v>
      </c>
      <c r="U35" s="512" t="s">
        <v>976</v>
      </c>
      <c r="V35" s="516" t="s">
        <v>945</v>
      </c>
      <c r="W35" s="512" t="s">
        <v>324</v>
      </c>
      <c r="X35" s="521">
        <v>2.22</v>
      </c>
      <c r="Y35" s="512" t="s">
        <v>945</v>
      </c>
      <c r="Z35" s="519" t="s">
        <v>1101</v>
      </c>
    </row>
    <row r="36" ht="14.25" customHeight="1">
      <c r="A36" s="511">
        <v>33.0</v>
      </c>
      <c r="B36" s="512" t="s">
        <v>951</v>
      </c>
      <c r="C36" s="514" t="s">
        <v>962</v>
      </c>
      <c r="D36" s="514" t="s">
        <v>264</v>
      </c>
      <c r="E36" s="514" t="s">
        <v>124</v>
      </c>
      <c r="F36" s="515">
        <v>24.0</v>
      </c>
      <c r="G36" s="512" t="s">
        <v>935</v>
      </c>
      <c r="H36" s="516" t="s">
        <v>936</v>
      </c>
      <c r="I36" s="512" t="s">
        <v>937</v>
      </c>
      <c r="J36" s="512" t="s">
        <v>969</v>
      </c>
      <c r="K36" s="512" t="s">
        <v>938</v>
      </c>
      <c r="L36" s="517">
        <v>44813.0</v>
      </c>
      <c r="M36" s="514" t="s">
        <v>971</v>
      </c>
      <c r="N36" s="512" t="s">
        <v>1102</v>
      </c>
      <c r="O36" s="514" t="s">
        <v>621</v>
      </c>
      <c r="P36" s="514" t="s">
        <v>622</v>
      </c>
      <c r="Q36" s="516" t="s">
        <v>1002</v>
      </c>
      <c r="R36" s="512" t="s">
        <v>657</v>
      </c>
      <c r="S36" s="512" t="s">
        <v>975</v>
      </c>
      <c r="T36" s="517">
        <v>44813.0</v>
      </c>
      <c r="U36" s="512" t="s">
        <v>976</v>
      </c>
      <c r="V36" s="516" t="s">
        <v>945</v>
      </c>
      <c r="W36" s="512" t="s">
        <v>153</v>
      </c>
      <c r="X36" s="518" t="s">
        <v>946</v>
      </c>
      <c r="Y36" s="512" t="s">
        <v>945</v>
      </c>
      <c r="Z36" s="519" t="s">
        <v>516</v>
      </c>
    </row>
    <row r="37" ht="14.25" customHeight="1">
      <c r="A37" s="511">
        <v>34.0</v>
      </c>
      <c r="B37" s="512" t="s">
        <v>951</v>
      </c>
      <c r="C37" s="514" t="s">
        <v>962</v>
      </c>
      <c r="D37" s="514" t="s">
        <v>1103</v>
      </c>
      <c r="E37" s="514" t="s">
        <v>1104</v>
      </c>
      <c r="F37" s="515">
        <v>24.0</v>
      </c>
      <c r="G37" s="512" t="s">
        <v>935</v>
      </c>
      <c r="H37" s="516" t="s">
        <v>936</v>
      </c>
      <c r="I37" s="512" t="s">
        <v>937</v>
      </c>
      <c r="J37" s="512" t="s">
        <v>969</v>
      </c>
      <c r="K37" s="512" t="s">
        <v>938</v>
      </c>
      <c r="L37" s="517">
        <v>46132.0</v>
      </c>
      <c r="M37" s="514" t="s">
        <v>971</v>
      </c>
      <c r="N37" s="512" t="s">
        <v>647</v>
      </c>
      <c r="O37" s="514" t="s">
        <v>1105</v>
      </c>
      <c r="P37" s="514" t="s">
        <v>1106</v>
      </c>
      <c r="Q37" s="516" t="s">
        <v>1002</v>
      </c>
      <c r="R37" s="512" t="s">
        <v>648</v>
      </c>
      <c r="S37" s="512" t="s">
        <v>649</v>
      </c>
      <c r="T37" s="517">
        <v>46132.0</v>
      </c>
      <c r="U37" s="512" t="s">
        <v>976</v>
      </c>
      <c r="V37" s="516" t="s">
        <v>945</v>
      </c>
      <c r="W37" s="516" t="s">
        <v>516</v>
      </c>
      <c r="X37" s="526"/>
      <c r="Y37" s="512" t="s">
        <v>945</v>
      </c>
      <c r="Z37" s="519" t="s">
        <v>809</v>
      </c>
    </row>
    <row r="38" ht="14.25" customHeight="1">
      <c r="A38" s="511">
        <v>35.0</v>
      </c>
      <c r="B38" s="512" t="s">
        <v>951</v>
      </c>
      <c r="C38" s="514" t="s">
        <v>962</v>
      </c>
      <c r="D38" s="514" t="s">
        <v>1107</v>
      </c>
      <c r="E38" s="514" t="s">
        <v>1104</v>
      </c>
      <c r="F38" s="515">
        <v>24.0</v>
      </c>
      <c r="G38" s="512" t="s">
        <v>935</v>
      </c>
      <c r="H38" s="516" t="s">
        <v>936</v>
      </c>
      <c r="I38" s="512" t="s">
        <v>937</v>
      </c>
      <c r="J38" s="512" t="s">
        <v>969</v>
      </c>
      <c r="K38" s="512" t="s">
        <v>938</v>
      </c>
      <c r="L38" s="517">
        <v>46132.0</v>
      </c>
      <c r="M38" s="514" t="s">
        <v>971</v>
      </c>
      <c r="N38" s="512" t="s">
        <v>647</v>
      </c>
      <c r="O38" s="514" t="s">
        <v>1109</v>
      </c>
      <c r="P38" s="514" t="s">
        <v>1110</v>
      </c>
      <c r="Q38" s="516" t="s">
        <v>1002</v>
      </c>
      <c r="R38" s="512" t="s">
        <v>648</v>
      </c>
      <c r="S38" s="512" t="s">
        <v>649</v>
      </c>
      <c r="T38" s="517">
        <v>46132.0</v>
      </c>
      <c r="U38" s="512" t="s">
        <v>976</v>
      </c>
      <c r="V38" s="516" t="s">
        <v>945</v>
      </c>
      <c r="W38" s="516" t="s">
        <v>516</v>
      </c>
      <c r="X38" s="526"/>
      <c r="Y38" s="512" t="s">
        <v>945</v>
      </c>
      <c r="Z38" s="519" t="s">
        <v>813</v>
      </c>
    </row>
    <row r="39" ht="14.25" customHeight="1">
      <c r="A39" s="511">
        <v>36.0</v>
      </c>
      <c r="B39" s="512" t="s">
        <v>951</v>
      </c>
      <c r="C39" s="514" t="s">
        <v>962</v>
      </c>
      <c r="D39" s="514" t="s">
        <v>263</v>
      </c>
      <c r="E39" s="514" t="s">
        <v>124</v>
      </c>
      <c r="F39" s="515">
        <v>24.0</v>
      </c>
      <c r="G39" s="512" t="s">
        <v>935</v>
      </c>
      <c r="H39" s="516" t="s">
        <v>598</v>
      </c>
      <c r="I39" s="512" t="s">
        <v>937</v>
      </c>
      <c r="J39" s="512" t="s">
        <v>969</v>
      </c>
      <c r="K39" s="512" t="s">
        <v>938</v>
      </c>
      <c r="L39" s="517">
        <v>42374.0</v>
      </c>
      <c r="M39" s="514" t="s">
        <v>990</v>
      </c>
      <c r="N39" s="516" t="s">
        <v>516</v>
      </c>
      <c r="O39" s="514" t="s">
        <v>1111</v>
      </c>
      <c r="P39" s="514" t="s">
        <v>673</v>
      </c>
      <c r="Q39" s="516" t="s">
        <v>516</v>
      </c>
      <c r="R39" s="516" t="s">
        <v>516</v>
      </c>
      <c r="S39" s="516" t="s">
        <v>516</v>
      </c>
      <c r="T39" s="517">
        <v>42374.0</v>
      </c>
      <c r="U39" s="516" t="s">
        <v>516</v>
      </c>
      <c r="V39" s="516" t="s">
        <v>516</v>
      </c>
      <c r="W39" s="516" t="s">
        <v>516</v>
      </c>
      <c r="X39" s="526"/>
      <c r="Y39" s="512" t="s">
        <v>945</v>
      </c>
      <c r="Z39" s="516" t="s">
        <v>516</v>
      </c>
    </row>
    <row r="40" ht="14.25" customHeight="1">
      <c r="A40" s="511">
        <v>37.0</v>
      </c>
      <c r="B40" s="512" t="s">
        <v>951</v>
      </c>
      <c r="C40" s="514" t="s">
        <v>962</v>
      </c>
      <c r="D40" s="514" t="s">
        <v>1113</v>
      </c>
      <c r="E40" s="514" t="s">
        <v>124</v>
      </c>
      <c r="F40" s="515">
        <v>24.0</v>
      </c>
      <c r="G40" s="512" t="s">
        <v>935</v>
      </c>
      <c r="H40" s="516" t="s">
        <v>936</v>
      </c>
      <c r="I40" s="512" t="s">
        <v>937</v>
      </c>
      <c r="J40" s="512" t="s">
        <v>969</v>
      </c>
      <c r="K40" s="512" t="s">
        <v>938</v>
      </c>
      <c r="L40" s="517">
        <v>46085.0</v>
      </c>
      <c r="M40" s="514" t="s">
        <v>971</v>
      </c>
      <c r="N40" s="512" t="s">
        <v>647</v>
      </c>
      <c r="O40" s="514" t="s">
        <v>1114</v>
      </c>
      <c r="P40" s="514" t="s">
        <v>1115</v>
      </c>
      <c r="Q40" s="516" t="s">
        <v>1002</v>
      </c>
      <c r="R40" s="512" t="s">
        <v>648</v>
      </c>
      <c r="S40" s="512" t="s">
        <v>975</v>
      </c>
      <c r="T40" s="517">
        <v>42374.0</v>
      </c>
      <c r="U40" s="512" t="s">
        <v>976</v>
      </c>
      <c r="V40" s="516" t="s">
        <v>945</v>
      </c>
      <c r="W40" s="512" t="s">
        <v>153</v>
      </c>
      <c r="X40" s="518" t="s">
        <v>946</v>
      </c>
      <c r="Y40" s="512" t="s">
        <v>945</v>
      </c>
      <c r="Z40" s="519" t="s">
        <v>675</v>
      </c>
    </row>
    <row r="41" ht="14.25" customHeight="1">
      <c r="A41" s="511">
        <v>38.0</v>
      </c>
      <c r="B41" s="512" t="s">
        <v>951</v>
      </c>
      <c r="C41" s="514" t="s">
        <v>962</v>
      </c>
      <c r="D41" s="514" t="s">
        <v>1116</v>
      </c>
      <c r="E41" s="514" t="s">
        <v>1117</v>
      </c>
      <c r="F41" s="515" t="s">
        <v>1079</v>
      </c>
      <c r="G41" s="512" t="s">
        <v>935</v>
      </c>
      <c r="H41" s="516" t="s">
        <v>936</v>
      </c>
      <c r="I41" s="512" t="s">
        <v>937</v>
      </c>
      <c r="J41" s="512" t="s">
        <v>969</v>
      </c>
      <c r="K41" s="512" t="s">
        <v>938</v>
      </c>
      <c r="L41" s="517">
        <v>46139.0</v>
      </c>
      <c r="M41" s="514" t="s">
        <v>971</v>
      </c>
      <c r="N41" s="512" t="s">
        <v>656</v>
      </c>
      <c r="O41" s="514" t="s">
        <v>658</v>
      </c>
      <c r="P41" s="514" t="s">
        <v>659</v>
      </c>
      <c r="Q41" s="516" t="s">
        <v>1002</v>
      </c>
      <c r="R41" s="512" t="s">
        <v>657</v>
      </c>
      <c r="S41" s="512" t="s">
        <v>649</v>
      </c>
      <c r="T41" s="517">
        <v>46139.0</v>
      </c>
      <c r="U41" s="512" t="s">
        <v>976</v>
      </c>
      <c r="V41" s="516" t="s">
        <v>945</v>
      </c>
      <c r="W41" s="516" t="s">
        <v>516</v>
      </c>
      <c r="X41" s="526"/>
      <c r="Y41" s="512" t="s">
        <v>945</v>
      </c>
      <c r="Z41" s="519" t="s">
        <v>359</v>
      </c>
    </row>
    <row r="42" ht="14.25" customHeight="1">
      <c r="A42" s="511">
        <v>39.0</v>
      </c>
      <c r="B42" s="512" t="s">
        <v>951</v>
      </c>
      <c r="C42" s="514" t="s">
        <v>962</v>
      </c>
      <c r="D42" s="514" t="s">
        <v>230</v>
      </c>
      <c r="E42" s="514" t="s">
        <v>142</v>
      </c>
      <c r="F42" s="515" t="s">
        <v>1079</v>
      </c>
      <c r="G42" s="512" t="s">
        <v>935</v>
      </c>
      <c r="H42" s="516" t="s">
        <v>936</v>
      </c>
      <c r="I42" s="512" t="s">
        <v>937</v>
      </c>
      <c r="J42" s="512" t="s">
        <v>969</v>
      </c>
      <c r="K42" s="512" t="s">
        <v>938</v>
      </c>
      <c r="L42" s="517">
        <v>42399.0</v>
      </c>
      <c r="M42" s="514" t="s">
        <v>467</v>
      </c>
      <c r="N42" s="512" t="s">
        <v>1119</v>
      </c>
      <c r="O42" s="514" t="s">
        <v>682</v>
      </c>
      <c r="P42" s="514" t="s">
        <v>1120</v>
      </c>
      <c r="Q42" s="516" t="s">
        <v>945</v>
      </c>
      <c r="R42" s="512" t="s">
        <v>657</v>
      </c>
      <c r="S42" s="512" t="s">
        <v>1004</v>
      </c>
      <c r="T42" s="517">
        <v>42399.0</v>
      </c>
      <c r="U42" s="512" t="s">
        <v>1071</v>
      </c>
      <c r="V42" s="516" t="s">
        <v>945</v>
      </c>
      <c r="W42" s="512" t="s">
        <v>240</v>
      </c>
      <c r="X42" s="521" t="s">
        <v>1005</v>
      </c>
      <c r="Y42" s="512" t="s">
        <v>945</v>
      </c>
      <c r="Z42" s="519" t="s">
        <v>516</v>
      </c>
    </row>
    <row r="43" ht="14.25" customHeight="1">
      <c r="A43" s="511">
        <v>40.0</v>
      </c>
      <c r="B43" s="512" t="s">
        <v>951</v>
      </c>
      <c r="C43" s="514" t="s">
        <v>962</v>
      </c>
      <c r="D43" s="514" t="s">
        <v>1121</v>
      </c>
      <c r="E43" s="514" t="s">
        <v>142</v>
      </c>
      <c r="F43" s="515" t="s">
        <v>1079</v>
      </c>
      <c r="G43" s="512" t="s">
        <v>935</v>
      </c>
      <c r="H43" s="516" t="s">
        <v>598</v>
      </c>
      <c r="I43" s="512" t="s">
        <v>937</v>
      </c>
      <c r="J43" s="512" t="s">
        <v>969</v>
      </c>
      <c r="K43" s="512" t="s">
        <v>938</v>
      </c>
      <c r="L43" s="517">
        <v>41962.0</v>
      </c>
      <c r="M43" s="514" t="s">
        <v>971</v>
      </c>
      <c r="N43" s="516" t="s">
        <v>516</v>
      </c>
      <c r="O43" s="514" t="s">
        <v>795</v>
      </c>
      <c r="P43" s="514" t="s">
        <v>796</v>
      </c>
      <c r="Q43" s="516" t="s">
        <v>516</v>
      </c>
      <c r="R43" s="516" t="s">
        <v>516</v>
      </c>
      <c r="S43" s="516" t="s">
        <v>516</v>
      </c>
      <c r="T43" s="517">
        <v>41962.0</v>
      </c>
      <c r="U43" s="516" t="s">
        <v>516</v>
      </c>
      <c r="V43" s="516" t="s">
        <v>516</v>
      </c>
      <c r="W43" s="516" t="s">
        <v>516</v>
      </c>
      <c r="X43" s="526"/>
      <c r="Y43" s="512" t="s">
        <v>945</v>
      </c>
      <c r="Z43" s="516" t="s">
        <v>516</v>
      </c>
    </row>
    <row r="44" ht="14.25" customHeight="1">
      <c r="A44" s="511">
        <v>41.0</v>
      </c>
      <c r="B44" s="512" t="s">
        <v>951</v>
      </c>
      <c r="C44" s="514" t="s">
        <v>962</v>
      </c>
      <c r="D44" s="514" t="s">
        <v>274</v>
      </c>
      <c r="E44" s="514" t="s">
        <v>1098</v>
      </c>
      <c r="F44" s="515" t="s">
        <v>1079</v>
      </c>
      <c r="G44" s="512" t="s">
        <v>935</v>
      </c>
      <c r="H44" s="516" t="s">
        <v>936</v>
      </c>
      <c r="I44" s="512" t="s">
        <v>937</v>
      </c>
      <c r="J44" s="512" t="s">
        <v>969</v>
      </c>
      <c r="K44" s="512" t="s">
        <v>938</v>
      </c>
      <c r="L44" s="517">
        <v>45737.0</v>
      </c>
      <c r="M44" s="514" t="s">
        <v>971</v>
      </c>
      <c r="N44" s="512" t="s">
        <v>656</v>
      </c>
      <c r="O44" s="514" t="s">
        <v>596</v>
      </c>
      <c r="P44" s="514" t="s">
        <v>597</v>
      </c>
      <c r="Q44" s="516" t="s">
        <v>1002</v>
      </c>
      <c r="R44" s="512" t="s">
        <v>1003</v>
      </c>
      <c r="S44" s="512" t="s">
        <v>1004</v>
      </c>
      <c r="T44" s="517">
        <v>45737.0</v>
      </c>
      <c r="U44" s="512" t="s">
        <v>976</v>
      </c>
      <c r="V44" s="516" t="s">
        <v>945</v>
      </c>
      <c r="W44" s="512" t="s">
        <v>240</v>
      </c>
      <c r="X44" s="521" t="s">
        <v>1005</v>
      </c>
      <c r="Y44" s="512" t="s">
        <v>945</v>
      </c>
      <c r="Z44" s="519" t="s">
        <v>793</v>
      </c>
    </row>
    <row r="45" ht="14.25" customHeight="1">
      <c r="A45" s="511">
        <v>42.0</v>
      </c>
      <c r="B45" s="512" t="s">
        <v>951</v>
      </c>
      <c r="C45" s="514" t="s">
        <v>962</v>
      </c>
      <c r="D45" s="514" t="s">
        <v>1127</v>
      </c>
      <c r="E45" s="514" t="s">
        <v>1117</v>
      </c>
      <c r="F45" s="515" t="s">
        <v>1079</v>
      </c>
      <c r="G45" s="512" t="s">
        <v>935</v>
      </c>
      <c r="H45" s="516" t="s">
        <v>936</v>
      </c>
      <c r="I45" s="512" t="s">
        <v>937</v>
      </c>
      <c r="J45" s="512" t="s">
        <v>969</v>
      </c>
      <c r="K45" s="512" t="s">
        <v>938</v>
      </c>
      <c r="L45" s="517">
        <v>46139.0</v>
      </c>
      <c r="M45" s="514" t="s">
        <v>971</v>
      </c>
      <c r="N45" s="512" t="s">
        <v>656</v>
      </c>
      <c r="O45" s="514" t="s">
        <v>661</v>
      </c>
      <c r="P45" s="514" t="s">
        <v>662</v>
      </c>
      <c r="Q45" s="516" t="s">
        <v>1002</v>
      </c>
      <c r="R45" s="512" t="s">
        <v>657</v>
      </c>
      <c r="S45" s="512" t="s">
        <v>649</v>
      </c>
      <c r="T45" s="517">
        <v>46139.0</v>
      </c>
      <c r="U45" s="512" t="s">
        <v>976</v>
      </c>
      <c r="V45" s="516" t="s">
        <v>945</v>
      </c>
      <c r="W45" s="516" t="s">
        <v>516</v>
      </c>
      <c r="X45" s="526"/>
      <c r="Y45" s="512" t="s">
        <v>945</v>
      </c>
      <c r="Z45" s="519" t="s">
        <v>358</v>
      </c>
    </row>
    <row r="46" ht="14.25" customHeight="1">
      <c r="A46" s="511">
        <v>43.0</v>
      </c>
      <c r="B46" s="512" t="s">
        <v>951</v>
      </c>
      <c r="C46" s="514" t="s">
        <v>962</v>
      </c>
      <c r="D46" s="514" t="s">
        <v>229</v>
      </c>
      <c r="E46" s="514" t="s">
        <v>142</v>
      </c>
      <c r="F46" s="515" t="s">
        <v>1079</v>
      </c>
      <c r="G46" s="512" t="s">
        <v>935</v>
      </c>
      <c r="H46" s="516" t="s">
        <v>936</v>
      </c>
      <c r="I46" s="512" t="s">
        <v>937</v>
      </c>
      <c r="J46" s="512" t="s">
        <v>969</v>
      </c>
      <c r="K46" s="512" t="s">
        <v>938</v>
      </c>
      <c r="L46" s="517">
        <v>42399.0</v>
      </c>
      <c r="M46" s="514" t="s">
        <v>467</v>
      </c>
      <c r="N46" s="512" t="s">
        <v>1119</v>
      </c>
      <c r="O46" s="514" t="s">
        <v>680</v>
      </c>
      <c r="P46" s="514" t="s">
        <v>681</v>
      </c>
      <c r="Q46" s="516" t="s">
        <v>945</v>
      </c>
      <c r="R46" s="512" t="s">
        <v>657</v>
      </c>
      <c r="S46" s="512" t="s">
        <v>1004</v>
      </c>
      <c r="T46" s="517">
        <v>42399.0</v>
      </c>
      <c r="U46" s="512" t="s">
        <v>1071</v>
      </c>
      <c r="V46" s="516" t="s">
        <v>945</v>
      </c>
      <c r="W46" s="512" t="s">
        <v>240</v>
      </c>
      <c r="X46" s="521" t="s">
        <v>1005</v>
      </c>
      <c r="Y46" s="512" t="s">
        <v>945</v>
      </c>
      <c r="Z46" s="519" t="s">
        <v>516</v>
      </c>
    </row>
    <row r="47" ht="14.25" customHeight="1">
      <c r="A47" s="511">
        <v>44.0</v>
      </c>
      <c r="B47" s="512" t="s">
        <v>951</v>
      </c>
      <c r="C47" s="514" t="s">
        <v>962</v>
      </c>
      <c r="D47" s="514" t="s">
        <v>279</v>
      </c>
      <c r="E47" s="514" t="s">
        <v>1098</v>
      </c>
      <c r="F47" s="515">
        <v>16.0</v>
      </c>
      <c r="G47" s="512" t="s">
        <v>935</v>
      </c>
      <c r="H47" s="516" t="s">
        <v>936</v>
      </c>
      <c r="I47" s="512" t="s">
        <v>937</v>
      </c>
      <c r="J47" s="512" t="s">
        <v>969</v>
      </c>
      <c r="K47" s="512" t="s">
        <v>938</v>
      </c>
      <c r="L47" s="517">
        <v>45847.0</v>
      </c>
      <c r="M47" s="514" t="s">
        <v>971</v>
      </c>
      <c r="N47" s="512" t="s">
        <v>1129</v>
      </c>
      <c r="O47" s="514" t="s">
        <v>582</v>
      </c>
      <c r="P47" s="514" t="s">
        <v>1130</v>
      </c>
      <c r="Q47" s="516" t="s">
        <v>1002</v>
      </c>
      <c r="R47" s="512" t="s">
        <v>1003</v>
      </c>
      <c r="S47" s="512" t="s">
        <v>975</v>
      </c>
      <c r="T47" s="517">
        <v>45847.0</v>
      </c>
      <c r="U47" s="512" t="s">
        <v>976</v>
      </c>
      <c r="V47" s="516" t="s">
        <v>1131</v>
      </c>
      <c r="W47" s="512" t="s">
        <v>240</v>
      </c>
      <c r="X47" s="521" t="s">
        <v>1005</v>
      </c>
      <c r="Y47" s="512" t="s">
        <v>945</v>
      </c>
      <c r="Z47" s="519" t="s">
        <v>773</v>
      </c>
    </row>
    <row r="48" ht="14.25" customHeight="1">
      <c r="A48" s="511">
        <v>45.0</v>
      </c>
      <c r="B48" s="512" t="s">
        <v>951</v>
      </c>
      <c r="C48" s="514" t="s">
        <v>962</v>
      </c>
      <c r="D48" s="514" t="s">
        <v>209</v>
      </c>
      <c r="E48" s="514" t="s">
        <v>142</v>
      </c>
      <c r="F48" s="515">
        <v>24.0</v>
      </c>
      <c r="G48" s="512" t="s">
        <v>935</v>
      </c>
      <c r="H48" s="516" t="s">
        <v>936</v>
      </c>
      <c r="I48" s="512" t="s">
        <v>937</v>
      </c>
      <c r="J48" s="512" t="s">
        <v>969</v>
      </c>
      <c r="K48" s="512" t="s">
        <v>938</v>
      </c>
      <c r="L48" s="517">
        <v>43754.0</v>
      </c>
      <c r="M48" s="514" t="s">
        <v>999</v>
      </c>
      <c r="N48" s="512" t="s">
        <v>1132</v>
      </c>
      <c r="O48" s="514" t="s">
        <v>633</v>
      </c>
      <c r="P48" s="514" t="s">
        <v>634</v>
      </c>
      <c r="Q48" s="516" t="s">
        <v>1002</v>
      </c>
      <c r="R48" s="512" t="s">
        <v>648</v>
      </c>
      <c r="S48" s="512" t="s">
        <v>975</v>
      </c>
      <c r="T48" s="517">
        <v>43754.0</v>
      </c>
      <c r="U48" s="512" t="s">
        <v>976</v>
      </c>
      <c r="V48" s="516" t="s">
        <v>945</v>
      </c>
      <c r="W48" s="512" t="s">
        <v>153</v>
      </c>
      <c r="X48" s="518" t="s">
        <v>946</v>
      </c>
      <c r="Y48" s="512" t="s">
        <v>945</v>
      </c>
      <c r="Z48" s="519" t="s">
        <v>516</v>
      </c>
    </row>
    <row r="49" ht="14.25" customHeight="1">
      <c r="A49" s="511">
        <v>46.0</v>
      </c>
      <c r="B49" s="512" t="s">
        <v>951</v>
      </c>
      <c r="C49" s="514" t="s">
        <v>962</v>
      </c>
      <c r="D49" s="514" t="s">
        <v>235</v>
      </c>
      <c r="E49" s="514" t="s">
        <v>47</v>
      </c>
      <c r="F49" s="515">
        <v>24.0</v>
      </c>
      <c r="G49" s="512" t="s">
        <v>935</v>
      </c>
      <c r="H49" s="516" t="s">
        <v>936</v>
      </c>
      <c r="I49" s="512" t="s">
        <v>937</v>
      </c>
      <c r="J49" s="512" t="s">
        <v>969</v>
      </c>
      <c r="K49" s="512" t="s">
        <v>938</v>
      </c>
      <c r="L49" s="517">
        <v>45253.0</v>
      </c>
      <c r="M49" s="514" t="s">
        <v>999</v>
      </c>
      <c r="N49" s="512" t="s">
        <v>1126</v>
      </c>
      <c r="O49" s="514" t="s">
        <v>338</v>
      </c>
      <c r="P49" s="514" t="s">
        <v>337</v>
      </c>
      <c r="Q49" s="516" t="s">
        <v>1002</v>
      </c>
      <c r="R49" s="512" t="s">
        <v>657</v>
      </c>
      <c r="S49" s="512" t="s">
        <v>975</v>
      </c>
      <c r="T49" s="517">
        <v>40910.0</v>
      </c>
      <c r="U49" s="512" t="s">
        <v>976</v>
      </c>
      <c r="V49" s="516" t="s">
        <v>945</v>
      </c>
      <c r="W49" s="512" t="s">
        <v>153</v>
      </c>
      <c r="X49" s="518" t="s">
        <v>946</v>
      </c>
      <c r="Y49" s="512" t="s">
        <v>945</v>
      </c>
      <c r="Z49" s="519" t="s">
        <v>1137</v>
      </c>
    </row>
    <row r="50" ht="14.25" customHeight="1">
      <c r="A50" s="511">
        <v>47.0</v>
      </c>
      <c r="B50" s="512" t="s">
        <v>951</v>
      </c>
      <c r="C50" s="514" t="s">
        <v>962</v>
      </c>
      <c r="D50" s="514" t="s">
        <v>234</v>
      </c>
      <c r="E50" s="514" t="s">
        <v>47</v>
      </c>
      <c r="F50" s="515">
        <v>24.0</v>
      </c>
      <c r="G50" s="512" t="s">
        <v>935</v>
      </c>
      <c r="H50" s="516" t="s">
        <v>936</v>
      </c>
      <c r="I50" s="512" t="s">
        <v>937</v>
      </c>
      <c r="J50" s="512" t="s">
        <v>969</v>
      </c>
      <c r="K50" s="512" t="s">
        <v>938</v>
      </c>
      <c r="L50" s="517">
        <v>44846.0</v>
      </c>
      <c r="M50" s="514" t="s">
        <v>971</v>
      </c>
      <c r="N50" s="512" t="s">
        <v>1012</v>
      </c>
      <c r="O50" s="514" t="s">
        <v>333</v>
      </c>
      <c r="P50" s="514" t="s">
        <v>334</v>
      </c>
      <c r="Q50" s="516" t="s">
        <v>1002</v>
      </c>
      <c r="R50" s="512" t="s">
        <v>657</v>
      </c>
      <c r="S50" s="512" t="s">
        <v>975</v>
      </c>
      <c r="T50" s="517">
        <v>40910.0</v>
      </c>
      <c r="U50" s="512" t="s">
        <v>976</v>
      </c>
      <c r="V50" s="516" t="s">
        <v>945</v>
      </c>
      <c r="W50" s="512" t="s">
        <v>153</v>
      </c>
      <c r="X50" s="518" t="s">
        <v>946</v>
      </c>
      <c r="Y50" s="512" t="s">
        <v>945</v>
      </c>
      <c r="Z50" s="519" t="s">
        <v>1139</v>
      </c>
    </row>
    <row r="51" ht="14.25" customHeight="1">
      <c r="A51" s="511">
        <v>48.0</v>
      </c>
      <c r="B51" s="512" t="s">
        <v>951</v>
      </c>
      <c r="C51" s="514" t="s">
        <v>962</v>
      </c>
      <c r="D51" s="514" t="s">
        <v>236</v>
      </c>
      <c r="E51" s="514" t="s">
        <v>47</v>
      </c>
      <c r="F51" s="515">
        <v>24.0</v>
      </c>
      <c r="G51" s="512" t="s">
        <v>935</v>
      </c>
      <c r="H51" s="516" t="s">
        <v>936</v>
      </c>
      <c r="I51" s="512" t="s">
        <v>937</v>
      </c>
      <c r="J51" s="512" t="s">
        <v>969</v>
      </c>
      <c r="K51" s="512" t="s">
        <v>938</v>
      </c>
      <c r="L51" s="517">
        <v>45283.0</v>
      </c>
      <c r="M51" s="514" t="s">
        <v>999</v>
      </c>
      <c r="N51" s="512" t="s">
        <v>1126</v>
      </c>
      <c r="O51" s="514" t="s">
        <v>340</v>
      </c>
      <c r="P51" s="514" t="s">
        <v>341</v>
      </c>
      <c r="Q51" s="516" t="s">
        <v>1002</v>
      </c>
      <c r="R51" s="512" t="s">
        <v>648</v>
      </c>
      <c r="S51" s="512" t="s">
        <v>975</v>
      </c>
      <c r="T51" s="517">
        <v>41470.0</v>
      </c>
      <c r="U51" s="512" t="s">
        <v>976</v>
      </c>
      <c r="V51" s="516" t="s">
        <v>945</v>
      </c>
      <c r="W51" s="512" t="s">
        <v>153</v>
      </c>
      <c r="X51" s="518" t="s">
        <v>946</v>
      </c>
      <c r="Y51" s="512" t="s">
        <v>945</v>
      </c>
      <c r="Z51" s="519" t="s">
        <v>1140</v>
      </c>
    </row>
    <row r="52" ht="14.25" customHeight="1">
      <c r="A52" s="511">
        <v>49.0</v>
      </c>
      <c r="B52" s="512" t="s">
        <v>951</v>
      </c>
      <c r="C52" s="514" t="s">
        <v>962</v>
      </c>
      <c r="D52" s="514" t="s">
        <v>238</v>
      </c>
      <c r="E52" s="514" t="s">
        <v>47</v>
      </c>
      <c r="F52" s="515">
        <v>24.0</v>
      </c>
      <c r="G52" s="512" t="s">
        <v>935</v>
      </c>
      <c r="H52" s="516" t="s">
        <v>936</v>
      </c>
      <c r="I52" s="512" t="s">
        <v>937</v>
      </c>
      <c r="J52" s="512" t="s">
        <v>969</v>
      </c>
      <c r="K52" s="512" t="s">
        <v>938</v>
      </c>
      <c r="L52" s="517">
        <v>45287.0</v>
      </c>
      <c r="M52" s="514" t="s">
        <v>999</v>
      </c>
      <c r="N52" s="512" t="s">
        <v>1126</v>
      </c>
      <c r="O52" s="514" t="s">
        <v>343</v>
      </c>
      <c r="P52" s="514" t="s">
        <v>344</v>
      </c>
      <c r="Q52" s="516" t="s">
        <v>1002</v>
      </c>
      <c r="R52" s="512" t="s">
        <v>648</v>
      </c>
      <c r="S52" s="512" t="s">
        <v>975</v>
      </c>
      <c r="T52" s="517">
        <v>41544.0</v>
      </c>
      <c r="U52" s="512" t="s">
        <v>976</v>
      </c>
      <c r="V52" s="516" t="s">
        <v>945</v>
      </c>
      <c r="W52" s="512" t="s">
        <v>153</v>
      </c>
      <c r="X52" s="518" t="s">
        <v>946</v>
      </c>
      <c r="Y52" s="512" t="s">
        <v>945</v>
      </c>
      <c r="Z52" s="519" t="s">
        <v>1143</v>
      </c>
    </row>
    <row r="53" ht="14.25" customHeight="1">
      <c r="A53" s="511">
        <v>50.0</v>
      </c>
      <c r="B53" s="512" t="s">
        <v>951</v>
      </c>
      <c r="C53" s="514" t="s">
        <v>962</v>
      </c>
      <c r="D53" s="514" t="s">
        <v>1144</v>
      </c>
      <c r="E53" s="514" t="s">
        <v>47</v>
      </c>
      <c r="F53" s="515">
        <v>24.0</v>
      </c>
      <c r="G53" s="512" t="s">
        <v>935</v>
      </c>
      <c r="H53" s="516" t="s">
        <v>936</v>
      </c>
      <c r="I53" s="512" t="s">
        <v>937</v>
      </c>
      <c r="J53" s="512" t="s">
        <v>969</v>
      </c>
      <c r="K53" s="512" t="s">
        <v>938</v>
      </c>
      <c r="L53" s="517">
        <v>45799.0</v>
      </c>
      <c r="M53" s="514" t="s">
        <v>999</v>
      </c>
      <c r="N53" s="512" t="s">
        <v>1145</v>
      </c>
      <c r="O53" s="514" t="s">
        <v>374</v>
      </c>
      <c r="P53" s="514" t="s">
        <v>1146</v>
      </c>
      <c r="Q53" s="516" t="s">
        <v>1002</v>
      </c>
      <c r="R53" s="512" t="s">
        <v>648</v>
      </c>
      <c r="S53" s="512" t="s">
        <v>975</v>
      </c>
      <c r="T53" s="517">
        <v>42053.0</v>
      </c>
      <c r="U53" s="512" t="s">
        <v>976</v>
      </c>
      <c r="V53" s="516" t="s">
        <v>945</v>
      </c>
      <c r="W53" s="512" t="s">
        <v>153</v>
      </c>
      <c r="X53" s="518" t="s">
        <v>946</v>
      </c>
      <c r="Y53" s="512" t="s">
        <v>945</v>
      </c>
      <c r="Z53" s="519" t="s">
        <v>783</v>
      </c>
    </row>
    <row r="54" ht="14.25" customHeight="1">
      <c r="A54" s="511">
        <v>51.0</v>
      </c>
      <c r="B54" s="512" t="s">
        <v>951</v>
      </c>
      <c r="C54" s="514" t="s">
        <v>962</v>
      </c>
      <c r="D54" s="514" t="s">
        <v>250</v>
      </c>
      <c r="E54" s="514" t="s">
        <v>47</v>
      </c>
      <c r="F54" s="515">
        <v>24.0</v>
      </c>
      <c r="G54" s="512" t="s">
        <v>935</v>
      </c>
      <c r="H54" s="516" t="s">
        <v>936</v>
      </c>
      <c r="I54" s="512" t="s">
        <v>937</v>
      </c>
      <c r="J54" s="512" t="s">
        <v>969</v>
      </c>
      <c r="K54" s="512" t="s">
        <v>938</v>
      </c>
      <c r="L54" s="517">
        <v>45799.0</v>
      </c>
      <c r="M54" s="514" t="s">
        <v>999</v>
      </c>
      <c r="N54" s="512" t="s">
        <v>1145</v>
      </c>
      <c r="O54" s="514" t="s">
        <v>377</v>
      </c>
      <c r="P54" s="514" t="s">
        <v>1147</v>
      </c>
      <c r="Q54" s="516" t="s">
        <v>1002</v>
      </c>
      <c r="R54" s="512" t="s">
        <v>648</v>
      </c>
      <c r="S54" s="512" t="s">
        <v>975</v>
      </c>
      <c r="T54" s="517">
        <v>42053.0</v>
      </c>
      <c r="U54" s="512" t="s">
        <v>976</v>
      </c>
      <c r="V54" s="516" t="s">
        <v>945</v>
      </c>
      <c r="W54" s="512" t="s">
        <v>153</v>
      </c>
      <c r="X54" s="518" t="s">
        <v>946</v>
      </c>
      <c r="Y54" s="512" t="s">
        <v>945</v>
      </c>
      <c r="Z54" s="519" t="s">
        <v>787</v>
      </c>
    </row>
    <row r="55" ht="14.25" customHeight="1">
      <c r="A55" s="511">
        <v>52.0</v>
      </c>
      <c r="B55" s="512" t="s">
        <v>951</v>
      </c>
      <c r="C55" s="514" t="s">
        <v>962</v>
      </c>
      <c r="D55" s="514" t="s">
        <v>251</v>
      </c>
      <c r="E55" s="514" t="s">
        <v>47</v>
      </c>
      <c r="F55" s="515">
        <v>24.0</v>
      </c>
      <c r="G55" s="512" t="s">
        <v>935</v>
      </c>
      <c r="H55" s="516" t="s">
        <v>936</v>
      </c>
      <c r="I55" s="512" t="s">
        <v>937</v>
      </c>
      <c r="J55" s="512" t="s">
        <v>969</v>
      </c>
      <c r="K55" s="512" t="s">
        <v>938</v>
      </c>
      <c r="L55" s="517">
        <v>45799.0</v>
      </c>
      <c r="M55" s="514" t="s">
        <v>999</v>
      </c>
      <c r="N55" s="512" t="s">
        <v>1145</v>
      </c>
      <c r="O55" s="536" t="s">
        <v>1148</v>
      </c>
      <c r="P55" s="514" t="s">
        <v>1149</v>
      </c>
      <c r="Q55" s="516" t="s">
        <v>1002</v>
      </c>
      <c r="R55" s="512" t="s">
        <v>648</v>
      </c>
      <c r="S55" s="512" t="s">
        <v>975</v>
      </c>
      <c r="T55" s="517">
        <v>42053.0</v>
      </c>
      <c r="U55" s="512" t="s">
        <v>976</v>
      </c>
      <c r="V55" s="516" t="s">
        <v>945</v>
      </c>
      <c r="W55" s="512" t="s">
        <v>153</v>
      </c>
      <c r="X55" s="518" t="s">
        <v>946</v>
      </c>
      <c r="Y55" s="512" t="s">
        <v>945</v>
      </c>
      <c r="Z55" s="519" t="s">
        <v>790</v>
      </c>
    </row>
    <row r="56" ht="14.25" customHeight="1">
      <c r="A56" s="511">
        <v>53.0</v>
      </c>
      <c r="B56" s="512" t="s">
        <v>951</v>
      </c>
      <c r="C56" s="514" t="s">
        <v>962</v>
      </c>
      <c r="D56" s="514" t="s">
        <v>239</v>
      </c>
      <c r="E56" s="514" t="s">
        <v>47</v>
      </c>
      <c r="F56" s="515">
        <v>24.0</v>
      </c>
      <c r="G56" s="512" t="s">
        <v>935</v>
      </c>
      <c r="H56" s="516" t="s">
        <v>936</v>
      </c>
      <c r="I56" s="512" t="s">
        <v>937</v>
      </c>
      <c r="J56" s="512" t="s">
        <v>969</v>
      </c>
      <c r="K56" s="512" t="s">
        <v>938</v>
      </c>
      <c r="L56" s="517">
        <v>45603.0</v>
      </c>
      <c r="M56" s="514" t="s">
        <v>999</v>
      </c>
      <c r="N56" s="512" t="s">
        <v>1126</v>
      </c>
      <c r="O56" s="514" t="s">
        <v>346</v>
      </c>
      <c r="P56" s="514" t="s">
        <v>347</v>
      </c>
      <c r="Q56" s="516" t="s">
        <v>1002</v>
      </c>
      <c r="R56" s="512" t="s">
        <v>648</v>
      </c>
      <c r="S56" s="512" t="s">
        <v>975</v>
      </c>
      <c r="T56" s="517">
        <v>41806.0</v>
      </c>
      <c r="U56" s="512" t="s">
        <v>976</v>
      </c>
      <c r="V56" s="516" t="s">
        <v>945</v>
      </c>
      <c r="W56" s="512" t="s">
        <v>153</v>
      </c>
      <c r="X56" s="518" t="s">
        <v>946</v>
      </c>
      <c r="Y56" s="512" t="s">
        <v>945</v>
      </c>
      <c r="Z56" s="519" t="s">
        <v>750</v>
      </c>
    </row>
    <row r="57" ht="14.25" customHeight="1">
      <c r="A57" s="511">
        <v>54.0</v>
      </c>
      <c r="B57" s="512" t="s">
        <v>951</v>
      </c>
      <c r="C57" s="514" t="s">
        <v>962</v>
      </c>
      <c r="D57" s="514" t="s">
        <v>1150</v>
      </c>
      <c r="E57" s="514" t="s">
        <v>47</v>
      </c>
      <c r="F57" s="515">
        <v>24.0</v>
      </c>
      <c r="G57" s="512" t="s">
        <v>935</v>
      </c>
      <c r="H57" s="516" t="s">
        <v>598</v>
      </c>
      <c r="I57" s="512" t="s">
        <v>937</v>
      </c>
      <c r="J57" s="512" t="s">
        <v>969</v>
      </c>
      <c r="K57" s="512" t="s">
        <v>938</v>
      </c>
      <c r="L57" s="517">
        <v>41858.0</v>
      </c>
      <c r="M57" s="514" t="s">
        <v>971</v>
      </c>
      <c r="N57" s="516" t="s">
        <v>516</v>
      </c>
      <c r="O57" s="514" t="s">
        <v>757</v>
      </c>
      <c r="P57" s="514" t="s">
        <v>758</v>
      </c>
      <c r="Q57" s="516" t="s">
        <v>516</v>
      </c>
      <c r="R57" s="516" t="s">
        <v>516</v>
      </c>
      <c r="S57" s="516" t="s">
        <v>516</v>
      </c>
      <c r="T57" s="517">
        <v>41858.0</v>
      </c>
      <c r="U57" s="516" t="s">
        <v>516</v>
      </c>
      <c r="V57" s="516" t="s">
        <v>516</v>
      </c>
      <c r="W57" s="516" t="s">
        <v>516</v>
      </c>
      <c r="X57" s="526"/>
      <c r="Y57" s="512" t="s">
        <v>945</v>
      </c>
      <c r="Z57" s="516" t="s">
        <v>516</v>
      </c>
    </row>
    <row r="58" ht="14.25" customHeight="1">
      <c r="A58" s="511">
        <v>55.0</v>
      </c>
      <c r="B58" s="512" t="s">
        <v>951</v>
      </c>
      <c r="C58" s="514" t="s">
        <v>962</v>
      </c>
      <c r="D58" s="514" t="s">
        <v>247</v>
      </c>
      <c r="E58" s="514" t="s">
        <v>47</v>
      </c>
      <c r="F58" s="515">
        <v>24.0</v>
      </c>
      <c r="G58" s="512" t="s">
        <v>935</v>
      </c>
      <c r="H58" s="516" t="s">
        <v>936</v>
      </c>
      <c r="I58" s="512" t="s">
        <v>937</v>
      </c>
      <c r="J58" s="512" t="s">
        <v>969</v>
      </c>
      <c r="K58" s="512" t="s">
        <v>938</v>
      </c>
      <c r="L58" s="517">
        <v>45649.0</v>
      </c>
      <c r="M58" s="514" t="s">
        <v>999</v>
      </c>
      <c r="N58" s="512" t="s">
        <v>1126</v>
      </c>
      <c r="O58" s="514" t="s">
        <v>1151</v>
      </c>
      <c r="P58" s="514" t="s">
        <v>350</v>
      </c>
      <c r="Q58" s="516" t="s">
        <v>1002</v>
      </c>
      <c r="R58" s="512" t="s">
        <v>648</v>
      </c>
      <c r="S58" s="512" t="s">
        <v>975</v>
      </c>
      <c r="T58" s="517">
        <v>41858.0</v>
      </c>
      <c r="U58" s="512" t="s">
        <v>976</v>
      </c>
      <c r="V58" s="516" t="s">
        <v>945</v>
      </c>
      <c r="W58" s="512" t="s">
        <v>153</v>
      </c>
      <c r="X58" s="518" t="s">
        <v>946</v>
      </c>
      <c r="Y58" s="512" t="s">
        <v>945</v>
      </c>
      <c r="Z58" s="519" t="s">
        <v>770</v>
      </c>
    </row>
    <row r="59" ht="14.25" customHeight="1">
      <c r="A59" s="511">
        <v>56.0</v>
      </c>
      <c r="B59" s="512" t="s">
        <v>951</v>
      </c>
      <c r="C59" s="514" t="s">
        <v>962</v>
      </c>
      <c r="D59" s="514" t="s">
        <v>241</v>
      </c>
      <c r="E59" s="514" t="s">
        <v>47</v>
      </c>
      <c r="F59" s="515">
        <v>24.0</v>
      </c>
      <c r="G59" s="512" t="s">
        <v>935</v>
      </c>
      <c r="H59" s="516" t="s">
        <v>936</v>
      </c>
      <c r="I59" s="512" t="s">
        <v>937</v>
      </c>
      <c r="J59" s="512" t="s">
        <v>969</v>
      </c>
      <c r="K59" s="512" t="s">
        <v>938</v>
      </c>
      <c r="L59" s="517">
        <v>45649.0</v>
      </c>
      <c r="M59" s="514" t="s">
        <v>999</v>
      </c>
      <c r="N59" s="512" t="s">
        <v>1126</v>
      </c>
      <c r="O59" s="514" t="s">
        <v>361</v>
      </c>
      <c r="P59" s="514" t="s">
        <v>1152</v>
      </c>
      <c r="Q59" s="516" t="s">
        <v>1002</v>
      </c>
      <c r="R59" s="512" t="s">
        <v>648</v>
      </c>
      <c r="S59" s="512" t="s">
        <v>975</v>
      </c>
      <c r="T59" s="517">
        <v>41960.0</v>
      </c>
      <c r="U59" s="512" t="s">
        <v>976</v>
      </c>
      <c r="V59" s="516" t="s">
        <v>945</v>
      </c>
      <c r="W59" s="512" t="s">
        <v>153</v>
      </c>
      <c r="X59" s="518" t="s">
        <v>946</v>
      </c>
      <c r="Y59" s="512" t="s">
        <v>945</v>
      </c>
      <c r="Z59" s="519" t="s">
        <v>779</v>
      </c>
    </row>
    <row r="60" ht="14.25" customHeight="1">
      <c r="A60" s="511">
        <v>57.0</v>
      </c>
      <c r="B60" s="512" t="s">
        <v>951</v>
      </c>
      <c r="C60" s="514" t="s">
        <v>962</v>
      </c>
      <c r="D60" s="514" t="s">
        <v>1153</v>
      </c>
      <c r="E60" s="514" t="s">
        <v>47</v>
      </c>
      <c r="F60" s="515">
        <v>24.0</v>
      </c>
      <c r="G60" s="512" t="s">
        <v>935</v>
      </c>
      <c r="H60" s="516" t="s">
        <v>936</v>
      </c>
      <c r="I60" s="512" t="s">
        <v>937</v>
      </c>
      <c r="J60" s="512" t="s">
        <v>969</v>
      </c>
      <c r="K60" s="512" t="s">
        <v>938</v>
      </c>
      <c r="L60" s="517">
        <v>45890.0</v>
      </c>
      <c r="M60" s="514" t="s">
        <v>999</v>
      </c>
      <c r="N60" s="512" t="s">
        <v>1145</v>
      </c>
      <c r="O60" s="514" t="s">
        <v>1155</v>
      </c>
      <c r="P60" s="514" t="s">
        <v>383</v>
      </c>
      <c r="Q60" s="516" t="s">
        <v>1002</v>
      </c>
      <c r="R60" s="512" t="s">
        <v>648</v>
      </c>
      <c r="S60" s="512" t="s">
        <v>975</v>
      </c>
      <c r="T60" s="517">
        <v>42185.0</v>
      </c>
      <c r="U60" s="512" t="s">
        <v>976</v>
      </c>
      <c r="V60" s="516" t="s">
        <v>945</v>
      </c>
      <c r="W60" s="512" t="s">
        <v>153</v>
      </c>
      <c r="X60" s="518" t="s">
        <v>946</v>
      </c>
      <c r="Y60" s="512" t="s">
        <v>945</v>
      </c>
      <c r="Z60" s="519" t="s">
        <v>818</v>
      </c>
    </row>
    <row r="61" ht="14.25" customHeight="1">
      <c r="A61" s="511">
        <v>58.0</v>
      </c>
      <c r="B61" s="512" t="s">
        <v>951</v>
      </c>
      <c r="C61" s="514" t="s">
        <v>962</v>
      </c>
      <c r="D61" s="514" t="s">
        <v>254</v>
      </c>
      <c r="E61" s="514" t="s">
        <v>47</v>
      </c>
      <c r="F61" s="515">
        <v>24.0</v>
      </c>
      <c r="G61" s="512" t="s">
        <v>935</v>
      </c>
      <c r="H61" s="516" t="s">
        <v>936</v>
      </c>
      <c r="I61" s="512" t="s">
        <v>937</v>
      </c>
      <c r="J61" s="512" t="s">
        <v>969</v>
      </c>
      <c r="K61" s="512" t="s">
        <v>938</v>
      </c>
      <c r="L61" s="517">
        <v>45953.0</v>
      </c>
      <c r="M61" s="514" t="s">
        <v>999</v>
      </c>
      <c r="N61" s="512" t="s">
        <v>1145</v>
      </c>
      <c r="O61" s="514" t="s">
        <v>1156</v>
      </c>
      <c r="P61" s="514" t="s">
        <v>1157</v>
      </c>
      <c r="Q61" s="516" t="s">
        <v>1002</v>
      </c>
      <c r="R61" s="512" t="s">
        <v>648</v>
      </c>
      <c r="S61" s="512" t="s">
        <v>975</v>
      </c>
      <c r="T61" s="517">
        <v>42195.0</v>
      </c>
      <c r="U61" s="512" t="s">
        <v>976</v>
      </c>
      <c r="V61" s="516" t="s">
        <v>945</v>
      </c>
      <c r="W61" s="512" t="s">
        <v>153</v>
      </c>
      <c r="X61" s="518" t="s">
        <v>946</v>
      </c>
      <c r="Y61" s="512" t="s">
        <v>945</v>
      </c>
      <c r="Z61" s="519" t="s">
        <v>830</v>
      </c>
    </row>
    <row r="62" ht="14.25" customHeight="1">
      <c r="A62" s="511">
        <v>59.0</v>
      </c>
      <c r="B62" s="512" t="s">
        <v>951</v>
      </c>
      <c r="C62" s="514" t="s">
        <v>962</v>
      </c>
      <c r="D62" s="514" t="s">
        <v>253</v>
      </c>
      <c r="E62" s="514" t="s">
        <v>47</v>
      </c>
      <c r="F62" s="515">
        <v>24.0</v>
      </c>
      <c r="G62" s="512" t="s">
        <v>935</v>
      </c>
      <c r="H62" s="516" t="s">
        <v>936</v>
      </c>
      <c r="I62" s="512" t="s">
        <v>937</v>
      </c>
      <c r="J62" s="512" t="s">
        <v>969</v>
      </c>
      <c r="K62" s="512" t="s">
        <v>938</v>
      </c>
      <c r="L62" s="517">
        <v>45953.0</v>
      </c>
      <c r="M62" s="514" t="s">
        <v>999</v>
      </c>
      <c r="N62" s="512" t="s">
        <v>1145</v>
      </c>
      <c r="O62" s="514" t="s">
        <v>385</v>
      </c>
      <c r="P62" s="514" t="s">
        <v>386</v>
      </c>
      <c r="Q62" s="516" t="s">
        <v>1002</v>
      </c>
      <c r="R62" s="512" t="s">
        <v>648</v>
      </c>
      <c r="S62" s="512" t="s">
        <v>975</v>
      </c>
      <c r="T62" s="517">
        <v>42198.0</v>
      </c>
      <c r="U62" s="512" t="s">
        <v>976</v>
      </c>
      <c r="V62" s="516" t="s">
        <v>945</v>
      </c>
      <c r="W62" s="512" t="s">
        <v>153</v>
      </c>
      <c r="X62" s="518" t="s">
        <v>946</v>
      </c>
      <c r="Y62" s="512" t="s">
        <v>945</v>
      </c>
      <c r="Z62" s="519" t="s">
        <v>826</v>
      </c>
    </row>
    <row r="63" ht="14.25" customHeight="1">
      <c r="A63" s="511">
        <v>60.0</v>
      </c>
      <c r="B63" s="512" t="s">
        <v>951</v>
      </c>
      <c r="C63" s="514" t="s">
        <v>962</v>
      </c>
      <c r="D63" s="514" t="s">
        <v>1158</v>
      </c>
      <c r="E63" s="514" t="s">
        <v>47</v>
      </c>
      <c r="F63" s="515">
        <v>24.0</v>
      </c>
      <c r="G63" s="512" t="s">
        <v>935</v>
      </c>
      <c r="H63" s="516" t="s">
        <v>936</v>
      </c>
      <c r="I63" s="512" t="s">
        <v>937</v>
      </c>
      <c r="J63" s="512" t="s">
        <v>969</v>
      </c>
      <c r="K63" s="512" t="s">
        <v>938</v>
      </c>
      <c r="L63" s="517">
        <v>45953.0</v>
      </c>
      <c r="M63" s="514" t="s">
        <v>999</v>
      </c>
      <c r="N63" s="512" t="s">
        <v>1145</v>
      </c>
      <c r="O63" s="514" t="s">
        <v>393</v>
      </c>
      <c r="P63" s="514" t="s">
        <v>1159</v>
      </c>
      <c r="Q63" s="516" t="s">
        <v>1002</v>
      </c>
      <c r="R63" s="512" t="s">
        <v>648</v>
      </c>
      <c r="S63" s="512" t="s">
        <v>975</v>
      </c>
      <c r="T63" s="517">
        <v>42198.0</v>
      </c>
      <c r="U63" s="512" t="s">
        <v>976</v>
      </c>
      <c r="V63" s="516" t="s">
        <v>945</v>
      </c>
      <c r="W63" s="512" t="s">
        <v>153</v>
      </c>
      <c r="X63" s="518" t="s">
        <v>946</v>
      </c>
      <c r="Y63" s="512" t="s">
        <v>945</v>
      </c>
      <c r="Z63" s="519" t="s">
        <v>841</v>
      </c>
    </row>
    <row r="64" ht="14.25" customHeight="1">
      <c r="A64" s="511">
        <v>61.0</v>
      </c>
      <c r="B64" s="512" t="s">
        <v>951</v>
      </c>
      <c r="C64" s="514" t="s">
        <v>962</v>
      </c>
      <c r="D64" s="514" t="s">
        <v>1160</v>
      </c>
      <c r="E64" s="514" t="s">
        <v>47</v>
      </c>
      <c r="F64" s="515">
        <v>24.0</v>
      </c>
      <c r="G64" s="512" t="s">
        <v>935</v>
      </c>
      <c r="H64" s="516" t="s">
        <v>936</v>
      </c>
      <c r="I64" s="512" t="s">
        <v>937</v>
      </c>
      <c r="J64" s="512" t="s">
        <v>969</v>
      </c>
      <c r="K64" s="512" t="s">
        <v>938</v>
      </c>
      <c r="L64" s="517">
        <v>45975.0</v>
      </c>
      <c r="M64" s="514" t="s">
        <v>999</v>
      </c>
      <c r="N64" s="512" t="s">
        <v>1145</v>
      </c>
      <c r="O64" s="514" t="s">
        <v>1162</v>
      </c>
      <c r="P64" s="514" t="s">
        <v>1163</v>
      </c>
      <c r="Q64" s="516" t="s">
        <v>1002</v>
      </c>
      <c r="R64" s="512" t="s">
        <v>648</v>
      </c>
      <c r="S64" s="512" t="s">
        <v>975</v>
      </c>
      <c r="T64" s="517">
        <v>42199.0</v>
      </c>
      <c r="U64" s="512" t="s">
        <v>976</v>
      </c>
      <c r="V64" s="516" t="s">
        <v>945</v>
      </c>
      <c r="W64" s="512" t="s">
        <v>153</v>
      </c>
      <c r="X64" s="518" t="s">
        <v>946</v>
      </c>
      <c r="Y64" s="512" t="s">
        <v>945</v>
      </c>
      <c r="Z64" s="519" t="s">
        <v>834</v>
      </c>
    </row>
    <row r="65" ht="14.25" customHeight="1">
      <c r="A65" s="511">
        <v>62.0</v>
      </c>
      <c r="B65" s="512" t="s">
        <v>951</v>
      </c>
      <c r="C65" s="514" t="s">
        <v>962</v>
      </c>
      <c r="D65" s="514" t="s">
        <v>257</v>
      </c>
      <c r="E65" s="514" t="s">
        <v>47</v>
      </c>
      <c r="F65" s="515">
        <v>24.0</v>
      </c>
      <c r="G65" s="512" t="s">
        <v>935</v>
      </c>
      <c r="H65" s="516" t="s">
        <v>936</v>
      </c>
      <c r="I65" s="512" t="s">
        <v>937</v>
      </c>
      <c r="J65" s="512" t="s">
        <v>969</v>
      </c>
      <c r="K65" s="512" t="s">
        <v>938</v>
      </c>
      <c r="L65" s="517">
        <v>45975.0</v>
      </c>
      <c r="M65" s="514" t="s">
        <v>999</v>
      </c>
      <c r="N65" s="512" t="s">
        <v>1145</v>
      </c>
      <c r="O65" s="514" t="s">
        <v>1165</v>
      </c>
      <c r="P65" s="514" t="s">
        <v>400</v>
      </c>
      <c r="Q65" s="516" t="s">
        <v>1002</v>
      </c>
      <c r="R65" s="512" t="s">
        <v>648</v>
      </c>
      <c r="S65" s="512" t="s">
        <v>975</v>
      </c>
      <c r="T65" s="517">
        <v>42199.0</v>
      </c>
      <c r="U65" s="512" t="s">
        <v>976</v>
      </c>
      <c r="V65" s="516" t="s">
        <v>945</v>
      </c>
      <c r="W65" s="512" t="s">
        <v>153</v>
      </c>
      <c r="X65" s="518" t="s">
        <v>946</v>
      </c>
      <c r="Y65" s="512" t="s">
        <v>945</v>
      </c>
      <c r="Z65" s="519" t="s">
        <v>838</v>
      </c>
    </row>
    <row r="66" ht="14.25" customHeight="1">
      <c r="A66" s="511">
        <v>63.0</v>
      </c>
      <c r="B66" s="512" t="s">
        <v>951</v>
      </c>
      <c r="C66" s="514" t="s">
        <v>962</v>
      </c>
      <c r="D66" s="514" t="s">
        <v>258</v>
      </c>
      <c r="E66" s="514" t="s">
        <v>47</v>
      </c>
      <c r="F66" s="515">
        <v>24.0</v>
      </c>
      <c r="G66" s="512" t="s">
        <v>935</v>
      </c>
      <c r="H66" s="516" t="s">
        <v>936</v>
      </c>
      <c r="I66" s="512" t="s">
        <v>937</v>
      </c>
      <c r="J66" s="512" t="s">
        <v>969</v>
      </c>
      <c r="K66" s="512" t="s">
        <v>938</v>
      </c>
      <c r="L66" s="517">
        <v>46008.0</v>
      </c>
      <c r="M66" s="514" t="s">
        <v>999</v>
      </c>
      <c r="N66" s="512" t="s">
        <v>1126</v>
      </c>
      <c r="O66" s="514" t="s">
        <v>364</v>
      </c>
      <c r="P66" s="514" t="s">
        <v>1166</v>
      </c>
      <c r="Q66" s="516" t="s">
        <v>1002</v>
      </c>
      <c r="R66" s="512" t="s">
        <v>648</v>
      </c>
      <c r="S66" s="512" t="s">
        <v>975</v>
      </c>
      <c r="T66" s="517">
        <v>42367.0</v>
      </c>
      <c r="U66" s="512" t="s">
        <v>976</v>
      </c>
      <c r="V66" s="516" t="s">
        <v>945</v>
      </c>
      <c r="W66" s="512" t="s">
        <v>153</v>
      </c>
      <c r="X66" s="518" t="s">
        <v>946</v>
      </c>
      <c r="Y66" s="512" t="s">
        <v>945</v>
      </c>
      <c r="Z66" s="519" t="s">
        <v>699</v>
      </c>
    </row>
    <row r="67" ht="14.25" customHeight="1">
      <c r="A67" s="511">
        <v>64.0</v>
      </c>
      <c r="B67" s="512" t="s">
        <v>951</v>
      </c>
      <c r="C67" s="514" t="s">
        <v>962</v>
      </c>
      <c r="D67" s="514" t="s">
        <v>1168</v>
      </c>
      <c r="E67" s="514" t="s">
        <v>47</v>
      </c>
      <c r="F67" s="515">
        <v>24.0</v>
      </c>
      <c r="G67" s="512" t="s">
        <v>935</v>
      </c>
      <c r="H67" s="516" t="s">
        <v>936</v>
      </c>
      <c r="I67" s="512" t="s">
        <v>937</v>
      </c>
      <c r="J67" s="512" t="s">
        <v>969</v>
      </c>
      <c r="K67" s="512" t="s">
        <v>938</v>
      </c>
      <c r="L67" s="517">
        <v>46007.0</v>
      </c>
      <c r="M67" s="514" t="s">
        <v>999</v>
      </c>
      <c r="N67" s="512" t="s">
        <v>1126</v>
      </c>
      <c r="O67" s="514" t="s">
        <v>367</v>
      </c>
      <c r="P67" s="514" t="s">
        <v>368</v>
      </c>
      <c r="Q67" s="516" t="s">
        <v>1002</v>
      </c>
      <c r="R67" s="512" t="s">
        <v>648</v>
      </c>
      <c r="S67" s="512" t="s">
        <v>975</v>
      </c>
      <c r="T67" s="517">
        <v>42367.0</v>
      </c>
      <c r="U67" s="512" t="s">
        <v>976</v>
      </c>
      <c r="V67" s="516" t="s">
        <v>945</v>
      </c>
      <c r="W67" s="512" t="s">
        <v>153</v>
      </c>
      <c r="X67" s="518" t="s">
        <v>946</v>
      </c>
      <c r="Y67" s="512" t="s">
        <v>945</v>
      </c>
      <c r="Z67" s="519" t="s">
        <v>709</v>
      </c>
    </row>
    <row r="68" ht="14.25" customHeight="1">
      <c r="A68" s="511">
        <v>65.0</v>
      </c>
      <c r="B68" s="512" t="s">
        <v>951</v>
      </c>
      <c r="C68" s="514" t="s">
        <v>962</v>
      </c>
      <c r="D68" s="514" t="s">
        <v>1170</v>
      </c>
      <c r="E68" s="514" t="s">
        <v>47</v>
      </c>
      <c r="F68" s="515">
        <v>24.0</v>
      </c>
      <c r="G68" s="512" t="s">
        <v>935</v>
      </c>
      <c r="H68" s="516" t="s">
        <v>936</v>
      </c>
      <c r="I68" s="512" t="s">
        <v>937</v>
      </c>
      <c r="J68" s="512" t="s">
        <v>969</v>
      </c>
      <c r="K68" s="512" t="s">
        <v>938</v>
      </c>
      <c r="L68" s="517">
        <v>46007.0</v>
      </c>
      <c r="M68" s="514" t="s">
        <v>999</v>
      </c>
      <c r="N68" s="512" t="s">
        <v>1126</v>
      </c>
      <c r="O68" s="514" t="s">
        <v>370</v>
      </c>
      <c r="P68" s="514" t="s">
        <v>1171</v>
      </c>
      <c r="Q68" s="516" t="s">
        <v>1002</v>
      </c>
      <c r="R68" s="512" t="s">
        <v>648</v>
      </c>
      <c r="S68" s="512" t="s">
        <v>975</v>
      </c>
      <c r="T68" s="517">
        <v>42367.0</v>
      </c>
      <c r="U68" s="512" t="s">
        <v>976</v>
      </c>
      <c r="V68" s="516" t="s">
        <v>945</v>
      </c>
      <c r="W68" s="512" t="s">
        <v>153</v>
      </c>
      <c r="X68" s="518" t="s">
        <v>946</v>
      </c>
      <c r="Y68" s="512" t="s">
        <v>945</v>
      </c>
      <c r="Z68" s="519" t="s">
        <v>712</v>
      </c>
    </row>
    <row r="69" ht="14.25" customHeight="1">
      <c r="A69" s="511">
        <v>66.0</v>
      </c>
      <c r="B69" s="512" t="s">
        <v>951</v>
      </c>
      <c r="C69" s="514" t="s">
        <v>962</v>
      </c>
      <c r="D69" s="514" t="s">
        <v>244</v>
      </c>
      <c r="E69" s="514" t="s">
        <v>47</v>
      </c>
      <c r="F69" s="515">
        <v>24.0</v>
      </c>
      <c r="G69" s="512" t="s">
        <v>935</v>
      </c>
      <c r="H69" s="516" t="s">
        <v>936</v>
      </c>
      <c r="I69" s="512" t="s">
        <v>937</v>
      </c>
      <c r="J69" s="512" t="s">
        <v>969</v>
      </c>
      <c r="K69" s="512" t="s">
        <v>938</v>
      </c>
      <c r="L69" s="517">
        <v>45649.0</v>
      </c>
      <c r="M69" s="514" t="s">
        <v>999</v>
      </c>
      <c r="N69" s="512" t="s">
        <v>1126</v>
      </c>
      <c r="O69" s="514" t="s">
        <v>356</v>
      </c>
      <c r="P69" s="514" t="s">
        <v>357</v>
      </c>
      <c r="Q69" s="516" t="s">
        <v>1002</v>
      </c>
      <c r="R69" s="512" t="s">
        <v>648</v>
      </c>
      <c r="S69" s="512" t="s">
        <v>975</v>
      </c>
      <c r="T69" s="517">
        <v>41858.0</v>
      </c>
      <c r="U69" s="512" t="s">
        <v>976</v>
      </c>
      <c r="V69" s="516" t="s">
        <v>945</v>
      </c>
      <c r="W69" s="512" t="s">
        <v>153</v>
      </c>
      <c r="X69" s="518" t="s">
        <v>946</v>
      </c>
      <c r="Y69" s="512" t="s">
        <v>945</v>
      </c>
      <c r="Z69" s="519" t="s">
        <v>764</v>
      </c>
    </row>
    <row r="70" ht="14.25" customHeight="1">
      <c r="A70" s="511">
        <v>67.0</v>
      </c>
      <c r="B70" s="512" t="s">
        <v>951</v>
      </c>
      <c r="C70" s="514" t="s">
        <v>962</v>
      </c>
      <c r="D70" s="514" t="s">
        <v>308</v>
      </c>
      <c r="E70" s="514" t="s">
        <v>94</v>
      </c>
      <c r="F70" s="515">
        <v>16.0</v>
      </c>
      <c r="G70" s="512" t="s">
        <v>935</v>
      </c>
      <c r="H70" s="516" t="s">
        <v>936</v>
      </c>
      <c r="I70" s="512" t="s">
        <v>937</v>
      </c>
      <c r="J70" s="512" t="s">
        <v>969</v>
      </c>
      <c r="K70" s="512" t="s">
        <v>938</v>
      </c>
      <c r="L70" s="517">
        <v>44867.0</v>
      </c>
      <c r="M70" s="514" t="s">
        <v>971</v>
      </c>
      <c r="N70" s="512" t="s">
        <v>1173</v>
      </c>
      <c r="O70" s="514" t="s">
        <v>450</v>
      </c>
      <c r="P70" s="514" t="s">
        <v>1174</v>
      </c>
      <c r="Q70" s="516" t="s">
        <v>1002</v>
      </c>
      <c r="R70" s="512" t="s">
        <v>657</v>
      </c>
      <c r="S70" s="512" t="s">
        <v>1004</v>
      </c>
      <c r="T70" s="517">
        <v>44867.0</v>
      </c>
      <c r="U70" s="512" t="s">
        <v>976</v>
      </c>
      <c r="V70" s="516" t="s">
        <v>945</v>
      </c>
      <c r="W70" s="512" t="s">
        <v>240</v>
      </c>
      <c r="X70" s="521" t="s">
        <v>1005</v>
      </c>
      <c r="Y70" s="512" t="s">
        <v>945</v>
      </c>
      <c r="Z70" s="519" t="s">
        <v>1175</v>
      </c>
    </row>
    <row r="71" ht="14.25" customHeight="1">
      <c r="A71" s="511">
        <v>68.0</v>
      </c>
      <c r="B71" s="512" t="s">
        <v>951</v>
      </c>
      <c r="C71" s="514" t="s">
        <v>962</v>
      </c>
      <c r="D71" s="514" t="s">
        <v>1176</v>
      </c>
      <c r="E71" s="514" t="s">
        <v>94</v>
      </c>
      <c r="F71" s="515">
        <v>8.0</v>
      </c>
      <c r="G71" s="512" t="s">
        <v>935</v>
      </c>
      <c r="H71" s="516" t="s">
        <v>598</v>
      </c>
      <c r="I71" s="512" t="s">
        <v>937</v>
      </c>
      <c r="J71" s="512" t="s">
        <v>969</v>
      </c>
      <c r="K71" s="512" t="s">
        <v>938</v>
      </c>
      <c r="L71" s="517">
        <v>42091.0</v>
      </c>
      <c r="M71" s="514" t="s">
        <v>467</v>
      </c>
      <c r="N71" s="516" t="s">
        <v>516</v>
      </c>
      <c r="O71" s="514" t="s">
        <v>799</v>
      </c>
      <c r="P71" s="514" t="s">
        <v>1177</v>
      </c>
      <c r="Q71" s="516" t="s">
        <v>516</v>
      </c>
      <c r="R71" s="516" t="s">
        <v>516</v>
      </c>
      <c r="S71" s="516" t="s">
        <v>516</v>
      </c>
      <c r="T71" s="517">
        <v>42091.0</v>
      </c>
      <c r="U71" s="516" t="s">
        <v>516</v>
      </c>
      <c r="V71" s="516" t="s">
        <v>516</v>
      </c>
      <c r="W71" s="516" t="s">
        <v>516</v>
      </c>
      <c r="X71" s="526"/>
      <c r="Y71" s="512" t="s">
        <v>945</v>
      </c>
      <c r="Z71" s="516" t="s">
        <v>516</v>
      </c>
    </row>
    <row r="72" ht="14.25" customHeight="1">
      <c r="A72" s="511">
        <v>69.0</v>
      </c>
      <c r="B72" s="512" t="s">
        <v>951</v>
      </c>
      <c r="C72" s="514" t="s">
        <v>962</v>
      </c>
      <c r="D72" s="514" t="s">
        <v>1178</v>
      </c>
      <c r="E72" s="514" t="s">
        <v>94</v>
      </c>
      <c r="F72" s="515">
        <v>16.0</v>
      </c>
      <c r="G72" s="512" t="s">
        <v>935</v>
      </c>
      <c r="H72" s="516" t="s">
        <v>598</v>
      </c>
      <c r="I72" s="512" t="s">
        <v>937</v>
      </c>
      <c r="J72" s="512" t="s">
        <v>969</v>
      </c>
      <c r="K72" s="512" t="s">
        <v>938</v>
      </c>
      <c r="L72" s="517">
        <v>42152.0</v>
      </c>
      <c r="M72" s="514" t="s">
        <v>971</v>
      </c>
      <c r="N72" s="516" t="s">
        <v>516</v>
      </c>
      <c r="O72" s="514" t="s">
        <v>804</v>
      </c>
      <c r="P72" s="514" t="s">
        <v>805</v>
      </c>
      <c r="Q72" s="516" t="s">
        <v>516</v>
      </c>
      <c r="R72" s="516" t="s">
        <v>516</v>
      </c>
      <c r="S72" s="516" t="s">
        <v>516</v>
      </c>
      <c r="T72" s="517">
        <v>42152.0</v>
      </c>
      <c r="U72" s="516" t="s">
        <v>516</v>
      </c>
      <c r="V72" s="516" t="s">
        <v>516</v>
      </c>
      <c r="W72" s="516" t="s">
        <v>516</v>
      </c>
      <c r="X72" s="526"/>
      <c r="Y72" s="512" t="s">
        <v>945</v>
      </c>
      <c r="Z72" s="516" t="s">
        <v>516</v>
      </c>
    </row>
    <row r="73" ht="14.25" customHeight="1">
      <c r="A73" s="511">
        <v>70.0</v>
      </c>
      <c r="B73" s="512" t="s">
        <v>951</v>
      </c>
      <c r="C73" s="514" t="s">
        <v>962</v>
      </c>
      <c r="D73" s="514" t="s">
        <v>301</v>
      </c>
      <c r="E73" s="514" t="s">
        <v>94</v>
      </c>
      <c r="F73" s="515">
        <v>24.0</v>
      </c>
      <c r="G73" s="512" t="s">
        <v>935</v>
      </c>
      <c r="H73" s="516" t="s">
        <v>936</v>
      </c>
      <c r="I73" s="512" t="s">
        <v>937</v>
      </c>
      <c r="J73" s="512" t="s">
        <v>969</v>
      </c>
      <c r="K73" s="512" t="s">
        <v>938</v>
      </c>
      <c r="L73" s="517">
        <v>44068.0</v>
      </c>
      <c r="M73" s="514" t="s">
        <v>971</v>
      </c>
      <c r="N73" s="512" t="s">
        <v>1179</v>
      </c>
      <c r="O73" s="514" t="s">
        <v>1180</v>
      </c>
      <c r="P73" s="514" t="s">
        <v>1181</v>
      </c>
      <c r="Q73" s="516" t="s">
        <v>945</v>
      </c>
      <c r="R73" s="512" t="s">
        <v>648</v>
      </c>
      <c r="S73" s="512" t="s">
        <v>975</v>
      </c>
      <c r="T73" s="517">
        <v>44068.0</v>
      </c>
      <c r="U73" s="512" t="s">
        <v>976</v>
      </c>
      <c r="V73" s="516" t="s">
        <v>945</v>
      </c>
      <c r="W73" s="512" t="s">
        <v>153</v>
      </c>
      <c r="X73" s="518" t="s">
        <v>946</v>
      </c>
      <c r="Y73" s="512" t="s">
        <v>945</v>
      </c>
      <c r="Z73" s="519" t="s">
        <v>516</v>
      </c>
    </row>
    <row r="74" ht="14.25" customHeight="1">
      <c r="A74" s="511">
        <v>71.0</v>
      </c>
      <c r="B74" s="512" t="s">
        <v>951</v>
      </c>
      <c r="C74" s="514" t="s">
        <v>962</v>
      </c>
      <c r="D74" s="514" t="s">
        <v>303</v>
      </c>
      <c r="E74" s="514" t="s">
        <v>94</v>
      </c>
      <c r="F74" s="515">
        <v>24.0</v>
      </c>
      <c r="G74" s="512" t="s">
        <v>935</v>
      </c>
      <c r="H74" s="516" t="s">
        <v>936</v>
      </c>
      <c r="I74" s="512" t="s">
        <v>937</v>
      </c>
      <c r="J74" s="512" t="s">
        <v>969</v>
      </c>
      <c r="K74" s="512" t="s">
        <v>938</v>
      </c>
      <c r="L74" s="517">
        <v>44068.0</v>
      </c>
      <c r="M74" s="514" t="s">
        <v>971</v>
      </c>
      <c r="N74" s="512" t="s">
        <v>1183</v>
      </c>
      <c r="O74" s="514" t="s">
        <v>1180</v>
      </c>
      <c r="P74" s="514" t="s">
        <v>1181</v>
      </c>
      <c r="Q74" s="516" t="s">
        <v>945</v>
      </c>
      <c r="R74" s="512" t="s">
        <v>648</v>
      </c>
      <c r="S74" s="512" t="s">
        <v>975</v>
      </c>
      <c r="T74" s="517">
        <v>44068.0</v>
      </c>
      <c r="U74" s="512" t="s">
        <v>976</v>
      </c>
      <c r="V74" s="516" t="s">
        <v>945</v>
      </c>
      <c r="W74" s="512" t="s">
        <v>153</v>
      </c>
      <c r="X74" s="518" t="s">
        <v>946</v>
      </c>
      <c r="Y74" s="512" t="s">
        <v>945</v>
      </c>
      <c r="Z74" s="519" t="s">
        <v>516</v>
      </c>
    </row>
    <row r="75" ht="14.25" customHeight="1">
      <c r="A75" s="511">
        <v>72.0</v>
      </c>
      <c r="B75" s="512" t="s">
        <v>951</v>
      </c>
      <c r="C75" s="514" t="s">
        <v>962</v>
      </c>
      <c r="D75" s="514" t="s">
        <v>1184</v>
      </c>
      <c r="E75" s="514" t="s">
        <v>1185</v>
      </c>
      <c r="F75" s="515">
        <v>16.0</v>
      </c>
      <c r="G75" s="512" t="s">
        <v>935</v>
      </c>
      <c r="H75" s="516" t="s">
        <v>1186</v>
      </c>
      <c r="I75" s="512" t="s">
        <v>937</v>
      </c>
      <c r="J75" s="512" t="s">
        <v>969</v>
      </c>
      <c r="K75" s="512" t="s">
        <v>938</v>
      </c>
      <c r="L75" s="517">
        <v>45510.0</v>
      </c>
      <c r="M75" s="514" t="s">
        <v>990</v>
      </c>
      <c r="N75" s="516" t="s">
        <v>516</v>
      </c>
      <c r="O75" s="514" t="s">
        <v>707</v>
      </c>
      <c r="P75" s="514" t="s">
        <v>708</v>
      </c>
      <c r="Q75" s="516" t="s">
        <v>516</v>
      </c>
      <c r="R75" s="516" t="s">
        <v>516</v>
      </c>
      <c r="S75" s="516" t="s">
        <v>516</v>
      </c>
      <c r="T75" s="517">
        <v>45510.0</v>
      </c>
      <c r="U75" s="516" t="s">
        <v>516</v>
      </c>
      <c r="V75" s="516" t="s">
        <v>516</v>
      </c>
      <c r="W75" s="516" t="s">
        <v>516</v>
      </c>
      <c r="X75" s="526"/>
      <c r="Y75" s="512" t="s">
        <v>945</v>
      </c>
      <c r="Z75" s="516" t="s">
        <v>516</v>
      </c>
    </row>
    <row r="76" ht="14.25" customHeight="1">
      <c r="A76" s="511">
        <v>73.0</v>
      </c>
      <c r="B76" s="512" t="s">
        <v>951</v>
      </c>
      <c r="C76" s="514" t="s">
        <v>962</v>
      </c>
      <c r="D76" s="514" t="s">
        <v>299</v>
      </c>
      <c r="E76" s="514" t="s">
        <v>1185</v>
      </c>
      <c r="F76" s="515">
        <v>16.0</v>
      </c>
      <c r="G76" s="512" t="s">
        <v>935</v>
      </c>
      <c r="H76" s="516" t="s">
        <v>936</v>
      </c>
      <c r="I76" s="512" t="s">
        <v>937</v>
      </c>
      <c r="J76" s="512" t="s">
        <v>969</v>
      </c>
      <c r="K76" s="512" t="s">
        <v>938</v>
      </c>
      <c r="L76" s="517">
        <v>45532.0</v>
      </c>
      <c r="M76" s="514" t="s">
        <v>467</v>
      </c>
      <c r="N76" s="512" t="s">
        <v>1187</v>
      </c>
      <c r="O76" s="514" t="s">
        <v>1188</v>
      </c>
      <c r="P76" s="514" t="s">
        <v>1189</v>
      </c>
      <c r="Q76" s="516" t="s">
        <v>1002</v>
      </c>
      <c r="R76" s="512" t="s">
        <v>648</v>
      </c>
      <c r="S76" s="512" t="s">
        <v>1004</v>
      </c>
      <c r="T76" s="517">
        <v>45532.0</v>
      </c>
      <c r="U76" s="512" t="s">
        <v>976</v>
      </c>
      <c r="V76" s="516" t="s">
        <v>945</v>
      </c>
      <c r="W76" s="512" t="s">
        <v>240</v>
      </c>
      <c r="X76" s="521" t="s">
        <v>1005</v>
      </c>
      <c r="Y76" s="512" t="s">
        <v>945</v>
      </c>
      <c r="Z76" s="519" t="s">
        <v>737</v>
      </c>
    </row>
    <row r="77" ht="14.25" customHeight="1">
      <c r="A77" s="511">
        <v>74.0</v>
      </c>
      <c r="B77" s="512" t="s">
        <v>951</v>
      </c>
      <c r="C77" s="514" t="s">
        <v>962</v>
      </c>
      <c r="D77" s="514" t="s">
        <v>1191</v>
      </c>
      <c r="E77" s="514" t="s">
        <v>1185</v>
      </c>
      <c r="F77" s="515">
        <v>16.0</v>
      </c>
      <c r="G77" s="512" t="s">
        <v>935</v>
      </c>
      <c r="H77" s="516" t="s">
        <v>1186</v>
      </c>
      <c r="I77" s="512" t="s">
        <v>937</v>
      </c>
      <c r="J77" s="512" t="s">
        <v>969</v>
      </c>
      <c r="K77" s="512" t="s">
        <v>938</v>
      </c>
      <c r="L77" s="517">
        <v>44901.0</v>
      </c>
      <c r="M77" s="514" t="s">
        <v>990</v>
      </c>
      <c r="N77" s="516" t="s">
        <v>516</v>
      </c>
      <c r="O77" s="514" t="s">
        <v>857</v>
      </c>
      <c r="P77" s="514" t="s">
        <v>856</v>
      </c>
      <c r="Q77" s="516" t="s">
        <v>516</v>
      </c>
      <c r="R77" s="516" t="s">
        <v>516</v>
      </c>
      <c r="S77" s="516" t="s">
        <v>516</v>
      </c>
      <c r="T77" s="517">
        <v>44901.0</v>
      </c>
      <c r="U77" s="516" t="s">
        <v>516</v>
      </c>
      <c r="V77" s="516" t="s">
        <v>516</v>
      </c>
      <c r="W77" s="516" t="s">
        <v>516</v>
      </c>
      <c r="X77" s="526"/>
      <c r="Y77" s="512" t="s">
        <v>945</v>
      </c>
      <c r="Z77" s="516" t="s">
        <v>516</v>
      </c>
    </row>
    <row r="78" ht="14.25" customHeight="1">
      <c r="A78" s="511">
        <v>75.0</v>
      </c>
      <c r="B78" s="512" t="s">
        <v>951</v>
      </c>
      <c r="C78" s="514" t="s">
        <v>962</v>
      </c>
      <c r="D78" s="514" t="s">
        <v>1192</v>
      </c>
      <c r="E78" s="514" t="s">
        <v>1185</v>
      </c>
      <c r="F78" s="515">
        <v>16.0</v>
      </c>
      <c r="G78" s="512" t="s">
        <v>935</v>
      </c>
      <c r="H78" s="516" t="s">
        <v>1186</v>
      </c>
      <c r="I78" s="512" t="s">
        <v>937</v>
      </c>
      <c r="J78" s="512" t="s">
        <v>969</v>
      </c>
      <c r="K78" s="512" t="s">
        <v>938</v>
      </c>
      <c r="L78" s="517">
        <v>44901.0</v>
      </c>
      <c r="M78" s="514" t="s">
        <v>990</v>
      </c>
      <c r="N78" s="516" t="s">
        <v>516</v>
      </c>
      <c r="O78" s="514" t="s">
        <v>894</v>
      </c>
      <c r="P78" s="514" t="s">
        <v>705</v>
      </c>
      <c r="Q78" s="516" t="s">
        <v>516</v>
      </c>
      <c r="R78" s="516" t="s">
        <v>516</v>
      </c>
      <c r="S78" s="516" t="s">
        <v>516</v>
      </c>
      <c r="T78" s="517">
        <v>44901.0</v>
      </c>
      <c r="U78" s="516" t="s">
        <v>516</v>
      </c>
      <c r="V78" s="516" t="s">
        <v>516</v>
      </c>
      <c r="W78" s="516" t="s">
        <v>516</v>
      </c>
      <c r="X78" s="526"/>
      <c r="Y78" s="512" t="s">
        <v>945</v>
      </c>
      <c r="Z78" s="516" t="s">
        <v>516</v>
      </c>
    </row>
    <row r="79" ht="14.25" customHeight="1">
      <c r="A79" s="511">
        <v>76.0</v>
      </c>
      <c r="B79" s="512" t="s">
        <v>951</v>
      </c>
      <c r="C79" s="514" t="s">
        <v>962</v>
      </c>
      <c r="D79" s="514" t="s">
        <v>307</v>
      </c>
      <c r="E79" s="514" t="s">
        <v>1185</v>
      </c>
      <c r="F79" s="515">
        <v>16.0</v>
      </c>
      <c r="G79" s="512" t="s">
        <v>935</v>
      </c>
      <c r="H79" s="516" t="s">
        <v>936</v>
      </c>
      <c r="I79" s="512" t="s">
        <v>937</v>
      </c>
      <c r="J79" s="512" t="s">
        <v>969</v>
      </c>
      <c r="K79" s="512" t="s">
        <v>938</v>
      </c>
      <c r="L79" s="517">
        <v>44880.0</v>
      </c>
      <c r="M79" s="514" t="s">
        <v>990</v>
      </c>
      <c r="N79" s="512" t="s">
        <v>1193</v>
      </c>
      <c r="O79" s="514" t="s">
        <v>463</v>
      </c>
      <c r="P79" s="514" t="s">
        <v>464</v>
      </c>
      <c r="Q79" s="516" t="s">
        <v>1002</v>
      </c>
      <c r="R79" s="512" t="s">
        <v>648</v>
      </c>
      <c r="S79" s="512" t="s">
        <v>975</v>
      </c>
      <c r="T79" s="517">
        <v>44880.0</v>
      </c>
      <c r="U79" s="512" t="s">
        <v>976</v>
      </c>
      <c r="V79" s="516" t="s">
        <v>945</v>
      </c>
      <c r="W79" s="512" t="s">
        <v>240</v>
      </c>
      <c r="X79" s="526"/>
      <c r="Y79" s="512" t="s">
        <v>945</v>
      </c>
      <c r="Z79" s="519" t="s">
        <v>1194</v>
      </c>
    </row>
    <row r="80" ht="14.25" customHeight="1">
      <c r="A80" s="511">
        <v>77.0</v>
      </c>
      <c r="B80" s="512" t="s">
        <v>951</v>
      </c>
      <c r="C80" s="514" t="s">
        <v>962</v>
      </c>
      <c r="D80" s="514" t="s">
        <v>1195</v>
      </c>
      <c r="E80" s="514" t="s">
        <v>1185</v>
      </c>
      <c r="F80" s="515">
        <v>16.0</v>
      </c>
      <c r="G80" s="512" t="s">
        <v>935</v>
      </c>
      <c r="H80" s="516" t="s">
        <v>1186</v>
      </c>
      <c r="I80" s="512" t="s">
        <v>937</v>
      </c>
      <c r="J80" s="512" t="s">
        <v>969</v>
      </c>
      <c r="K80" s="512" t="s">
        <v>938</v>
      </c>
      <c r="L80" s="517">
        <v>43998.0</v>
      </c>
      <c r="M80" s="514" t="s">
        <v>990</v>
      </c>
      <c r="N80" s="516" t="s">
        <v>516</v>
      </c>
      <c r="O80" s="514" t="s">
        <v>1196</v>
      </c>
      <c r="P80" s="514" t="s">
        <v>1197</v>
      </c>
      <c r="Q80" s="516" t="s">
        <v>516</v>
      </c>
      <c r="R80" s="516" t="s">
        <v>516</v>
      </c>
      <c r="S80" s="516" t="s">
        <v>516</v>
      </c>
      <c r="T80" s="517">
        <v>43998.0</v>
      </c>
      <c r="U80" s="516" t="s">
        <v>516</v>
      </c>
      <c r="V80" s="516" t="s">
        <v>516</v>
      </c>
      <c r="W80" s="516" t="s">
        <v>516</v>
      </c>
      <c r="X80" s="526"/>
      <c r="Y80" s="512" t="s">
        <v>945</v>
      </c>
      <c r="Z80" s="516" t="s">
        <v>516</v>
      </c>
    </row>
    <row r="81" ht="14.25" customHeight="1">
      <c r="A81" s="511">
        <v>78.0</v>
      </c>
      <c r="B81" s="512" t="s">
        <v>951</v>
      </c>
      <c r="C81" s="514" t="s">
        <v>962</v>
      </c>
      <c r="D81" s="514" t="s">
        <v>306</v>
      </c>
      <c r="E81" s="514" t="s">
        <v>1185</v>
      </c>
      <c r="F81" s="515">
        <v>16.0</v>
      </c>
      <c r="G81" s="512" t="s">
        <v>935</v>
      </c>
      <c r="H81" s="516" t="s">
        <v>936</v>
      </c>
      <c r="I81" s="512" t="s">
        <v>937</v>
      </c>
      <c r="J81" s="512" t="s">
        <v>969</v>
      </c>
      <c r="K81" s="512" t="s">
        <v>938</v>
      </c>
      <c r="L81" s="517">
        <v>44879.0</v>
      </c>
      <c r="M81" s="514" t="s">
        <v>990</v>
      </c>
      <c r="N81" s="512" t="s">
        <v>1193</v>
      </c>
      <c r="O81" s="514" t="s">
        <v>880</v>
      </c>
      <c r="P81" s="514" t="s">
        <v>461</v>
      </c>
      <c r="Q81" s="516" t="s">
        <v>1002</v>
      </c>
      <c r="R81" s="512" t="s">
        <v>648</v>
      </c>
      <c r="S81" s="512" t="s">
        <v>975</v>
      </c>
      <c r="T81" s="517">
        <v>44879.0</v>
      </c>
      <c r="U81" s="512" t="s">
        <v>976</v>
      </c>
      <c r="V81" s="516" t="s">
        <v>945</v>
      </c>
      <c r="W81" s="512" t="s">
        <v>240</v>
      </c>
      <c r="X81" s="521" t="s">
        <v>1005</v>
      </c>
      <c r="Y81" s="512" t="s">
        <v>945</v>
      </c>
      <c r="Z81" s="519" t="s">
        <v>1198</v>
      </c>
    </row>
    <row r="82" ht="14.25" customHeight="1">
      <c r="A82" s="511">
        <v>79.0</v>
      </c>
      <c r="B82" s="512" t="s">
        <v>951</v>
      </c>
      <c r="C82" s="514" t="s">
        <v>962</v>
      </c>
      <c r="D82" s="514" t="s">
        <v>305</v>
      </c>
      <c r="E82" s="514" t="s">
        <v>1185</v>
      </c>
      <c r="F82" s="515">
        <v>24.0</v>
      </c>
      <c r="G82" s="512" t="s">
        <v>935</v>
      </c>
      <c r="H82" s="516" t="s">
        <v>936</v>
      </c>
      <c r="I82" s="512" t="s">
        <v>937</v>
      </c>
      <c r="J82" s="512" t="s">
        <v>969</v>
      </c>
      <c r="K82" s="512" t="s">
        <v>938</v>
      </c>
      <c r="L82" s="517">
        <v>44833.0</v>
      </c>
      <c r="M82" s="514" t="s">
        <v>990</v>
      </c>
      <c r="N82" s="512" t="s">
        <v>1199</v>
      </c>
      <c r="O82" s="514" t="s">
        <v>460</v>
      </c>
      <c r="P82" s="514" t="s">
        <v>879</v>
      </c>
      <c r="Q82" s="516" t="s">
        <v>1002</v>
      </c>
      <c r="R82" s="512" t="s">
        <v>657</v>
      </c>
      <c r="S82" s="512" t="s">
        <v>975</v>
      </c>
      <c r="T82" s="517">
        <v>41137.0</v>
      </c>
      <c r="U82" s="512" t="s">
        <v>976</v>
      </c>
      <c r="V82" s="516" t="s">
        <v>945</v>
      </c>
      <c r="W82" s="512" t="s">
        <v>153</v>
      </c>
      <c r="X82" s="518" t="s">
        <v>946</v>
      </c>
      <c r="Y82" s="512" t="s">
        <v>945</v>
      </c>
      <c r="Z82" s="519" t="s">
        <v>1201</v>
      </c>
    </row>
    <row r="83" ht="14.25" customHeight="1">
      <c r="A83" s="511">
        <v>80.0</v>
      </c>
      <c r="B83" s="512" t="s">
        <v>951</v>
      </c>
      <c r="C83" s="514" t="s">
        <v>962</v>
      </c>
      <c r="D83" s="514" t="s">
        <v>295</v>
      </c>
      <c r="E83" s="514" t="s">
        <v>1202</v>
      </c>
      <c r="F83" s="515">
        <v>24.0</v>
      </c>
      <c r="G83" s="512" t="s">
        <v>935</v>
      </c>
      <c r="H83" s="516" t="s">
        <v>936</v>
      </c>
      <c r="I83" s="512" t="s">
        <v>937</v>
      </c>
      <c r="J83" s="512" t="s">
        <v>969</v>
      </c>
      <c r="K83" s="512" t="s">
        <v>938</v>
      </c>
      <c r="L83" s="517">
        <v>45387.0</v>
      </c>
      <c r="M83" s="514" t="s">
        <v>990</v>
      </c>
      <c r="N83" s="512" t="s">
        <v>1040</v>
      </c>
      <c r="O83" s="512" t="s">
        <v>417</v>
      </c>
      <c r="P83" s="512" t="s">
        <v>418</v>
      </c>
      <c r="Q83" s="516" t="s">
        <v>1002</v>
      </c>
      <c r="R83" s="512" t="s">
        <v>657</v>
      </c>
      <c r="S83" s="512" t="s">
        <v>975</v>
      </c>
      <c r="T83" s="517">
        <v>45387.0</v>
      </c>
      <c r="U83" s="512" t="s">
        <v>976</v>
      </c>
      <c r="V83" s="516" t="s">
        <v>945</v>
      </c>
      <c r="W83" s="512" t="s">
        <v>153</v>
      </c>
      <c r="X83" s="518" t="s">
        <v>946</v>
      </c>
      <c r="Y83" s="512" t="s">
        <v>945</v>
      </c>
      <c r="Z83" s="519" t="s">
        <v>1203</v>
      </c>
    </row>
    <row r="84" ht="14.25" customHeight="1">
      <c r="A84" s="511">
        <v>81.0</v>
      </c>
      <c r="B84" s="512" t="s">
        <v>951</v>
      </c>
      <c r="C84" s="514" t="s">
        <v>962</v>
      </c>
      <c r="D84" s="514" t="s">
        <v>297</v>
      </c>
      <c r="E84" s="514" t="s">
        <v>1202</v>
      </c>
      <c r="F84" s="515">
        <v>24.0</v>
      </c>
      <c r="G84" s="512" t="s">
        <v>935</v>
      </c>
      <c r="H84" s="516" t="s">
        <v>936</v>
      </c>
      <c r="I84" s="512" t="s">
        <v>937</v>
      </c>
      <c r="J84" s="512" t="s">
        <v>969</v>
      </c>
      <c r="K84" s="512" t="s">
        <v>938</v>
      </c>
      <c r="L84" s="517">
        <v>45387.0</v>
      </c>
      <c r="M84" s="514" t="s">
        <v>990</v>
      </c>
      <c r="N84" s="512" t="s">
        <v>1040</v>
      </c>
      <c r="O84" s="512" t="s">
        <v>420</v>
      </c>
      <c r="P84" s="512" t="s">
        <v>1204</v>
      </c>
      <c r="Q84" s="516" t="s">
        <v>1002</v>
      </c>
      <c r="R84" s="512" t="s">
        <v>657</v>
      </c>
      <c r="S84" s="512" t="s">
        <v>975</v>
      </c>
      <c r="T84" s="517">
        <v>45387.0</v>
      </c>
      <c r="U84" s="512" t="s">
        <v>976</v>
      </c>
      <c r="V84" s="516" t="s">
        <v>945</v>
      </c>
      <c r="W84" s="512" t="s">
        <v>153</v>
      </c>
      <c r="X84" s="518" t="s">
        <v>946</v>
      </c>
      <c r="Y84" s="512" t="s">
        <v>945</v>
      </c>
      <c r="Z84" s="519" t="s">
        <v>1205</v>
      </c>
    </row>
    <row r="85" ht="14.25" customHeight="1">
      <c r="A85" s="511">
        <v>82.0</v>
      </c>
      <c r="B85" s="512" t="s">
        <v>951</v>
      </c>
      <c r="C85" s="514" t="s">
        <v>962</v>
      </c>
      <c r="D85" s="514" t="s">
        <v>287</v>
      </c>
      <c r="E85" s="514" t="s">
        <v>1202</v>
      </c>
      <c r="F85" s="515">
        <v>16.0</v>
      </c>
      <c r="G85" s="512" t="s">
        <v>935</v>
      </c>
      <c r="H85" s="516" t="s">
        <v>936</v>
      </c>
      <c r="I85" s="512" t="s">
        <v>937</v>
      </c>
      <c r="J85" s="512" t="s">
        <v>969</v>
      </c>
      <c r="K85" s="512" t="s">
        <v>938</v>
      </c>
      <c r="L85" s="517">
        <v>45387.0</v>
      </c>
      <c r="M85" s="514" t="s">
        <v>990</v>
      </c>
      <c r="N85" s="512" t="s">
        <v>1050</v>
      </c>
      <c r="O85" s="512" t="s">
        <v>413</v>
      </c>
      <c r="P85" s="512" t="s">
        <v>1206</v>
      </c>
      <c r="Q85" s="516" t="s">
        <v>1002</v>
      </c>
      <c r="R85" s="512" t="s">
        <v>657</v>
      </c>
      <c r="S85" s="512" t="s">
        <v>1004</v>
      </c>
      <c r="T85" s="517">
        <v>45387.0</v>
      </c>
      <c r="U85" s="512" t="s">
        <v>976</v>
      </c>
      <c r="V85" s="516" t="s">
        <v>945</v>
      </c>
      <c r="W85" s="512" t="s">
        <v>240</v>
      </c>
      <c r="X85" s="521" t="s">
        <v>1005</v>
      </c>
      <c r="Y85" s="512" t="s">
        <v>945</v>
      </c>
      <c r="Z85" s="519" t="s">
        <v>1207</v>
      </c>
    </row>
    <row r="86" ht="14.25" customHeight="1">
      <c r="A86" s="511">
        <v>83.0</v>
      </c>
      <c r="B86" s="512" t="s">
        <v>951</v>
      </c>
      <c r="C86" s="514" t="s">
        <v>962</v>
      </c>
      <c r="D86" s="514" t="s">
        <v>294</v>
      </c>
      <c r="E86" s="514" t="s">
        <v>1202</v>
      </c>
      <c r="F86" s="515">
        <v>16.0</v>
      </c>
      <c r="G86" s="512" t="s">
        <v>935</v>
      </c>
      <c r="H86" s="516" t="s">
        <v>936</v>
      </c>
      <c r="I86" s="512" t="s">
        <v>937</v>
      </c>
      <c r="J86" s="512" t="s">
        <v>969</v>
      </c>
      <c r="K86" s="512" t="s">
        <v>938</v>
      </c>
      <c r="L86" s="517">
        <v>45275.0</v>
      </c>
      <c r="M86" s="514" t="s">
        <v>990</v>
      </c>
      <c r="N86" s="512" t="s">
        <v>1058</v>
      </c>
      <c r="O86" s="514" t="s">
        <v>1208</v>
      </c>
      <c r="P86" s="514" t="s">
        <v>410</v>
      </c>
      <c r="Q86" s="516" t="s">
        <v>1002</v>
      </c>
      <c r="R86" s="512" t="s">
        <v>657</v>
      </c>
      <c r="S86" s="512" t="s">
        <v>1004</v>
      </c>
      <c r="T86" s="517">
        <v>45275.0</v>
      </c>
      <c r="U86" s="512" t="s">
        <v>976</v>
      </c>
      <c r="V86" s="516" t="s">
        <v>945</v>
      </c>
      <c r="W86" s="512" t="s">
        <v>240</v>
      </c>
      <c r="X86" s="521" t="s">
        <v>1005</v>
      </c>
      <c r="Y86" s="512" t="s">
        <v>945</v>
      </c>
      <c r="Z86" s="519" t="s">
        <v>1209</v>
      </c>
    </row>
    <row r="87" ht="14.25" customHeight="1">
      <c r="A87" s="511">
        <v>84.0</v>
      </c>
      <c r="B87" s="512" t="s">
        <v>951</v>
      </c>
      <c r="C87" s="514" t="s">
        <v>962</v>
      </c>
      <c r="D87" s="514" t="s">
        <v>293</v>
      </c>
      <c r="E87" s="514" t="s">
        <v>1202</v>
      </c>
      <c r="F87" s="515">
        <v>16.0</v>
      </c>
      <c r="G87" s="512" t="s">
        <v>935</v>
      </c>
      <c r="H87" s="516" t="s">
        <v>936</v>
      </c>
      <c r="I87" s="512" t="s">
        <v>937</v>
      </c>
      <c r="J87" s="512" t="s">
        <v>969</v>
      </c>
      <c r="K87" s="512" t="s">
        <v>938</v>
      </c>
      <c r="L87" s="517">
        <v>45275.0</v>
      </c>
      <c r="M87" s="514" t="s">
        <v>990</v>
      </c>
      <c r="N87" s="512" t="s">
        <v>1058</v>
      </c>
      <c r="O87" s="514" t="s">
        <v>1210</v>
      </c>
      <c r="P87" s="514" t="s">
        <v>407</v>
      </c>
      <c r="Q87" s="516" t="s">
        <v>1002</v>
      </c>
      <c r="R87" s="512" t="s">
        <v>657</v>
      </c>
      <c r="S87" s="512" t="s">
        <v>1004</v>
      </c>
      <c r="T87" s="517">
        <v>45275.0</v>
      </c>
      <c r="U87" s="512" t="s">
        <v>976</v>
      </c>
      <c r="V87" s="516" t="s">
        <v>945</v>
      </c>
      <c r="W87" s="512" t="s">
        <v>240</v>
      </c>
      <c r="X87" s="521" t="s">
        <v>1005</v>
      </c>
      <c r="Y87" s="512" t="s">
        <v>945</v>
      </c>
      <c r="Z87" s="519" t="s">
        <v>1211</v>
      </c>
    </row>
    <row r="88" ht="14.25" customHeight="1">
      <c r="A88" s="511">
        <v>85.0</v>
      </c>
      <c r="B88" s="512" t="s">
        <v>951</v>
      </c>
      <c r="C88" s="514" t="s">
        <v>962</v>
      </c>
      <c r="D88" s="514" t="s">
        <v>202</v>
      </c>
      <c r="E88" s="514" t="s">
        <v>105</v>
      </c>
      <c r="F88" s="515">
        <v>16.0</v>
      </c>
      <c r="G88" s="512" t="s">
        <v>935</v>
      </c>
      <c r="H88" s="516" t="s">
        <v>936</v>
      </c>
      <c r="I88" s="512" t="s">
        <v>937</v>
      </c>
      <c r="J88" s="512" t="s">
        <v>969</v>
      </c>
      <c r="K88" s="512" t="s">
        <v>938</v>
      </c>
      <c r="L88" s="517" t="s">
        <v>938</v>
      </c>
      <c r="M88" s="514" t="s">
        <v>467</v>
      </c>
      <c r="N88" s="512" t="s">
        <v>1187</v>
      </c>
      <c r="O88" s="514" t="s">
        <v>475</v>
      </c>
      <c r="P88" s="514" t="s">
        <v>1212</v>
      </c>
      <c r="Q88" s="516" t="s">
        <v>1002</v>
      </c>
      <c r="R88" s="512" t="s">
        <v>657</v>
      </c>
      <c r="S88" s="512" t="s">
        <v>1004</v>
      </c>
      <c r="T88" s="517">
        <v>45097.0</v>
      </c>
      <c r="U88" s="512" t="s">
        <v>976</v>
      </c>
      <c r="V88" s="516" t="s">
        <v>945</v>
      </c>
      <c r="W88" s="512" t="s">
        <v>240</v>
      </c>
      <c r="X88" s="521" t="s">
        <v>1005</v>
      </c>
      <c r="Y88" s="512" t="s">
        <v>945</v>
      </c>
      <c r="Z88" s="519" t="s">
        <v>1213</v>
      </c>
    </row>
    <row r="89" ht="14.25" customHeight="1">
      <c r="A89" s="511">
        <v>86.0</v>
      </c>
      <c r="B89" s="512" t="s">
        <v>951</v>
      </c>
      <c r="C89" s="514" t="s">
        <v>962</v>
      </c>
      <c r="D89" s="514" t="s">
        <v>196</v>
      </c>
      <c r="E89" s="514" t="s">
        <v>105</v>
      </c>
      <c r="F89" s="515">
        <v>24.0</v>
      </c>
      <c r="G89" s="512" t="s">
        <v>935</v>
      </c>
      <c r="H89" s="516" t="s">
        <v>936</v>
      </c>
      <c r="I89" s="512" t="s">
        <v>937</v>
      </c>
      <c r="J89" s="512" t="s">
        <v>969</v>
      </c>
      <c r="K89" s="512" t="s">
        <v>938</v>
      </c>
      <c r="L89" s="517">
        <v>44956.0</v>
      </c>
      <c r="M89" s="514" t="s">
        <v>467</v>
      </c>
      <c r="N89" s="512" t="s">
        <v>1215</v>
      </c>
      <c r="O89" s="514" t="s">
        <v>1216</v>
      </c>
      <c r="P89" s="514" t="s">
        <v>482</v>
      </c>
      <c r="Q89" s="516" t="s">
        <v>1002</v>
      </c>
      <c r="R89" s="512" t="s">
        <v>1003</v>
      </c>
      <c r="S89" s="512" t="s">
        <v>975</v>
      </c>
      <c r="T89" s="517">
        <v>40891.0</v>
      </c>
      <c r="U89" s="512" t="s">
        <v>976</v>
      </c>
      <c r="V89" s="516" t="s">
        <v>945</v>
      </c>
      <c r="W89" s="512" t="s">
        <v>153</v>
      </c>
      <c r="X89" s="518" t="s">
        <v>946</v>
      </c>
      <c r="Y89" s="512" t="s">
        <v>945</v>
      </c>
      <c r="Z89" s="519" t="s">
        <v>1217</v>
      </c>
    </row>
    <row r="90" ht="14.25" customHeight="1">
      <c r="A90" s="511">
        <v>87.0</v>
      </c>
      <c r="B90" s="512" t="s">
        <v>951</v>
      </c>
      <c r="C90" s="514" t="s">
        <v>962</v>
      </c>
      <c r="D90" s="514" t="s">
        <v>1218</v>
      </c>
      <c r="E90" s="514" t="s">
        <v>133</v>
      </c>
      <c r="F90" s="515">
        <v>24.0</v>
      </c>
      <c r="G90" s="512" t="s">
        <v>935</v>
      </c>
      <c r="H90" s="516" t="s">
        <v>936</v>
      </c>
      <c r="I90" s="512" t="s">
        <v>937</v>
      </c>
      <c r="J90" s="512" t="s">
        <v>969</v>
      </c>
      <c r="K90" s="512" t="s">
        <v>938</v>
      </c>
      <c r="L90" s="517">
        <v>45819.0</v>
      </c>
      <c r="M90" s="514" t="s">
        <v>467</v>
      </c>
      <c r="N90" s="512" t="s">
        <v>1219</v>
      </c>
      <c r="O90" s="514" t="s">
        <v>624</v>
      </c>
      <c r="P90" s="514" t="s">
        <v>1220</v>
      </c>
      <c r="Q90" s="516" t="s">
        <v>1002</v>
      </c>
      <c r="R90" s="512" t="s">
        <v>1100</v>
      </c>
      <c r="S90" s="512" t="s">
        <v>975</v>
      </c>
      <c r="T90" s="517">
        <v>45819.0</v>
      </c>
      <c r="U90" s="512" t="s">
        <v>976</v>
      </c>
      <c r="V90" s="516" t="s">
        <v>945</v>
      </c>
      <c r="W90" s="512" t="s">
        <v>153</v>
      </c>
      <c r="X90" s="518" t="s">
        <v>946</v>
      </c>
      <c r="Y90" s="512" t="s">
        <v>945</v>
      </c>
      <c r="Z90" s="519" t="s">
        <v>516</v>
      </c>
    </row>
    <row r="91" ht="14.25" customHeight="1">
      <c r="A91" s="511">
        <v>88.0</v>
      </c>
      <c r="B91" s="512" t="s">
        <v>951</v>
      </c>
      <c r="C91" s="514" t="s">
        <v>962</v>
      </c>
      <c r="D91" s="514" t="s">
        <v>1221</v>
      </c>
      <c r="E91" s="514" t="s">
        <v>133</v>
      </c>
      <c r="F91" s="515">
        <v>24.0</v>
      </c>
      <c r="G91" s="512" t="s">
        <v>935</v>
      </c>
      <c r="H91" s="516" t="s">
        <v>936</v>
      </c>
      <c r="I91" s="512" t="s">
        <v>937</v>
      </c>
      <c r="J91" s="512" t="s">
        <v>969</v>
      </c>
      <c r="K91" s="512" t="s">
        <v>938</v>
      </c>
      <c r="L91" s="517">
        <v>45842.0</v>
      </c>
      <c r="M91" s="514" t="s">
        <v>467</v>
      </c>
      <c r="N91" s="512" t="s">
        <v>1219</v>
      </c>
      <c r="O91" s="514" t="s">
        <v>627</v>
      </c>
      <c r="P91" s="514" t="s">
        <v>1222</v>
      </c>
      <c r="Q91" s="516" t="s">
        <v>1002</v>
      </c>
      <c r="R91" s="512" t="s">
        <v>1100</v>
      </c>
      <c r="S91" s="512" t="s">
        <v>975</v>
      </c>
      <c r="T91" s="517">
        <v>45842.0</v>
      </c>
      <c r="U91" s="512" t="s">
        <v>976</v>
      </c>
      <c r="V91" s="516" t="s">
        <v>945</v>
      </c>
      <c r="W91" s="512" t="s">
        <v>153</v>
      </c>
      <c r="X91" s="518" t="s">
        <v>946</v>
      </c>
      <c r="Y91" s="512" t="s">
        <v>945</v>
      </c>
      <c r="Z91" s="519" t="s">
        <v>516</v>
      </c>
    </row>
    <row r="92" ht="14.25" customHeight="1">
      <c r="A92" s="511">
        <v>89.0</v>
      </c>
      <c r="B92" s="512" t="s">
        <v>951</v>
      </c>
      <c r="C92" s="514" t="s">
        <v>962</v>
      </c>
      <c r="D92" s="514" t="s">
        <v>208</v>
      </c>
      <c r="E92" s="514" t="s">
        <v>39</v>
      </c>
      <c r="F92" s="515">
        <v>16.0</v>
      </c>
      <c r="G92" s="512" t="s">
        <v>935</v>
      </c>
      <c r="H92" s="516" t="s">
        <v>936</v>
      </c>
      <c r="I92" s="512" t="s">
        <v>937</v>
      </c>
      <c r="J92" s="512" t="s">
        <v>969</v>
      </c>
      <c r="K92" s="512" t="s">
        <v>938</v>
      </c>
      <c r="L92" s="517">
        <v>43224.0</v>
      </c>
      <c r="M92" s="514" t="s">
        <v>990</v>
      </c>
      <c r="N92" s="512" t="s">
        <v>1223</v>
      </c>
      <c r="O92" s="514" t="s">
        <v>330</v>
      </c>
      <c r="P92" s="514" t="s">
        <v>331</v>
      </c>
      <c r="Q92" s="516" t="s">
        <v>945</v>
      </c>
      <c r="R92" s="512" t="s">
        <v>648</v>
      </c>
      <c r="S92" s="512" t="s">
        <v>1004</v>
      </c>
      <c r="T92" s="517">
        <v>43224.0</v>
      </c>
      <c r="U92" s="512" t="s">
        <v>976</v>
      </c>
      <c r="V92" s="516" t="s">
        <v>1131</v>
      </c>
      <c r="W92" s="512" t="s">
        <v>240</v>
      </c>
      <c r="X92" s="521" t="s">
        <v>1005</v>
      </c>
      <c r="Y92" s="512" t="s">
        <v>945</v>
      </c>
      <c r="Z92" s="519" t="s">
        <v>516</v>
      </c>
    </row>
    <row r="93" ht="14.25" customHeight="1">
      <c r="A93" s="511">
        <v>90.0</v>
      </c>
      <c r="B93" s="512" t="s">
        <v>951</v>
      </c>
      <c r="C93" s="514" t="s">
        <v>962</v>
      </c>
      <c r="D93" s="514" t="s">
        <v>275</v>
      </c>
      <c r="E93" s="514" t="s">
        <v>1224</v>
      </c>
      <c r="F93" s="515">
        <v>16.0</v>
      </c>
      <c r="G93" s="512" t="s">
        <v>935</v>
      </c>
      <c r="H93" s="516" t="s">
        <v>936</v>
      </c>
      <c r="I93" s="512" t="s">
        <v>937</v>
      </c>
      <c r="J93" s="512" t="s">
        <v>969</v>
      </c>
      <c r="K93" s="512" t="s">
        <v>938</v>
      </c>
      <c r="L93" s="517">
        <v>43346.0</v>
      </c>
      <c r="M93" s="514" t="s">
        <v>467</v>
      </c>
      <c r="N93" s="512" t="s">
        <v>1225</v>
      </c>
      <c r="O93" s="514" t="s">
        <v>535</v>
      </c>
      <c r="P93" s="514" t="s">
        <v>536</v>
      </c>
      <c r="Q93" s="516" t="s">
        <v>945</v>
      </c>
      <c r="R93" s="512" t="s">
        <v>648</v>
      </c>
      <c r="S93" s="512" t="s">
        <v>1004</v>
      </c>
      <c r="T93" s="517">
        <v>43346.0</v>
      </c>
      <c r="U93" s="512" t="s">
        <v>1071</v>
      </c>
      <c r="V93" s="516" t="s">
        <v>1131</v>
      </c>
      <c r="W93" s="512" t="s">
        <v>240</v>
      </c>
      <c r="X93" s="521" t="s">
        <v>1005</v>
      </c>
      <c r="Y93" s="512" t="s">
        <v>945</v>
      </c>
      <c r="Z93" s="519" t="s">
        <v>1226</v>
      </c>
    </row>
    <row r="94" ht="14.25" customHeight="1">
      <c r="A94" s="511">
        <v>91.0</v>
      </c>
      <c r="B94" s="512" t="s">
        <v>951</v>
      </c>
      <c r="C94" s="514" t="s">
        <v>962</v>
      </c>
      <c r="D94" s="514" t="s">
        <v>207</v>
      </c>
      <c r="E94" s="514" t="s">
        <v>142</v>
      </c>
      <c r="F94" s="515">
        <v>16.0</v>
      </c>
      <c r="G94" s="512" t="s">
        <v>935</v>
      </c>
      <c r="H94" s="516" t="s">
        <v>936</v>
      </c>
      <c r="I94" s="512" t="s">
        <v>937</v>
      </c>
      <c r="J94" s="512" t="s">
        <v>969</v>
      </c>
      <c r="K94" s="512" t="s">
        <v>938</v>
      </c>
      <c r="L94" s="517">
        <v>42813.0</v>
      </c>
      <c r="M94" s="514" t="s">
        <v>971</v>
      </c>
      <c r="N94" s="512" t="s">
        <v>1227</v>
      </c>
      <c r="O94" s="514" t="s">
        <v>1228</v>
      </c>
      <c r="P94" s="514" t="s">
        <v>631</v>
      </c>
      <c r="Q94" s="516" t="s">
        <v>945</v>
      </c>
      <c r="R94" s="512" t="s">
        <v>648</v>
      </c>
      <c r="S94" s="512" t="s">
        <v>1004</v>
      </c>
      <c r="T94" s="517">
        <v>42813.0</v>
      </c>
      <c r="U94" s="512" t="s">
        <v>976</v>
      </c>
      <c r="V94" s="516" t="s">
        <v>1131</v>
      </c>
      <c r="W94" s="512" t="s">
        <v>240</v>
      </c>
      <c r="X94" s="521" t="s">
        <v>1005</v>
      </c>
      <c r="Y94" s="512" t="s">
        <v>945</v>
      </c>
      <c r="Z94" s="519" t="s">
        <v>516</v>
      </c>
    </row>
    <row r="95" ht="14.25" customHeight="1">
      <c r="A95" s="511">
        <v>92.0</v>
      </c>
      <c r="B95" s="512" t="s">
        <v>951</v>
      </c>
      <c r="C95" s="514" t="s">
        <v>962</v>
      </c>
      <c r="D95" s="514" t="s">
        <v>214</v>
      </c>
      <c r="E95" s="514" t="s">
        <v>142</v>
      </c>
      <c r="F95" s="515">
        <v>16.0</v>
      </c>
      <c r="G95" s="512" t="s">
        <v>935</v>
      </c>
      <c r="H95" s="516" t="s">
        <v>936</v>
      </c>
      <c r="I95" s="512" t="s">
        <v>937</v>
      </c>
      <c r="J95" s="512" t="s">
        <v>969</v>
      </c>
      <c r="K95" s="512" t="s">
        <v>938</v>
      </c>
      <c r="L95" s="517">
        <v>43762.0</v>
      </c>
      <c r="M95" s="514" t="s">
        <v>990</v>
      </c>
      <c r="N95" s="512" t="s">
        <v>1061</v>
      </c>
      <c r="O95" s="514" t="s">
        <v>643</v>
      </c>
      <c r="P95" s="514" t="s">
        <v>644</v>
      </c>
      <c r="Q95" s="516" t="s">
        <v>1002</v>
      </c>
      <c r="R95" s="512" t="s">
        <v>648</v>
      </c>
      <c r="S95" s="512" t="s">
        <v>1004</v>
      </c>
      <c r="T95" s="517">
        <v>43762.0</v>
      </c>
      <c r="U95" s="512" t="s">
        <v>976</v>
      </c>
      <c r="V95" s="516" t="s">
        <v>945</v>
      </c>
      <c r="W95" s="512" t="s">
        <v>240</v>
      </c>
      <c r="X95" s="521" t="s">
        <v>1005</v>
      </c>
      <c r="Y95" s="512" t="s">
        <v>945</v>
      </c>
      <c r="Z95" s="519" t="s">
        <v>516</v>
      </c>
    </row>
    <row r="96" ht="14.25" customHeight="1">
      <c r="A96" s="511">
        <v>93.0</v>
      </c>
      <c r="B96" s="512" t="s">
        <v>951</v>
      </c>
      <c r="C96" s="514" t="s">
        <v>962</v>
      </c>
      <c r="D96" s="514" t="s">
        <v>1230</v>
      </c>
      <c r="E96" s="514" t="s">
        <v>1185</v>
      </c>
      <c r="F96" s="515">
        <v>24.0</v>
      </c>
      <c r="G96" s="512" t="s">
        <v>935</v>
      </c>
      <c r="H96" s="516" t="s">
        <v>1186</v>
      </c>
      <c r="I96" s="512" t="s">
        <v>937</v>
      </c>
      <c r="J96" s="512" t="s">
        <v>969</v>
      </c>
      <c r="K96" s="512" t="s">
        <v>938</v>
      </c>
      <c r="L96" s="517">
        <v>44129.0</v>
      </c>
      <c r="M96" s="514" t="s">
        <v>990</v>
      </c>
      <c r="N96" s="516" t="s">
        <v>516</v>
      </c>
      <c r="O96" s="514" t="s">
        <v>1231</v>
      </c>
      <c r="P96" s="514" t="s">
        <v>1232</v>
      </c>
      <c r="Q96" s="516" t="s">
        <v>516</v>
      </c>
      <c r="R96" s="516" t="s">
        <v>516</v>
      </c>
      <c r="S96" s="516" t="s">
        <v>516</v>
      </c>
      <c r="T96" s="517">
        <v>40455.0</v>
      </c>
      <c r="U96" s="516" t="s">
        <v>516</v>
      </c>
      <c r="V96" s="516" t="s">
        <v>516</v>
      </c>
      <c r="W96" s="516" t="s">
        <v>516</v>
      </c>
      <c r="X96" s="526"/>
      <c r="Y96" s="512" t="s">
        <v>945</v>
      </c>
      <c r="Z96" s="516" t="s">
        <v>516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</sheetData>
  <mergeCells count="15">
    <mergeCell ref="H1:H2"/>
    <mergeCell ref="J1:J2"/>
    <mergeCell ref="M1:M2"/>
    <mergeCell ref="U1:U2"/>
    <mergeCell ref="W1:W2"/>
    <mergeCell ref="X1:X2"/>
    <mergeCell ref="Y1:Y2"/>
    <mergeCell ref="Z1:Z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C4:C96">
      <formula1>$R$2:$R$8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88"/>
    <col customWidth="1" min="2" max="2" width="18.63"/>
    <col customWidth="1" min="3" max="3" width="37.63"/>
    <col customWidth="1" min="4" max="4" width="25.5"/>
    <col customWidth="1" min="5" max="5" width="18.88"/>
    <col customWidth="1" min="6" max="7" width="18.63"/>
    <col customWidth="1" min="8" max="8" width="20.38"/>
    <col customWidth="1" min="9" max="9" width="18.63"/>
    <col customWidth="1" min="10" max="11" width="19.88"/>
    <col customWidth="1" min="12" max="12" width="36.75"/>
    <col customWidth="1" min="13" max="13" width="17.75"/>
    <col customWidth="1" min="14" max="19" width="22.5"/>
    <col customWidth="1" min="20" max="20" width="34.0"/>
    <col customWidth="1" min="21" max="22" width="18.13"/>
    <col customWidth="1" min="23" max="23" width="17.63"/>
    <col customWidth="1" min="24" max="33" width="18.63"/>
    <col customWidth="1" min="34" max="34" width="25.0"/>
    <col customWidth="1" min="35" max="35" width="31.13"/>
    <col customWidth="1" min="36" max="50" width="18.63"/>
    <col customWidth="1" min="51" max="51" width="24.75"/>
    <col customWidth="1" min="52" max="55" width="18.63"/>
  </cols>
  <sheetData>
    <row r="1">
      <c r="A1" s="510" t="s">
        <v>948</v>
      </c>
      <c r="B1" s="510" t="s">
        <v>949</v>
      </c>
      <c r="C1" s="510" t="s">
        <v>950</v>
      </c>
      <c r="D1" s="510" t="s">
        <v>952</v>
      </c>
      <c r="E1" s="510" t="s">
        <v>953</v>
      </c>
      <c r="F1" s="510" t="s">
        <v>954</v>
      </c>
      <c r="G1" s="510" t="s">
        <v>955</v>
      </c>
      <c r="H1" s="510" t="s">
        <v>956</v>
      </c>
      <c r="I1" s="510" t="s">
        <v>957</v>
      </c>
      <c r="J1" s="513" t="s">
        <v>958</v>
      </c>
      <c r="K1" s="510" t="s">
        <v>959</v>
      </c>
      <c r="L1" s="510" t="s">
        <v>960</v>
      </c>
      <c r="M1" s="510" t="s">
        <v>961</v>
      </c>
      <c r="N1" s="510" t="s">
        <v>963</v>
      </c>
      <c r="O1" s="510" t="s">
        <v>964</v>
      </c>
      <c r="P1" s="510" t="s">
        <v>965</v>
      </c>
      <c r="Q1" s="510" t="s">
        <v>966</v>
      </c>
      <c r="R1" s="510" t="s">
        <v>967</v>
      </c>
      <c r="S1" s="510" t="s">
        <v>968</v>
      </c>
      <c r="T1" s="510" t="s">
        <v>499</v>
      </c>
      <c r="U1" s="510" t="s">
        <v>970</v>
      </c>
      <c r="V1" s="510" t="s">
        <v>972</v>
      </c>
      <c r="W1" s="510" t="s">
        <v>974</v>
      </c>
      <c r="X1" s="510" t="s">
        <v>977</v>
      </c>
      <c r="Y1" s="510" t="s">
        <v>978</v>
      </c>
      <c r="Z1" s="510" t="s">
        <v>979</v>
      </c>
      <c r="AA1" s="510" t="s">
        <v>980</v>
      </c>
      <c r="AB1" s="510" t="s">
        <v>981</v>
      </c>
      <c r="AC1" s="510" t="s">
        <v>983</v>
      </c>
      <c r="AD1" s="510" t="s">
        <v>984</v>
      </c>
      <c r="AE1" s="510" t="s">
        <v>985</v>
      </c>
      <c r="AF1" s="510" t="s">
        <v>986</v>
      </c>
      <c r="AG1" s="510" t="s">
        <v>987</v>
      </c>
      <c r="AH1" s="510" t="s">
        <v>988</v>
      </c>
      <c r="AI1" s="510" t="s">
        <v>989</v>
      </c>
      <c r="AJ1" s="510" t="s">
        <v>992</v>
      </c>
      <c r="AK1" s="510" t="s">
        <v>993</v>
      </c>
      <c r="AL1" s="510" t="s">
        <v>994</v>
      </c>
      <c r="AM1" s="510" t="s">
        <v>995</v>
      </c>
      <c r="AN1" s="510" t="s">
        <v>996</v>
      </c>
      <c r="AO1" s="510" t="s">
        <v>997</v>
      </c>
      <c r="AP1" s="510" t="s">
        <v>998</v>
      </c>
      <c r="AQ1" s="520" t="s">
        <v>1001</v>
      </c>
      <c r="AR1" s="520" t="s">
        <v>1006</v>
      </c>
      <c r="AS1" s="522" t="s">
        <v>1008</v>
      </c>
      <c r="AT1" s="522" t="s">
        <v>1011</v>
      </c>
      <c r="AU1" s="522" t="s">
        <v>1013</v>
      </c>
      <c r="AV1" s="523" t="s">
        <v>1015</v>
      </c>
      <c r="AW1" s="522" t="s">
        <v>1017</v>
      </c>
      <c r="AX1" s="522" t="s">
        <v>1019</v>
      </c>
      <c r="AY1" s="522" t="s">
        <v>1021</v>
      </c>
      <c r="AZ1" s="522" t="s">
        <v>1022</v>
      </c>
      <c r="BA1" s="522" t="s">
        <v>1023</v>
      </c>
      <c r="BB1" s="522" t="s">
        <v>1025</v>
      </c>
      <c r="BC1" s="522" t="s">
        <v>1027</v>
      </c>
    </row>
    <row r="2" ht="15.0" hidden="1" customHeight="1">
      <c r="A2" s="524" t="s">
        <v>1029</v>
      </c>
      <c r="B2" s="524" t="s">
        <v>1032</v>
      </c>
      <c r="C2" s="524" t="s">
        <v>1041</v>
      </c>
      <c r="D2" s="524" t="s">
        <v>1044</v>
      </c>
      <c r="E2" s="524" t="s">
        <v>1045</v>
      </c>
      <c r="F2" s="524" t="s">
        <v>1049</v>
      </c>
      <c r="G2" s="524" t="s">
        <v>1053</v>
      </c>
      <c r="H2" s="524" t="s">
        <v>1057</v>
      </c>
      <c r="I2" s="524" t="s">
        <v>1062</v>
      </c>
      <c r="J2" s="524" t="s">
        <v>1063</v>
      </c>
      <c r="K2" s="524">
        <v>10.0</v>
      </c>
      <c r="L2" s="524" t="s">
        <v>1064</v>
      </c>
      <c r="M2" s="525">
        <v>45517.0</v>
      </c>
      <c r="N2" s="525">
        <v>45859.0</v>
      </c>
      <c r="O2" s="524" t="s">
        <v>1064</v>
      </c>
      <c r="P2" s="524" t="s">
        <v>1064</v>
      </c>
      <c r="Q2" s="524">
        <v>3.0</v>
      </c>
      <c r="R2" s="524" t="s">
        <v>1070</v>
      </c>
      <c r="S2" s="524" t="s">
        <v>1071</v>
      </c>
      <c r="T2" s="524" t="s">
        <v>1072</v>
      </c>
      <c r="U2" s="524">
        <v>37.0</v>
      </c>
      <c r="V2" s="524">
        <v>21.0</v>
      </c>
      <c r="W2" s="524" t="s">
        <v>1074</v>
      </c>
      <c r="X2" s="524" t="s">
        <v>942</v>
      </c>
      <c r="Y2" s="524" t="s">
        <v>942</v>
      </c>
      <c r="Z2" s="524" t="s">
        <v>1064</v>
      </c>
      <c r="AA2" s="524" t="s">
        <v>1080</v>
      </c>
      <c r="AB2" s="525">
        <v>46062.0</v>
      </c>
      <c r="AC2" s="524" t="s">
        <v>1085</v>
      </c>
      <c r="AD2" s="524" t="s">
        <v>1086</v>
      </c>
      <c r="AE2" s="524" t="s">
        <v>1088</v>
      </c>
      <c r="AF2" s="524" t="s">
        <v>1091</v>
      </c>
      <c r="AG2" s="524" t="s">
        <v>1093</v>
      </c>
      <c r="AH2" s="524" t="s">
        <v>1095</v>
      </c>
      <c r="AI2" s="524" t="s">
        <v>1096</v>
      </c>
      <c r="AJ2" s="524" t="s">
        <v>945</v>
      </c>
      <c r="AK2" s="524">
        <v>16.0</v>
      </c>
      <c r="AL2" s="524" t="s">
        <v>1091</v>
      </c>
      <c r="AM2" s="524">
        <v>8.0</v>
      </c>
      <c r="AN2" s="524" t="s">
        <v>975</v>
      </c>
      <c r="AO2" s="524">
        <v>8.293374726382E12</v>
      </c>
      <c r="AP2" s="524" t="s">
        <v>657</v>
      </c>
      <c r="AQ2" s="525">
        <v>46149.0</v>
      </c>
      <c r="AR2" s="525">
        <v>46155.0</v>
      </c>
      <c r="AS2" s="525">
        <v>46238.0</v>
      </c>
      <c r="AT2" s="525">
        <v>46349.0</v>
      </c>
      <c r="AU2" s="525">
        <v>46440.0</v>
      </c>
      <c r="AV2" s="525">
        <v>46428.0</v>
      </c>
      <c r="AW2" s="524" t="s">
        <v>1108</v>
      </c>
      <c r="AX2" s="525">
        <v>46212.0</v>
      </c>
      <c r="AY2" s="524">
        <v>8.213456789E9</v>
      </c>
      <c r="AZ2" s="524">
        <v>6.0</v>
      </c>
      <c r="BA2" s="527" t="s">
        <v>1112</v>
      </c>
      <c r="BB2" s="524">
        <v>4.0</v>
      </c>
      <c r="BC2" s="525">
        <v>46113.0</v>
      </c>
    </row>
    <row r="3">
      <c r="A3" s="528" t="s">
        <v>59</v>
      </c>
      <c r="B3" s="529" t="s">
        <v>1118</v>
      </c>
      <c r="C3" s="529" t="s">
        <v>179</v>
      </c>
      <c r="D3" s="529" t="s">
        <v>1044</v>
      </c>
      <c r="E3" s="530" t="s">
        <v>1045</v>
      </c>
      <c r="F3" s="529" t="s">
        <v>1122</v>
      </c>
      <c r="G3" s="529" t="s">
        <v>1123</v>
      </c>
      <c r="H3" s="529" t="s">
        <v>1124</v>
      </c>
      <c r="I3" s="530" t="s">
        <v>47</v>
      </c>
      <c r="J3" s="529" t="s">
        <v>1125</v>
      </c>
      <c r="K3" s="486">
        <v>280.0</v>
      </c>
      <c r="L3" s="530" t="s">
        <v>1126</v>
      </c>
      <c r="M3" s="531">
        <v>46007.0</v>
      </c>
      <c r="N3" s="531">
        <v>46007.0</v>
      </c>
      <c r="O3" s="529" t="s">
        <v>364</v>
      </c>
      <c r="P3" s="530" t="s">
        <v>365</v>
      </c>
      <c r="Q3" s="529">
        <v>4.0</v>
      </c>
      <c r="R3" s="529" t="s">
        <v>1128</v>
      </c>
      <c r="S3" s="529" t="s">
        <v>976</v>
      </c>
      <c r="T3" s="530" t="s">
        <v>1072</v>
      </c>
      <c r="U3" s="529">
        <v>380.0</v>
      </c>
      <c r="V3" s="529">
        <v>29.0</v>
      </c>
      <c r="W3" s="529" t="s">
        <v>1074</v>
      </c>
      <c r="X3" s="529" t="s">
        <v>942</v>
      </c>
      <c r="Y3" s="529" t="s">
        <v>942</v>
      </c>
      <c r="Z3" s="529" t="s">
        <v>702</v>
      </c>
      <c r="AA3" s="529" t="s">
        <v>699</v>
      </c>
      <c r="AB3" s="531">
        <v>46038.0</v>
      </c>
      <c r="AC3" s="529" t="s">
        <v>1085</v>
      </c>
      <c r="AD3" s="529" t="s">
        <v>1133</v>
      </c>
      <c r="AE3" s="529" t="s">
        <v>1134</v>
      </c>
      <c r="AF3" s="529" t="s">
        <v>1135</v>
      </c>
      <c r="AG3" s="529" t="s">
        <v>1136</v>
      </c>
      <c r="AH3" s="529" t="s">
        <v>1072</v>
      </c>
      <c r="AI3" s="529" t="s">
        <v>1072</v>
      </c>
      <c r="AJ3" s="529" t="s">
        <v>945</v>
      </c>
      <c r="AK3" s="529">
        <v>24.0</v>
      </c>
      <c r="AL3" s="529" t="s">
        <v>1138</v>
      </c>
      <c r="AM3" s="529">
        <v>3.0</v>
      </c>
      <c r="AN3" s="529" t="s">
        <v>975</v>
      </c>
      <c r="AO3" s="529">
        <v>42.0</v>
      </c>
      <c r="AP3" s="529" t="s">
        <v>648</v>
      </c>
      <c r="AQ3" s="531">
        <v>42354.0</v>
      </c>
      <c r="AR3" s="532">
        <v>47833.0</v>
      </c>
      <c r="AS3" s="532">
        <v>47833.0</v>
      </c>
      <c r="AT3" s="532">
        <v>46332.0</v>
      </c>
      <c r="AU3" s="532">
        <v>46332.0</v>
      </c>
      <c r="AV3" s="533">
        <v>46344.0</v>
      </c>
      <c r="AW3" s="529" t="s">
        <v>1141</v>
      </c>
      <c r="AX3" s="531">
        <v>46443.0</v>
      </c>
      <c r="AY3" s="534" t="s">
        <v>1142</v>
      </c>
      <c r="AZ3" s="534">
        <v>14.0</v>
      </c>
      <c r="BA3" s="527" t="s">
        <v>1112</v>
      </c>
      <c r="BB3" s="529">
        <v>2.0</v>
      </c>
      <c r="BC3" s="535">
        <v>46083.0</v>
      </c>
    </row>
    <row r="4">
      <c r="A4" s="528" t="s">
        <v>62</v>
      </c>
      <c r="B4" s="529" t="s">
        <v>1118</v>
      </c>
      <c r="C4" s="529" t="s">
        <v>179</v>
      </c>
      <c r="D4" s="529" t="s">
        <v>1044</v>
      </c>
      <c r="E4" s="530" t="s">
        <v>1045</v>
      </c>
      <c r="F4" s="529" t="s">
        <v>1122</v>
      </c>
      <c r="G4" s="529" t="s">
        <v>1123</v>
      </c>
      <c r="H4" s="529" t="s">
        <v>1124</v>
      </c>
      <c r="I4" s="530" t="s">
        <v>47</v>
      </c>
      <c r="J4" s="529" t="s">
        <v>1125</v>
      </c>
      <c r="K4" s="486">
        <v>280.0</v>
      </c>
      <c r="L4" s="530" t="s">
        <v>1126</v>
      </c>
      <c r="M4" s="531">
        <v>46007.0</v>
      </c>
      <c r="N4" s="531">
        <v>46007.0</v>
      </c>
      <c r="O4" s="529" t="s">
        <v>367</v>
      </c>
      <c r="P4" s="530" t="s">
        <v>368</v>
      </c>
      <c r="Q4" s="529">
        <v>4.0</v>
      </c>
      <c r="R4" s="529" t="s">
        <v>1128</v>
      </c>
      <c r="S4" s="529" t="s">
        <v>976</v>
      </c>
      <c r="T4" s="530" t="s">
        <v>1072</v>
      </c>
      <c r="U4" s="529">
        <v>380.0</v>
      </c>
      <c r="V4" s="529">
        <v>29.0</v>
      </c>
      <c r="W4" s="529" t="s">
        <v>1074</v>
      </c>
      <c r="X4" s="529" t="s">
        <v>942</v>
      </c>
      <c r="Y4" s="529" t="s">
        <v>942</v>
      </c>
      <c r="Z4" s="529" t="s">
        <v>711</v>
      </c>
      <c r="AA4" s="529" t="s">
        <v>709</v>
      </c>
      <c r="AB4" s="531">
        <v>46020.0</v>
      </c>
      <c r="AC4" s="529" t="s">
        <v>1085</v>
      </c>
      <c r="AD4" s="529" t="s">
        <v>1133</v>
      </c>
      <c r="AE4" s="529" t="s">
        <v>1134</v>
      </c>
      <c r="AF4" s="529" t="s">
        <v>1135</v>
      </c>
      <c r="AG4" s="529" t="s">
        <v>1136</v>
      </c>
      <c r="AH4" s="529" t="s">
        <v>1072</v>
      </c>
      <c r="AI4" s="529" t="s">
        <v>1072</v>
      </c>
      <c r="AJ4" s="529" t="s">
        <v>945</v>
      </c>
      <c r="AK4" s="529">
        <v>24.0</v>
      </c>
      <c r="AL4" s="529" t="s">
        <v>1138</v>
      </c>
      <c r="AM4" s="529">
        <v>3.0</v>
      </c>
      <c r="AN4" s="529" t="s">
        <v>975</v>
      </c>
      <c r="AO4" s="529">
        <v>43.0</v>
      </c>
      <c r="AP4" s="529" t="s">
        <v>648</v>
      </c>
      <c r="AQ4" s="531">
        <v>42354.0</v>
      </c>
      <c r="AR4" s="532">
        <v>47833.0</v>
      </c>
      <c r="AS4" s="532">
        <v>47833.0</v>
      </c>
      <c r="AT4" s="532">
        <v>46332.0</v>
      </c>
      <c r="AU4" s="532">
        <v>46332.0</v>
      </c>
      <c r="AV4" s="533">
        <v>46344.0</v>
      </c>
      <c r="AW4" s="529" t="s">
        <v>1141</v>
      </c>
      <c r="AX4" s="531">
        <v>46449.0</v>
      </c>
      <c r="AY4" s="529" t="s">
        <v>1154</v>
      </c>
      <c r="AZ4" s="534">
        <v>14.0</v>
      </c>
      <c r="BA4" s="527" t="s">
        <v>1112</v>
      </c>
      <c r="BB4" s="529">
        <v>2.0</v>
      </c>
      <c r="BC4" s="535">
        <v>46085.0</v>
      </c>
    </row>
    <row r="5">
      <c r="A5" s="528" t="s">
        <v>64</v>
      </c>
      <c r="B5" s="529" t="s">
        <v>1118</v>
      </c>
      <c r="C5" s="529" t="s">
        <v>179</v>
      </c>
      <c r="D5" s="529" t="s">
        <v>1044</v>
      </c>
      <c r="E5" s="530" t="s">
        <v>1045</v>
      </c>
      <c r="F5" s="529" t="s">
        <v>1122</v>
      </c>
      <c r="G5" s="529" t="s">
        <v>1123</v>
      </c>
      <c r="H5" s="529" t="s">
        <v>1124</v>
      </c>
      <c r="I5" s="530" t="s">
        <v>47</v>
      </c>
      <c r="J5" s="529" t="s">
        <v>1125</v>
      </c>
      <c r="K5" s="486">
        <v>280.0</v>
      </c>
      <c r="L5" s="530" t="s">
        <v>1126</v>
      </c>
      <c r="M5" s="531">
        <v>46007.0</v>
      </c>
      <c r="N5" s="531">
        <v>46007.0</v>
      </c>
      <c r="O5" s="529" t="s">
        <v>370</v>
      </c>
      <c r="P5" s="530" t="s">
        <v>371</v>
      </c>
      <c r="Q5" s="529">
        <v>4.0</v>
      </c>
      <c r="R5" s="529" t="s">
        <v>1128</v>
      </c>
      <c r="S5" s="529" t="s">
        <v>976</v>
      </c>
      <c r="T5" s="530" t="s">
        <v>1072</v>
      </c>
      <c r="U5" s="529">
        <v>380.0</v>
      </c>
      <c r="V5" s="529">
        <v>29.0</v>
      </c>
      <c r="W5" s="529" t="s">
        <v>1074</v>
      </c>
      <c r="X5" s="529" t="s">
        <v>942</v>
      </c>
      <c r="Y5" s="529" t="s">
        <v>942</v>
      </c>
      <c r="Z5" s="529" t="s">
        <v>715</v>
      </c>
      <c r="AA5" s="529" t="s">
        <v>712</v>
      </c>
      <c r="AB5" s="531">
        <v>45673.0</v>
      </c>
      <c r="AC5" s="529" t="s">
        <v>1085</v>
      </c>
      <c r="AD5" s="529" t="s">
        <v>1133</v>
      </c>
      <c r="AE5" s="529" t="s">
        <v>1134</v>
      </c>
      <c r="AF5" s="529" t="s">
        <v>1135</v>
      </c>
      <c r="AG5" s="529" t="s">
        <v>1136</v>
      </c>
      <c r="AH5" s="529" t="s">
        <v>1072</v>
      </c>
      <c r="AI5" s="529" t="s">
        <v>1072</v>
      </c>
      <c r="AJ5" s="529" t="s">
        <v>945</v>
      </c>
      <c r="AK5" s="529">
        <v>24.0</v>
      </c>
      <c r="AL5" s="529" t="s">
        <v>1138</v>
      </c>
      <c r="AM5" s="529">
        <v>3.0</v>
      </c>
      <c r="AN5" s="529" t="s">
        <v>975</v>
      </c>
      <c r="AO5" s="529">
        <v>44.0</v>
      </c>
      <c r="AP5" s="529" t="s">
        <v>648</v>
      </c>
      <c r="AQ5" s="531">
        <v>42354.0</v>
      </c>
      <c r="AR5" s="532">
        <v>47833.0</v>
      </c>
      <c r="AS5" s="532">
        <v>47833.0</v>
      </c>
      <c r="AT5" s="532">
        <v>46332.0</v>
      </c>
      <c r="AU5" s="532">
        <v>46332.0</v>
      </c>
      <c r="AV5" s="533">
        <v>46344.0</v>
      </c>
      <c r="AW5" s="529" t="s">
        <v>1141</v>
      </c>
      <c r="AX5" s="531">
        <v>46449.0</v>
      </c>
      <c r="AY5" s="529" t="s">
        <v>1154</v>
      </c>
      <c r="AZ5" s="534">
        <v>14.0</v>
      </c>
      <c r="BA5" s="527" t="s">
        <v>1112</v>
      </c>
      <c r="BB5" s="529">
        <v>2.0</v>
      </c>
      <c r="BC5" s="535">
        <v>46086.0</v>
      </c>
    </row>
    <row r="6">
      <c r="A6" s="528" t="s">
        <v>66</v>
      </c>
      <c r="B6" s="529" t="s">
        <v>1118</v>
      </c>
      <c r="C6" s="529" t="s">
        <v>179</v>
      </c>
      <c r="D6" s="529" t="s">
        <v>1044</v>
      </c>
      <c r="E6" s="530" t="s">
        <v>1045</v>
      </c>
      <c r="F6" s="529" t="s">
        <v>1122</v>
      </c>
      <c r="G6" s="529" t="s">
        <v>1123</v>
      </c>
      <c r="H6" s="529" t="s">
        <v>1124</v>
      </c>
      <c r="I6" s="530" t="s">
        <v>47</v>
      </c>
      <c r="J6" s="529" t="s">
        <v>1125</v>
      </c>
      <c r="K6" s="486">
        <v>280.0</v>
      </c>
      <c r="L6" s="530" t="s">
        <v>1145</v>
      </c>
      <c r="M6" s="531">
        <v>45799.0</v>
      </c>
      <c r="N6" s="531">
        <v>45799.0</v>
      </c>
      <c r="O6" s="529" t="s">
        <v>374</v>
      </c>
      <c r="P6" s="530" t="s">
        <v>375</v>
      </c>
      <c r="Q6" s="529">
        <v>4.0</v>
      </c>
      <c r="R6" s="529" t="s">
        <v>1128</v>
      </c>
      <c r="S6" s="529" t="s">
        <v>976</v>
      </c>
      <c r="T6" s="530" t="s">
        <v>1072</v>
      </c>
      <c r="U6" s="529">
        <v>380.0</v>
      </c>
      <c r="V6" s="529">
        <v>29.0</v>
      </c>
      <c r="W6" s="529" t="s">
        <v>1074</v>
      </c>
      <c r="X6" s="529" t="s">
        <v>942</v>
      </c>
      <c r="Y6" s="529" t="s">
        <v>942</v>
      </c>
      <c r="Z6" s="529" t="s">
        <v>785</v>
      </c>
      <c r="AA6" s="529" t="s">
        <v>783</v>
      </c>
      <c r="AB6" s="531">
        <v>45795.0</v>
      </c>
      <c r="AC6" s="529" t="s">
        <v>1085</v>
      </c>
      <c r="AD6" s="529" t="s">
        <v>1133</v>
      </c>
      <c r="AE6" s="529" t="s">
        <v>1134</v>
      </c>
      <c r="AF6" s="529" t="s">
        <v>1135</v>
      </c>
      <c r="AG6" s="529" t="s">
        <v>1136</v>
      </c>
      <c r="AH6" s="529" t="s">
        <v>1072</v>
      </c>
      <c r="AI6" s="529" t="s">
        <v>1072</v>
      </c>
      <c r="AJ6" s="529" t="s">
        <v>945</v>
      </c>
      <c r="AK6" s="529">
        <v>24.0</v>
      </c>
      <c r="AL6" s="529" t="s">
        <v>1138</v>
      </c>
      <c r="AM6" s="529">
        <v>3.0</v>
      </c>
      <c r="AN6" s="529" t="s">
        <v>975</v>
      </c>
      <c r="AO6" s="529">
        <v>33.0</v>
      </c>
      <c r="AP6" s="529" t="s">
        <v>648</v>
      </c>
      <c r="AQ6" s="531">
        <v>42146.0</v>
      </c>
      <c r="AR6" s="532">
        <v>47625.0</v>
      </c>
      <c r="AS6" s="532">
        <v>47625.0</v>
      </c>
      <c r="AT6" s="532">
        <v>46331.0</v>
      </c>
      <c r="AU6" s="532">
        <v>46331.0</v>
      </c>
      <c r="AV6" s="533">
        <v>46344.0</v>
      </c>
      <c r="AW6" s="529" t="s">
        <v>1108</v>
      </c>
      <c r="AX6" s="531">
        <v>46388.0</v>
      </c>
      <c r="AY6" s="529" t="s">
        <v>1161</v>
      </c>
      <c r="AZ6" s="534">
        <v>14.0</v>
      </c>
      <c r="BA6" s="527" t="s">
        <v>1112</v>
      </c>
      <c r="BB6" s="529">
        <v>2.0</v>
      </c>
      <c r="BC6" s="535">
        <v>45841.0</v>
      </c>
    </row>
    <row r="7">
      <c r="A7" s="528" t="s">
        <v>68</v>
      </c>
      <c r="B7" s="529" t="s">
        <v>1118</v>
      </c>
      <c r="C7" s="529" t="s">
        <v>179</v>
      </c>
      <c r="D7" s="529" t="s">
        <v>1044</v>
      </c>
      <c r="E7" s="530" t="s">
        <v>1045</v>
      </c>
      <c r="F7" s="529" t="s">
        <v>1122</v>
      </c>
      <c r="G7" s="529" t="s">
        <v>1123</v>
      </c>
      <c r="H7" s="529" t="s">
        <v>1124</v>
      </c>
      <c r="I7" s="530" t="s">
        <v>47</v>
      </c>
      <c r="J7" s="529" t="s">
        <v>1125</v>
      </c>
      <c r="K7" s="486">
        <v>280.0</v>
      </c>
      <c r="L7" s="530" t="s">
        <v>1145</v>
      </c>
      <c r="M7" s="531">
        <v>45799.0</v>
      </c>
      <c r="N7" s="531">
        <v>45799.0</v>
      </c>
      <c r="O7" s="529" t="s">
        <v>377</v>
      </c>
      <c r="P7" s="530" t="s">
        <v>378</v>
      </c>
      <c r="Q7" s="529">
        <v>4.0</v>
      </c>
      <c r="R7" s="529" t="s">
        <v>1128</v>
      </c>
      <c r="S7" s="529" t="s">
        <v>976</v>
      </c>
      <c r="T7" s="530" t="s">
        <v>1072</v>
      </c>
      <c r="U7" s="529">
        <v>380.0</v>
      </c>
      <c r="V7" s="529">
        <v>29.0</v>
      </c>
      <c r="W7" s="529" t="s">
        <v>1074</v>
      </c>
      <c r="X7" s="529" t="s">
        <v>942</v>
      </c>
      <c r="Y7" s="529" t="s">
        <v>942</v>
      </c>
      <c r="Z7" s="529" t="s">
        <v>789</v>
      </c>
      <c r="AA7" s="529" t="s">
        <v>787</v>
      </c>
      <c r="AB7" s="531">
        <v>45795.0</v>
      </c>
      <c r="AC7" s="529" t="s">
        <v>1085</v>
      </c>
      <c r="AD7" s="529" t="s">
        <v>1133</v>
      </c>
      <c r="AE7" s="529" t="s">
        <v>1134</v>
      </c>
      <c r="AF7" s="529" t="s">
        <v>1135</v>
      </c>
      <c r="AG7" s="529" t="s">
        <v>1136</v>
      </c>
      <c r="AH7" s="529" t="s">
        <v>1072</v>
      </c>
      <c r="AI7" s="529" t="s">
        <v>1072</v>
      </c>
      <c r="AJ7" s="529" t="s">
        <v>945</v>
      </c>
      <c r="AK7" s="529">
        <v>24.0</v>
      </c>
      <c r="AL7" s="529" t="s">
        <v>1138</v>
      </c>
      <c r="AM7" s="529">
        <v>3.0</v>
      </c>
      <c r="AN7" s="529" t="s">
        <v>975</v>
      </c>
      <c r="AO7" s="529">
        <v>34.0</v>
      </c>
      <c r="AP7" s="529" t="s">
        <v>648</v>
      </c>
      <c r="AQ7" s="531">
        <v>42146.0</v>
      </c>
      <c r="AR7" s="532">
        <v>47625.0</v>
      </c>
      <c r="AS7" s="532">
        <v>47625.0</v>
      </c>
      <c r="AT7" s="532">
        <v>46180.0</v>
      </c>
      <c r="AU7" s="532">
        <v>46180.0</v>
      </c>
      <c r="AV7" s="533">
        <v>46344.0</v>
      </c>
      <c r="AW7" s="529" t="s">
        <v>1108</v>
      </c>
      <c r="AX7" s="531">
        <v>46388.0</v>
      </c>
      <c r="AY7" s="529" t="s">
        <v>1164</v>
      </c>
      <c r="AZ7" s="534">
        <v>14.0</v>
      </c>
      <c r="BA7" s="527" t="s">
        <v>1112</v>
      </c>
      <c r="BB7" s="529">
        <v>2.0</v>
      </c>
      <c r="BC7" s="535">
        <v>45845.0</v>
      </c>
    </row>
    <row r="8">
      <c r="A8" s="528" t="s">
        <v>69</v>
      </c>
      <c r="B8" s="529" t="s">
        <v>1118</v>
      </c>
      <c r="C8" s="529" t="s">
        <v>179</v>
      </c>
      <c r="D8" s="529" t="s">
        <v>1044</v>
      </c>
      <c r="E8" s="530" t="s">
        <v>1045</v>
      </c>
      <c r="F8" s="529" t="s">
        <v>1122</v>
      </c>
      <c r="G8" s="529" t="s">
        <v>1123</v>
      </c>
      <c r="H8" s="529" t="s">
        <v>1124</v>
      </c>
      <c r="I8" s="530" t="s">
        <v>47</v>
      </c>
      <c r="J8" s="529" t="s">
        <v>1125</v>
      </c>
      <c r="K8" s="486">
        <v>280.0</v>
      </c>
      <c r="L8" s="530" t="s">
        <v>1145</v>
      </c>
      <c r="M8" s="531">
        <v>45799.0</v>
      </c>
      <c r="N8" s="531">
        <v>45799.0</v>
      </c>
      <c r="O8" s="529" t="s">
        <v>380</v>
      </c>
      <c r="P8" s="530" t="s">
        <v>381</v>
      </c>
      <c r="Q8" s="529">
        <v>4.0</v>
      </c>
      <c r="R8" s="529" t="s">
        <v>1128</v>
      </c>
      <c r="S8" s="529" t="s">
        <v>976</v>
      </c>
      <c r="T8" s="530" t="s">
        <v>1072</v>
      </c>
      <c r="U8" s="529">
        <v>380.0</v>
      </c>
      <c r="V8" s="529">
        <v>29.0</v>
      </c>
      <c r="W8" s="529" t="s">
        <v>1074</v>
      </c>
      <c r="X8" s="529" t="s">
        <v>942</v>
      </c>
      <c r="Y8" s="529" t="s">
        <v>942</v>
      </c>
      <c r="Z8" s="529" t="s">
        <v>792</v>
      </c>
      <c r="AA8" s="529" t="s">
        <v>790</v>
      </c>
      <c r="AB8" s="531">
        <v>45795.0</v>
      </c>
      <c r="AC8" s="529" t="s">
        <v>1085</v>
      </c>
      <c r="AD8" s="529" t="s">
        <v>1133</v>
      </c>
      <c r="AE8" s="529" t="s">
        <v>1134</v>
      </c>
      <c r="AF8" s="529" t="s">
        <v>1135</v>
      </c>
      <c r="AG8" s="529" t="s">
        <v>1136</v>
      </c>
      <c r="AH8" s="529" t="s">
        <v>1072</v>
      </c>
      <c r="AI8" s="529" t="s">
        <v>1072</v>
      </c>
      <c r="AJ8" s="529" t="s">
        <v>945</v>
      </c>
      <c r="AK8" s="529">
        <v>24.0</v>
      </c>
      <c r="AL8" s="529" t="s">
        <v>1138</v>
      </c>
      <c r="AM8" s="529">
        <v>3.0</v>
      </c>
      <c r="AN8" s="529" t="s">
        <v>975</v>
      </c>
      <c r="AO8" s="529">
        <v>35.0</v>
      </c>
      <c r="AP8" s="529" t="s">
        <v>648</v>
      </c>
      <c r="AQ8" s="531">
        <v>42146.0</v>
      </c>
      <c r="AR8" s="532">
        <v>47625.0</v>
      </c>
      <c r="AS8" s="532">
        <v>47625.0</v>
      </c>
      <c r="AT8" s="532">
        <v>46331.0</v>
      </c>
      <c r="AU8" s="532">
        <v>46331.0</v>
      </c>
      <c r="AV8" s="533">
        <v>46344.0</v>
      </c>
      <c r="AW8" s="529" t="s">
        <v>1108</v>
      </c>
      <c r="AX8" s="531">
        <v>46388.0</v>
      </c>
      <c r="AY8" s="529" t="s">
        <v>1167</v>
      </c>
      <c r="AZ8" s="534">
        <v>14.0</v>
      </c>
      <c r="BA8" s="527" t="s">
        <v>1112</v>
      </c>
      <c r="BB8" s="529">
        <v>2.0</v>
      </c>
      <c r="BC8" s="535">
        <v>45840.0</v>
      </c>
    </row>
    <row r="9">
      <c r="A9" s="528" t="s">
        <v>70</v>
      </c>
      <c r="B9" s="529" t="s">
        <v>1118</v>
      </c>
      <c r="C9" s="529" t="s">
        <v>179</v>
      </c>
      <c r="D9" s="529" t="s">
        <v>1044</v>
      </c>
      <c r="E9" s="530" t="s">
        <v>1045</v>
      </c>
      <c r="F9" s="529" t="s">
        <v>1122</v>
      </c>
      <c r="G9" s="529" t="s">
        <v>1123</v>
      </c>
      <c r="H9" s="529" t="s">
        <v>1124</v>
      </c>
      <c r="I9" s="530" t="s">
        <v>47</v>
      </c>
      <c r="J9" s="529" t="s">
        <v>1125</v>
      </c>
      <c r="K9" s="486">
        <v>280.0</v>
      </c>
      <c r="L9" s="530" t="s">
        <v>1145</v>
      </c>
      <c r="M9" s="531">
        <v>45890.0</v>
      </c>
      <c r="N9" s="531">
        <v>45890.0</v>
      </c>
      <c r="O9" s="529" t="s">
        <v>1169</v>
      </c>
      <c r="P9" s="530" t="s">
        <v>383</v>
      </c>
      <c r="Q9" s="529">
        <v>4.0</v>
      </c>
      <c r="R9" s="529" t="s">
        <v>1128</v>
      </c>
      <c r="S9" s="529" t="s">
        <v>976</v>
      </c>
      <c r="T9" s="530" t="s">
        <v>1072</v>
      </c>
      <c r="U9" s="529">
        <v>380.0</v>
      </c>
      <c r="V9" s="529">
        <v>29.0</v>
      </c>
      <c r="W9" s="529" t="s">
        <v>1074</v>
      </c>
      <c r="X9" s="529" t="s">
        <v>942</v>
      </c>
      <c r="Y9" s="529" t="s">
        <v>942</v>
      </c>
      <c r="Z9" s="529" t="s">
        <v>820</v>
      </c>
      <c r="AA9" s="529" t="s">
        <v>818</v>
      </c>
      <c r="AB9" s="531">
        <v>45931.0</v>
      </c>
      <c r="AC9" s="529" t="s">
        <v>1085</v>
      </c>
      <c r="AD9" s="529" t="s">
        <v>1133</v>
      </c>
      <c r="AE9" s="529" t="s">
        <v>1134</v>
      </c>
      <c r="AF9" s="529" t="s">
        <v>1135</v>
      </c>
      <c r="AG9" s="529" t="s">
        <v>1136</v>
      </c>
      <c r="AH9" s="529" t="s">
        <v>1072</v>
      </c>
      <c r="AI9" s="529" t="s">
        <v>1072</v>
      </c>
      <c r="AJ9" s="529" t="s">
        <v>945</v>
      </c>
      <c r="AK9" s="529">
        <v>24.0</v>
      </c>
      <c r="AL9" s="529" t="s">
        <v>1138</v>
      </c>
      <c r="AM9" s="529">
        <v>3.0</v>
      </c>
      <c r="AN9" s="529" t="s">
        <v>975</v>
      </c>
      <c r="AO9" s="529">
        <v>36.0</v>
      </c>
      <c r="AP9" s="529" t="s">
        <v>648</v>
      </c>
      <c r="AQ9" s="531">
        <v>42237.0</v>
      </c>
      <c r="AR9" s="532">
        <v>47716.0</v>
      </c>
      <c r="AS9" s="532">
        <v>47716.0</v>
      </c>
      <c r="AT9" s="532">
        <v>46311.0</v>
      </c>
      <c r="AU9" s="532">
        <v>46311.0</v>
      </c>
      <c r="AV9" s="533">
        <v>46344.0</v>
      </c>
      <c r="AW9" s="529" t="s">
        <v>1108</v>
      </c>
      <c r="AX9" s="531">
        <v>46388.0</v>
      </c>
      <c r="AY9" s="529" t="s">
        <v>1172</v>
      </c>
      <c r="AZ9" s="534">
        <v>14.0</v>
      </c>
      <c r="BA9" s="527" t="s">
        <v>1112</v>
      </c>
      <c r="BB9" s="529">
        <v>2.0</v>
      </c>
      <c r="BC9" s="535">
        <v>45958.0</v>
      </c>
    </row>
    <row r="10">
      <c r="A10" s="528" t="s">
        <v>71</v>
      </c>
      <c r="B10" s="529" t="s">
        <v>1118</v>
      </c>
      <c r="C10" s="529" t="s">
        <v>179</v>
      </c>
      <c r="D10" s="529" t="s">
        <v>1044</v>
      </c>
      <c r="E10" s="530" t="s">
        <v>1045</v>
      </c>
      <c r="F10" s="529" t="s">
        <v>1122</v>
      </c>
      <c r="G10" s="529" t="s">
        <v>1123</v>
      </c>
      <c r="H10" s="529" t="s">
        <v>1124</v>
      </c>
      <c r="I10" s="530" t="s">
        <v>47</v>
      </c>
      <c r="J10" s="529" t="s">
        <v>1125</v>
      </c>
      <c r="K10" s="486">
        <v>280.0</v>
      </c>
      <c r="L10" s="530" t="s">
        <v>1145</v>
      </c>
      <c r="M10" s="531">
        <v>45953.0</v>
      </c>
      <c r="N10" s="531">
        <v>45953.0</v>
      </c>
      <c r="O10" s="529" t="s">
        <v>385</v>
      </c>
      <c r="P10" s="530" t="s">
        <v>386</v>
      </c>
      <c r="Q10" s="529">
        <v>4.0</v>
      </c>
      <c r="R10" s="529" t="s">
        <v>1128</v>
      </c>
      <c r="S10" s="529" t="s">
        <v>976</v>
      </c>
      <c r="T10" s="530" t="s">
        <v>1072</v>
      </c>
      <c r="U10" s="529">
        <v>380.0</v>
      </c>
      <c r="V10" s="529">
        <v>29.0</v>
      </c>
      <c r="W10" s="529" t="s">
        <v>1074</v>
      </c>
      <c r="X10" s="529" t="s">
        <v>942</v>
      </c>
      <c r="Y10" s="529" t="s">
        <v>942</v>
      </c>
      <c r="Z10" s="529" t="s">
        <v>828</v>
      </c>
      <c r="AA10" s="529" t="s">
        <v>826</v>
      </c>
      <c r="AB10" s="531">
        <v>45943.0</v>
      </c>
      <c r="AC10" s="529" t="s">
        <v>1085</v>
      </c>
      <c r="AD10" s="529" t="s">
        <v>1133</v>
      </c>
      <c r="AE10" s="529" t="s">
        <v>1134</v>
      </c>
      <c r="AF10" s="529" t="s">
        <v>1135</v>
      </c>
      <c r="AG10" s="529" t="s">
        <v>1136</v>
      </c>
      <c r="AH10" s="529" t="s">
        <v>1072</v>
      </c>
      <c r="AI10" s="529" t="s">
        <v>1072</v>
      </c>
      <c r="AJ10" s="529" t="s">
        <v>945</v>
      </c>
      <c r="AK10" s="529">
        <v>24.0</v>
      </c>
      <c r="AL10" s="529" t="s">
        <v>1138</v>
      </c>
      <c r="AM10" s="529">
        <v>3.0</v>
      </c>
      <c r="AN10" s="529" t="s">
        <v>975</v>
      </c>
      <c r="AO10" s="529">
        <v>38.0</v>
      </c>
      <c r="AP10" s="529" t="s">
        <v>648</v>
      </c>
      <c r="AQ10" s="531">
        <v>42300.0</v>
      </c>
      <c r="AR10" s="532">
        <v>47779.0</v>
      </c>
      <c r="AS10" s="532">
        <v>47779.0</v>
      </c>
      <c r="AT10" s="532">
        <v>46162.0</v>
      </c>
      <c r="AU10" s="532">
        <v>46169.0</v>
      </c>
      <c r="AV10" s="533">
        <v>46344.0</v>
      </c>
      <c r="AW10" s="529" t="s">
        <v>1108</v>
      </c>
      <c r="AX10" s="531">
        <v>46388.0</v>
      </c>
      <c r="AY10" s="537" t="s">
        <v>1182</v>
      </c>
      <c r="AZ10" s="534">
        <v>14.0</v>
      </c>
      <c r="BA10" s="527" t="s">
        <v>1112</v>
      </c>
      <c r="BB10" s="529">
        <v>2.0</v>
      </c>
      <c r="BC10" s="535">
        <v>45989.0</v>
      </c>
    </row>
    <row r="11">
      <c r="A11" s="528" t="s">
        <v>72</v>
      </c>
      <c r="B11" s="529" t="s">
        <v>1118</v>
      </c>
      <c r="C11" s="529" t="s">
        <v>179</v>
      </c>
      <c r="D11" s="529" t="s">
        <v>1044</v>
      </c>
      <c r="E11" s="530" t="s">
        <v>1045</v>
      </c>
      <c r="F11" s="529" t="s">
        <v>1122</v>
      </c>
      <c r="G11" s="529" t="s">
        <v>1123</v>
      </c>
      <c r="H11" s="529" t="s">
        <v>1124</v>
      </c>
      <c r="I11" s="530" t="s">
        <v>47</v>
      </c>
      <c r="J11" s="529" t="s">
        <v>1125</v>
      </c>
      <c r="K11" s="486">
        <v>280.0</v>
      </c>
      <c r="L11" s="530" t="s">
        <v>1145</v>
      </c>
      <c r="M11" s="531">
        <v>45953.0</v>
      </c>
      <c r="N11" s="531">
        <v>45953.0</v>
      </c>
      <c r="O11" s="529" t="s">
        <v>390</v>
      </c>
      <c r="P11" s="530" t="s">
        <v>391</v>
      </c>
      <c r="Q11" s="529">
        <v>4.0</v>
      </c>
      <c r="R11" s="529" t="s">
        <v>1128</v>
      </c>
      <c r="S11" s="529" t="s">
        <v>976</v>
      </c>
      <c r="T11" s="530" t="s">
        <v>1072</v>
      </c>
      <c r="U11" s="529">
        <v>380.0</v>
      </c>
      <c r="V11" s="529">
        <v>29.0</v>
      </c>
      <c r="W11" s="529" t="s">
        <v>1074</v>
      </c>
      <c r="X11" s="529" t="s">
        <v>942</v>
      </c>
      <c r="Y11" s="529" t="s">
        <v>942</v>
      </c>
      <c r="Z11" s="529" t="s">
        <v>832</v>
      </c>
      <c r="AA11" s="529" t="s">
        <v>830</v>
      </c>
      <c r="AB11" s="531">
        <v>45940.0</v>
      </c>
      <c r="AC11" s="529" t="s">
        <v>1085</v>
      </c>
      <c r="AD11" s="529" t="s">
        <v>1133</v>
      </c>
      <c r="AE11" s="529" t="s">
        <v>1134</v>
      </c>
      <c r="AF11" s="529" t="s">
        <v>1135</v>
      </c>
      <c r="AG11" s="529" t="s">
        <v>1136</v>
      </c>
      <c r="AH11" s="529" t="s">
        <v>1072</v>
      </c>
      <c r="AI11" s="529" t="s">
        <v>1072</v>
      </c>
      <c r="AJ11" s="529" t="s">
        <v>945</v>
      </c>
      <c r="AK11" s="529">
        <v>24.0</v>
      </c>
      <c r="AL11" s="529" t="s">
        <v>1138</v>
      </c>
      <c r="AM11" s="529">
        <v>3.0</v>
      </c>
      <c r="AN11" s="529" t="s">
        <v>975</v>
      </c>
      <c r="AO11" s="529">
        <v>37.0</v>
      </c>
      <c r="AP11" s="529" t="s">
        <v>648</v>
      </c>
      <c r="AQ11" s="531">
        <v>42300.0</v>
      </c>
      <c r="AR11" s="532">
        <v>47779.0</v>
      </c>
      <c r="AS11" s="532">
        <v>47779.0</v>
      </c>
      <c r="AT11" s="532">
        <v>46162.0</v>
      </c>
      <c r="AU11" s="532">
        <v>46169.0</v>
      </c>
      <c r="AV11" s="533">
        <v>46344.0</v>
      </c>
      <c r="AW11" s="529" t="s">
        <v>1108</v>
      </c>
      <c r="AX11" s="531">
        <v>46388.0</v>
      </c>
      <c r="AY11" s="538" t="s">
        <v>1190</v>
      </c>
      <c r="AZ11" s="534">
        <v>14.0</v>
      </c>
      <c r="BA11" s="527" t="s">
        <v>1112</v>
      </c>
      <c r="BB11" s="529">
        <v>2.0</v>
      </c>
      <c r="BC11" s="535">
        <v>45987.0</v>
      </c>
    </row>
    <row r="12">
      <c r="A12" s="528" t="s">
        <v>73</v>
      </c>
      <c r="B12" s="529" t="s">
        <v>1118</v>
      </c>
      <c r="C12" s="529" t="s">
        <v>179</v>
      </c>
      <c r="D12" s="529" t="s">
        <v>1044</v>
      </c>
      <c r="E12" s="530" t="s">
        <v>1045</v>
      </c>
      <c r="F12" s="529" t="s">
        <v>1122</v>
      </c>
      <c r="G12" s="529" t="s">
        <v>1123</v>
      </c>
      <c r="H12" s="529" t="s">
        <v>1124</v>
      </c>
      <c r="I12" s="530" t="s">
        <v>47</v>
      </c>
      <c r="J12" s="529" t="s">
        <v>1125</v>
      </c>
      <c r="K12" s="486">
        <v>280.0</v>
      </c>
      <c r="L12" s="530" t="s">
        <v>1145</v>
      </c>
      <c r="M12" s="531">
        <v>45953.0</v>
      </c>
      <c r="N12" s="531">
        <v>45953.0</v>
      </c>
      <c r="O12" s="529" t="s">
        <v>393</v>
      </c>
      <c r="P12" s="530" t="s">
        <v>394</v>
      </c>
      <c r="Q12" s="529">
        <v>4.0</v>
      </c>
      <c r="R12" s="529" t="s">
        <v>1128</v>
      </c>
      <c r="S12" s="529" t="s">
        <v>976</v>
      </c>
      <c r="T12" s="530" t="s">
        <v>1072</v>
      </c>
      <c r="U12" s="529">
        <v>380.0</v>
      </c>
      <c r="V12" s="529">
        <v>29.0</v>
      </c>
      <c r="W12" s="529" t="s">
        <v>1074</v>
      </c>
      <c r="X12" s="529" t="s">
        <v>942</v>
      </c>
      <c r="Y12" s="529" t="s">
        <v>942</v>
      </c>
      <c r="Z12" s="529" t="s">
        <v>844</v>
      </c>
      <c r="AA12" s="529" t="s">
        <v>841</v>
      </c>
      <c r="AB12" s="531">
        <v>45943.0</v>
      </c>
      <c r="AC12" s="529" t="s">
        <v>1085</v>
      </c>
      <c r="AD12" s="529" t="s">
        <v>1133</v>
      </c>
      <c r="AE12" s="529" t="s">
        <v>1134</v>
      </c>
      <c r="AF12" s="529" t="s">
        <v>1135</v>
      </c>
      <c r="AG12" s="529" t="s">
        <v>1136</v>
      </c>
      <c r="AH12" s="529" t="s">
        <v>1072</v>
      </c>
      <c r="AI12" s="529" t="s">
        <v>1072</v>
      </c>
      <c r="AJ12" s="529" t="s">
        <v>945</v>
      </c>
      <c r="AK12" s="529">
        <v>24.0</v>
      </c>
      <c r="AL12" s="529" t="s">
        <v>1138</v>
      </c>
      <c r="AM12" s="529">
        <v>3.0</v>
      </c>
      <c r="AN12" s="529" t="s">
        <v>975</v>
      </c>
      <c r="AO12" s="529">
        <v>39.0</v>
      </c>
      <c r="AP12" s="529" t="s">
        <v>648</v>
      </c>
      <c r="AQ12" s="531">
        <v>42300.0</v>
      </c>
      <c r="AR12" s="532">
        <v>47779.0</v>
      </c>
      <c r="AS12" s="532">
        <v>47779.0</v>
      </c>
      <c r="AT12" s="532">
        <v>46162.0</v>
      </c>
      <c r="AU12" s="532">
        <v>46169.0</v>
      </c>
      <c r="AV12" s="533">
        <v>46344.0</v>
      </c>
      <c r="AW12" s="529" t="s">
        <v>1108</v>
      </c>
      <c r="AX12" s="531">
        <v>46388.0</v>
      </c>
      <c r="AY12" s="538" t="s">
        <v>1200</v>
      </c>
      <c r="AZ12" s="534">
        <v>14.0</v>
      </c>
      <c r="BA12" s="527" t="s">
        <v>1112</v>
      </c>
      <c r="BB12" s="529">
        <v>2.0</v>
      </c>
      <c r="BC12" s="535">
        <v>45988.0</v>
      </c>
    </row>
    <row r="13">
      <c r="A13" s="528" t="s">
        <v>74</v>
      </c>
      <c r="B13" s="529" t="s">
        <v>1118</v>
      </c>
      <c r="C13" s="529" t="s">
        <v>179</v>
      </c>
      <c r="D13" s="529" t="s">
        <v>1044</v>
      </c>
      <c r="E13" s="530" t="s">
        <v>1045</v>
      </c>
      <c r="F13" s="529" t="s">
        <v>1122</v>
      </c>
      <c r="G13" s="529" t="s">
        <v>1123</v>
      </c>
      <c r="H13" s="529" t="s">
        <v>1124</v>
      </c>
      <c r="I13" s="530" t="s">
        <v>47</v>
      </c>
      <c r="J13" s="529" t="s">
        <v>1125</v>
      </c>
      <c r="K13" s="486">
        <v>280.0</v>
      </c>
      <c r="L13" s="530" t="s">
        <v>1145</v>
      </c>
      <c r="M13" s="531">
        <v>45975.0</v>
      </c>
      <c r="N13" s="531">
        <v>45975.0</v>
      </c>
      <c r="O13" s="529" t="s">
        <v>1162</v>
      </c>
      <c r="P13" s="530" t="s">
        <v>397</v>
      </c>
      <c r="Q13" s="529">
        <v>4.0</v>
      </c>
      <c r="R13" s="529" t="s">
        <v>1128</v>
      </c>
      <c r="S13" s="529" t="s">
        <v>976</v>
      </c>
      <c r="T13" s="530" t="s">
        <v>1072</v>
      </c>
      <c r="U13" s="529">
        <v>380.0</v>
      </c>
      <c r="V13" s="529">
        <v>29.0</v>
      </c>
      <c r="W13" s="529" t="s">
        <v>1074</v>
      </c>
      <c r="X13" s="529" t="s">
        <v>942</v>
      </c>
      <c r="Y13" s="529" t="s">
        <v>942</v>
      </c>
      <c r="Z13" s="529" t="s">
        <v>836</v>
      </c>
      <c r="AA13" s="529" t="s">
        <v>834</v>
      </c>
      <c r="AB13" s="531">
        <v>45944.0</v>
      </c>
      <c r="AC13" s="529" t="s">
        <v>1085</v>
      </c>
      <c r="AD13" s="529" t="s">
        <v>1133</v>
      </c>
      <c r="AE13" s="529" t="s">
        <v>1134</v>
      </c>
      <c r="AF13" s="529" t="s">
        <v>1135</v>
      </c>
      <c r="AG13" s="529" t="s">
        <v>1136</v>
      </c>
      <c r="AH13" s="529" t="s">
        <v>1072</v>
      </c>
      <c r="AI13" s="529" t="s">
        <v>1072</v>
      </c>
      <c r="AJ13" s="529" t="s">
        <v>945</v>
      </c>
      <c r="AK13" s="529">
        <v>24.0</v>
      </c>
      <c r="AL13" s="529" t="s">
        <v>1138</v>
      </c>
      <c r="AM13" s="529">
        <v>3.0</v>
      </c>
      <c r="AN13" s="529" t="s">
        <v>975</v>
      </c>
      <c r="AO13" s="529">
        <v>40.0</v>
      </c>
      <c r="AP13" s="529" t="s">
        <v>648</v>
      </c>
      <c r="AQ13" s="539">
        <v>42322.0</v>
      </c>
      <c r="AR13" s="532">
        <v>47801.0</v>
      </c>
      <c r="AS13" s="532">
        <v>47801.0</v>
      </c>
      <c r="AT13" s="532">
        <v>46170.0</v>
      </c>
      <c r="AU13" s="532">
        <v>46177.0</v>
      </c>
      <c r="AV13" s="533">
        <v>46344.0</v>
      </c>
      <c r="AW13" s="529" t="s">
        <v>1108</v>
      </c>
      <c r="AX13" s="531">
        <v>46388.0</v>
      </c>
      <c r="AY13" s="538" t="s">
        <v>1214</v>
      </c>
      <c r="AZ13" s="534">
        <v>14.0</v>
      </c>
      <c r="BA13" s="527" t="s">
        <v>1112</v>
      </c>
      <c r="BB13" s="529">
        <v>2.0</v>
      </c>
      <c r="BC13" s="535">
        <v>45993.0</v>
      </c>
    </row>
    <row r="14">
      <c r="A14" s="528" t="s">
        <v>75</v>
      </c>
      <c r="B14" s="529" t="s">
        <v>1118</v>
      </c>
      <c r="C14" s="529" t="s">
        <v>179</v>
      </c>
      <c r="D14" s="529" t="s">
        <v>1044</v>
      </c>
      <c r="E14" s="530" t="s">
        <v>1045</v>
      </c>
      <c r="F14" s="529" t="s">
        <v>1122</v>
      </c>
      <c r="G14" s="529" t="s">
        <v>1123</v>
      </c>
      <c r="H14" s="529" t="s">
        <v>1124</v>
      </c>
      <c r="I14" s="530" t="s">
        <v>47</v>
      </c>
      <c r="J14" s="529" t="s">
        <v>1125</v>
      </c>
      <c r="K14" s="486">
        <v>280.0</v>
      </c>
      <c r="L14" s="530" t="s">
        <v>1145</v>
      </c>
      <c r="M14" s="531">
        <v>45975.0</v>
      </c>
      <c r="N14" s="531">
        <v>45975.0</v>
      </c>
      <c r="O14" s="529" t="s">
        <v>399</v>
      </c>
      <c r="P14" s="530" t="s">
        <v>400</v>
      </c>
      <c r="Q14" s="529">
        <v>4.0</v>
      </c>
      <c r="R14" s="529" t="s">
        <v>1128</v>
      </c>
      <c r="S14" s="529" t="s">
        <v>976</v>
      </c>
      <c r="T14" s="530" t="s">
        <v>1072</v>
      </c>
      <c r="U14" s="529">
        <v>380.0</v>
      </c>
      <c r="V14" s="529">
        <v>29.0</v>
      </c>
      <c r="W14" s="529" t="s">
        <v>1074</v>
      </c>
      <c r="X14" s="529" t="s">
        <v>942</v>
      </c>
      <c r="Y14" s="529" t="s">
        <v>942</v>
      </c>
      <c r="Z14" s="529" t="s">
        <v>840</v>
      </c>
      <c r="AA14" s="529" t="s">
        <v>838</v>
      </c>
      <c r="AB14" s="531">
        <v>45944.0</v>
      </c>
      <c r="AC14" s="529" t="s">
        <v>1085</v>
      </c>
      <c r="AD14" s="529" t="s">
        <v>1133</v>
      </c>
      <c r="AE14" s="529" t="s">
        <v>1134</v>
      </c>
      <c r="AF14" s="529" t="s">
        <v>1135</v>
      </c>
      <c r="AG14" s="529" t="s">
        <v>1136</v>
      </c>
      <c r="AH14" s="529" t="s">
        <v>1072</v>
      </c>
      <c r="AI14" s="529" t="s">
        <v>1072</v>
      </c>
      <c r="AJ14" s="529" t="s">
        <v>945</v>
      </c>
      <c r="AK14" s="529">
        <v>24.0</v>
      </c>
      <c r="AL14" s="529" t="s">
        <v>1138</v>
      </c>
      <c r="AM14" s="529">
        <v>3.0</v>
      </c>
      <c r="AN14" s="529" t="s">
        <v>975</v>
      </c>
      <c r="AO14" s="529">
        <v>41.0</v>
      </c>
      <c r="AP14" s="529" t="s">
        <v>648</v>
      </c>
      <c r="AQ14" s="539">
        <v>42322.0</v>
      </c>
      <c r="AR14" s="532">
        <v>47801.0</v>
      </c>
      <c r="AS14" s="532">
        <v>47801.0</v>
      </c>
      <c r="AT14" s="532">
        <v>46170.0</v>
      </c>
      <c r="AU14" s="532">
        <v>46177.0</v>
      </c>
      <c r="AV14" s="533">
        <v>46344.0</v>
      </c>
      <c r="AW14" s="529" t="s">
        <v>1108</v>
      </c>
      <c r="AX14" s="531">
        <v>46388.0</v>
      </c>
      <c r="AY14" s="538" t="s">
        <v>1229</v>
      </c>
      <c r="AZ14" s="534">
        <v>14.0</v>
      </c>
      <c r="BA14" s="527" t="s">
        <v>1112</v>
      </c>
      <c r="BB14" s="529">
        <v>2.0</v>
      </c>
      <c r="BC14" s="535">
        <v>45994.0</v>
      </c>
    </row>
    <row r="15">
      <c r="A15" s="528" t="s">
        <v>91</v>
      </c>
      <c r="B15" s="529" t="s">
        <v>1118</v>
      </c>
      <c r="C15" s="529" t="s">
        <v>179</v>
      </c>
      <c r="D15" s="529" t="s">
        <v>1044</v>
      </c>
      <c r="E15" s="530" t="s">
        <v>1045</v>
      </c>
      <c r="F15" s="529" t="s">
        <v>1122</v>
      </c>
      <c r="G15" s="529" t="s">
        <v>1123</v>
      </c>
      <c r="H15" s="529" t="s">
        <v>1233</v>
      </c>
      <c r="I15" s="529" t="s">
        <v>1039</v>
      </c>
      <c r="J15" s="529" t="s">
        <v>1063</v>
      </c>
      <c r="K15" s="486">
        <v>280.0</v>
      </c>
      <c r="L15" s="530" t="s">
        <v>1082</v>
      </c>
      <c r="M15" s="531">
        <v>45770.0</v>
      </c>
      <c r="N15" s="531">
        <v>45770.0</v>
      </c>
      <c r="O15" s="529" t="s">
        <v>442</v>
      </c>
      <c r="P15" s="530" t="s">
        <v>443</v>
      </c>
      <c r="Q15" s="529">
        <v>3.0</v>
      </c>
      <c r="R15" s="529" t="s">
        <v>1070</v>
      </c>
      <c r="S15" s="529" t="s">
        <v>976</v>
      </c>
      <c r="T15" s="530" t="s">
        <v>1072</v>
      </c>
      <c r="U15" s="529">
        <v>300.0</v>
      </c>
      <c r="V15" s="529">
        <v>26.0</v>
      </c>
      <c r="W15" s="529" t="s">
        <v>1234</v>
      </c>
      <c r="X15" s="529" t="s">
        <v>945</v>
      </c>
      <c r="Y15" s="529" t="s">
        <v>945</v>
      </c>
      <c r="Z15" s="529" t="s">
        <v>742</v>
      </c>
      <c r="AA15" s="529" t="s">
        <v>740</v>
      </c>
      <c r="AB15" s="531">
        <v>45538.0</v>
      </c>
      <c r="AC15" s="529" t="s">
        <v>1085</v>
      </c>
      <c r="AD15" s="529" t="s">
        <v>1133</v>
      </c>
      <c r="AE15" s="529" t="s">
        <v>1134</v>
      </c>
      <c r="AF15" s="529" t="s">
        <v>1135</v>
      </c>
      <c r="AG15" s="529" t="s">
        <v>1136</v>
      </c>
      <c r="AH15" s="529" t="s">
        <v>1072</v>
      </c>
      <c r="AI15" s="529" t="s">
        <v>1072</v>
      </c>
      <c r="AJ15" s="529" t="s">
        <v>942</v>
      </c>
      <c r="AK15" s="529">
        <v>16.0</v>
      </c>
      <c r="AL15" s="529" t="s">
        <v>1138</v>
      </c>
      <c r="AM15" s="529">
        <v>2.0</v>
      </c>
      <c r="AN15" s="529" t="s">
        <v>975</v>
      </c>
      <c r="AO15" s="529">
        <v>23.0</v>
      </c>
      <c r="AP15" s="529" t="s">
        <v>657</v>
      </c>
      <c r="AQ15" s="531">
        <v>45894.0</v>
      </c>
      <c r="AR15" s="531">
        <v>49422.0</v>
      </c>
      <c r="AS15" s="532">
        <v>47596.0</v>
      </c>
      <c r="AT15" s="532">
        <v>46337.0</v>
      </c>
      <c r="AU15" s="532">
        <v>46337.0</v>
      </c>
      <c r="AV15" s="533">
        <v>46344.0</v>
      </c>
      <c r="AW15" s="529" t="s">
        <v>1108</v>
      </c>
      <c r="AX15" s="531">
        <v>46388.0</v>
      </c>
      <c r="AY15" s="529" t="s">
        <v>1235</v>
      </c>
      <c r="AZ15" s="534">
        <v>10.0</v>
      </c>
      <c r="BA15" s="527" t="s">
        <v>1112</v>
      </c>
      <c r="BB15" s="529">
        <v>1.0</v>
      </c>
      <c r="BC15" s="535">
        <v>45812.0</v>
      </c>
    </row>
    <row r="16">
      <c r="A16" s="528" t="s">
        <v>92</v>
      </c>
      <c r="B16" s="529" t="s">
        <v>1118</v>
      </c>
      <c r="C16" s="529" t="s">
        <v>179</v>
      </c>
      <c r="D16" s="529" t="s">
        <v>1044</v>
      </c>
      <c r="E16" s="530" t="s">
        <v>1045</v>
      </c>
      <c r="F16" s="529" t="s">
        <v>1122</v>
      </c>
      <c r="G16" s="529" t="s">
        <v>1123</v>
      </c>
      <c r="H16" s="529" t="s">
        <v>1233</v>
      </c>
      <c r="I16" s="529" t="s">
        <v>1039</v>
      </c>
      <c r="J16" s="529" t="s">
        <v>1063</v>
      </c>
      <c r="K16" s="486">
        <v>260.0</v>
      </c>
      <c r="L16" s="530" t="s">
        <v>1082</v>
      </c>
      <c r="M16" s="531">
        <v>45894.0</v>
      </c>
      <c r="N16" s="531">
        <v>45894.0</v>
      </c>
      <c r="O16" s="529" t="s">
        <v>446</v>
      </c>
      <c r="P16" s="530" t="s">
        <v>447</v>
      </c>
      <c r="Q16" s="529">
        <v>3.0</v>
      </c>
      <c r="R16" s="529" t="s">
        <v>1128</v>
      </c>
      <c r="S16" s="529" t="s">
        <v>976</v>
      </c>
      <c r="T16" s="530" t="s">
        <v>1072</v>
      </c>
      <c r="U16" s="529">
        <v>300.0</v>
      </c>
      <c r="V16" s="529">
        <v>26.0</v>
      </c>
      <c r="W16" s="529" t="s">
        <v>1234</v>
      </c>
      <c r="X16" s="529" t="s">
        <v>945</v>
      </c>
      <c r="Y16" s="529" t="s">
        <v>945</v>
      </c>
      <c r="Z16" s="529" t="s">
        <v>747</v>
      </c>
      <c r="AA16" s="529" t="s">
        <v>744</v>
      </c>
      <c r="AB16" s="531">
        <v>45548.0</v>
      </c>
      <c r="AC16" s="529" t="s">
        <v>1085</v>
      </c>
      <c r="AD16" s="529" t="s">
        <v>1133</v>
      </c>
      <c r="AE16" s="529" t="s">
        <v>1134</v>
      </c>
      <c r="AF16" s="529" t="s">
        <v>1135</v>
      </c>
      <c r="AG16" s="529" t="s">
        <v>1136</v>
      </c>
      <c r="AH16" s="529" t="s">
        <v>1072</v>
      </c>
      <c r="AI16" s="529" t="s">
        <v>1072</v>
      </c>
      <c r="AJ16" s="529" t="s">
        <v>945</v>
      </c>
      <c r="AK16" s="529">
        <v>16.0</v>
      </c>
      <c r="AL16" s="529" t="s">
        <v>1138</v>
      </c>
      <c r="AM16" s="529">
        <v>2.0</v>
      </c>
      <c r="AN16" s="529" t="s">
        <v>975</v>
      </c>
      <c r="AO16" s="529">
        <v>106.0</v>
      </c>
      <c r="AP16" s="529" t="s">
        <v>648</v>
      </c>
      <c r="AQ16" s="531">
        <v>45894.0</v>
      </c>
      <c r="AR16" s="531">
        <v>49546.0</v>
      </c>
      <c r="AS16" s="532">
        <v>47720.0</v>
      </c>
      <c r="AT16" s="532">
        <v>46277.0</v>
      </c>
      <c r="AU16" s="532">
        <v>46277.0</v>
      </c>
      <c r="AV16" s="533">
        <v>46344.0</v>
      </c>
      <c r="AW16" s="529" t="s">
        <v>1108</v>
      </c>
      <c r="AX16" s="531">
        <v>46388.0</v>
      </c>
      <c r="AY16" s="529" t="s">
        <v>1236</v>
      </c>
      <c r="AZ16" s="534">
        <v>10.0</v>
      </c>
      <c r="BA16" s="527" t="s">
        <v>1112</v>
      </c>
      <c r="BB16" s="529">
        <v>1.0</v>
      </c>
      <c r="BC16" s="535">
        <v>45938.0</v>
      </c>
    </row>
    <row r="17">
      <c r="A17" s="528" t="s">
        <v>121</v>
      </c>
      <c r="B17" s="529" t="s">
        <v>1118</v>
      </c>
      <c r="C17" s="529" t="s">
        <v>179</v>
      </c>
      <c r="D17" s="529" t="s">
        <v>1044</v>
      </c>
      <c r="E17" s="530" t="s">
        <v>1045</v>
      </c>
      <c r="F17" s="529" t="s">
        <v>1122</v>
      </c>
      <c r="G17" s="529" t="s">
        <v>1123</v>
      </c>
      <c r="H17" s="529" t="s">
        <v>1233</v>
      </c>
      <c r="I17" s="530" t="s">
        <v>118</v>
      </c>
      <c r="J17" s="529" t="s">
        <v>1063</v>
      </c>
      <c r="K17" s="486">
        <v>260.0</v>
      </c>
      <c r="L17" s="530" t="s">
        <v>1129</v>
      </c>
      <c r="M17" s="531">
        <v>45482.0</v>
      </c>
      <c r="N17" s="531">
        <v>45482.0</v>
      </c>
      <c r="O17" s="529" t="s">
        <v>582</v>
      </c>
      <c r="P17" s="530" t="s">
        <v>583</v>
      </c>
      <c r="Q17" s="529">
        <v>3.0</v>
      </c>
      <c r="R17" s="529" t="s">
        <v>1128</v>
      </c>
      <c r="S17" s="529" t="s">
        <v>976</v>
      </c>
      <c r="T17" s="530" t="s">
        <v>1072</v>
      </c>
      <c r="U17" s="529">
        <v>200.0</v>
      </c>
      <c r="V17" s="529">
        <v>13.0</v>
      </c>
      <c r="W17" s="529" t="s">
        <v>1234</v>
      </c>
      <c r="X17" s="529" t="s">
        <v>945</v>
      </c>
      <c r="Y17" s="529" t="s">
        <v>945</v>
      </c>
      <c r="Z17" s="529" t="s">
        <v>776</v>
      </c>
      <c r="AA17" s="529" t="s">
        <v>773</v>
      </c>
      <c r="AB17" s="531">
        <v>45532.0</v>
      </c>
      <c r="AC17" s="529" t="s">
        <v>1085</v>
      </c>
      <c r="AD17" s="529" t="s">
        <v>1133</v>
      </c>
      <c r="AE17" s="529" t="s">
        <v>1134</v>
      </c>
      <c r="AF17" s="529" t="s">
        <v>1135</v>
      </c>
      <c r="AG17" s="529" t="s">
        <v>1136</v>
      </c>
      <c r="AH17" s="529" t="s">
        <v>316</v>
      </c>
      <c r="AI17" s="529" t="s">
        <v>1096</v>
      </c>
      <c r="AJ17" s="529" t="s">
        <v>945</v>
      </c>
      <c r="AK17" s="529">
        <v>16.0</v>
      </c>
      <c r="AL17" s="529" t="s">
        <v>1138</v>
      </c>
      <c r="AM17" s="529">
        <v>2.0</v>
      </c>
      <c r="AN17" s="529" t="s">
        <v>975</v>
      </c>
      <c r="AO17" s="529">
        <v>104.0</v>
      </c>
      <c r="AP17" s="529" t="s">
        <v>1003</v>
      </c>
      <c r="AQ17" s="535">
        <v>45847.0</v>
      </c>
      <c r="AR17" s="540">
        <v>49499.0</v>
      </c>
      <c r="AS17" s="532">
        <v>47673.0</v>
      </c>
      <c r="AT17" s="532">
        <v>46257.0</v>
      </c>
      <c r="AU17" s="532">
        <v>46257.0</v>
      </c>
      <c r="AV17" s="533">
        <v>46344.0</v>
      </c>
      <c r="AW17" s="529" t="s">
        <v>1141</v>
      </c>
      <c r="AX17" s="531">
        <v>46752.0</v>
      </c>
      <c r="AY17" s="537">
        <v>3.250000008789E12</v>
      </c>
      <c r="AZ17" s="534">
        <v>10.0</v>
      </c>
      <c r="BA17" s="527" t="s">
        <v>1112</v>
      </c>
      <c r="BB17" s="529">
        <v>1.0</v>
      </c>
      <c r="BC17" s="535">
        <v>45904.0</v>
      </c>
    </row>
    <row r="18">
      <c r="A18" s="528" t="s">
        <v>123</v>
      </c>
      <c r="B18" s="529" t="s">
        <v>1118</v>
      </c>
      <c r="C18" s="529" t="s">
        <v>179</v>
      </c>
      <c r="D18" s="529" t="s">
        <v>1044</v>
      </c>
      <c r="E18" s="530" t="s">
        <v>1045</v>
      </c>
      <c r="F18" s="529" t="s">
        <v>1122</v>
      </c>
      <c r="G18" s="529" t="s">
        <v>1123</v>
      </c>
      <c r="H18" s="529" t="s">
        <v>1124</v>
      </c>
      <c r="I18" s="530" t="s">
        <v>124</v>
      </c>
      <c r="J18" s="529" t="s">
        <v>1125</v>
      </c>
      <c r="K18" s="486">
        <v>281.0</v>
      </c>
      <c r="L18" s="530" t="s">
        <v>647</v>
      </c>
      <c r="M18" s="531">
        <v>46111.0</v>
      </c>
      <c r="N18" s="531">
        <v>46111.0</v>
      </c>
      <c r="O18" s="529" t="s">
        <v>611</v>
      </c>
      <c r="P18" s="530" t="s">
        <v>612</v>
      </c>
      <c r="Q18" s="529">
        <v>4.0</v>
      </c>
      <c r="R18" s="529" t="s">
        <v>1128</v>
      </c>
      <c r="S18" s="529" t="s">
        <v>976</v>
      </c>
      <c r="T18" s="530" t="s">
        <v>1072</v>
      </c>
      <c r="U18" s="529">
        <v>200.0</v>
      </c>
      <c r="V18" s="529">
        <v>13.0</v>
      </c>
      <c r="W18" s="529" t="s">
        <v>1234</v>
      </c>
      <c r="X18" s="529" t="s">
        <v>945</v>
      </c>
      <c r="Y18" s="529" t="s">
        <v>942</v>
      </c>
      <c r="Z18" s="529" t="s">
        <v>673</v>
      </c>
      <c r="AA18" s="529" t="s">
        <v>670</v>
      </c>
      <c r="AB18" s="531">
        <v>46029.0</v>
      </c>
      <c r="AC18" s="529" t="s">
        <v>1085</v>
      </c>
      <c r="AD18" s="529" t="s">
        <v>1133</v>
      </c>
      <c r="AE18" s="529" t="s">
        <v>1134</v>
      </c>
      <c r="AF18" s="529" t="s">
        <v>1135</v>
      </c>
      <c r="AG18" s="529" t="s">
        <v>1136</v>
      </c>
      <c r="AH18" s="529" t="s">
        <v>1072</v>
      </c>
      <c r="AI18" s="529" t="s">
        <v>1072</v>
      </c>
      <c r="AJ18" s="529" t="s">
        <v>945</v>
      </c>
      <c r="AK18" s="529">
        <v>24.0</v>
      </c>
      <c r="AL18" s="529" t="s">
        <v>1138</v>
      </c>
      <c r="AM18" s="529">
        <v>3.0</v>
      </c>
      <c r="AN18" s="529" t="s">
        <v>975</v>
      </c>
      <c r="AO18" s="529">
        <v>59.0</v>
      </c>
      <c r="AP18" s="529" t="s">
        <v>648</v>
      </c>
      <c r="AQ18" s="531">
        <v>42459.0</v>
      </c>
      <c r="AR18" s="531">
        <v>47937.0</v>
      </c>
      <c r="AS18" s="532">
        <v>47937.0</v>
      </c>
      <c r="AT18" s="532">
        <v>46301.0</v>
      </c>
      <c r="AU18" s="532">
        <v>46483.0</v>
      </c>
      <c r="AV18" s="533">
        <v>46344.0</v>
      </c>
      <c r="AW18" s="529" t="s">
        <v>1141</v>
      </c>
      <c r="AX18" s="531">
        <v>46484.0</v>
      </c>
      <c r="AY18" s="529">
        <v>3.26000000323E12</v>
      </c>
      <c r="AZ18" s="534">
        <v>14.0</v>
      </c>
      <c r="BA18" s="527" t="s">
        <v>1112</v>
      </c>
      <c r="BB18" s="529">
        <v>2.0</v>
      </c>
      <c r="BC18" s="535">
        <v>46125.0</v>
      </c>
    </row>
    <row r="19">
      <c r="A19" s="528" t="s">
        <v>125</v>
      </c>
      <c r="B19" s="529" t="s">
        <v>1118</v>
      </c>
      <c r="C19" s="529" t="s">
        <v>179</v>
      </c>
      <c r="D19" s="529" t="s">
        <v>1044</v>
      </c>
      <c r="E19" s="530" t="s">
        <v>1045</v>
      </c>
      <c r="F19" s="529" t="s">
        <v>1122</v>
      </c>
      <c r="G19" s="529" t="s">
        <v>1123</v>
      </c>
      <c r="H19" s="529" t="s">
        <v>1124</v>
      </c>
      <c r="I19" s="530" t="s">
        <v>124</v>
      </c>
      <c r="J19" s="529" t="s">
        <v>1125</v>
      </c>
      <c r="K19" s="486">
        <v>281.0</v>
      </c>
      <c r="L19" s="530" t="s">
        <v>647</v>
      </c>
      <c r="M19" s="531">
        <v>46085.0</v>
      </c>
      <c r="N19" s="531">
        <v>46085.0</v>
      </c>
      <c r="O19" s="529" t="s">
        <v>618</v>
      </c>
      <c r="P19" s="530" t="s">
        <v>619</v>
      </c>
      <c r="Q19" s="529">
        <v>4.0</v>
      </c>
      <c r="R19" s="529" t="s">
        <v>1128</v>
      </c>
      <c r="S19" s="529" t="s">
        <v>976</v>
      </c>
      <c r="T19" s="530" t="s">
        <v>1072</v>
      </c>
      <c r="U19" s="529">
        <v>200.0</v>
      </c>
      <c r="V19" s="529">
        <v>13.0</v>
      </c>
      <c r="W19" s="529" t="s">
        <v>1234</v>
      </c>
      <c r="X19" s="529" t="s">
        <v>945</v>
      </c>
      <c r="Y19" s="529" t="s">
        <v>942</v>
      </c>
      <c r="Z19" s="529" t="s">
        <v>677</v>
      </c>
      <c r="AA19" s="529" t="s">
        <v>675</v>
      </c>
      <c r="AB19" s="531">
        <v>46029.0</v>
      </c>
      <c r="AC19" s="529" t="s">
        <v>1085</v>
      </c>
      <c r="AD19" s="529" t="s">
        <v>1133</v>
      </c>
      <c r="AE19" s="529" t="s">
        <v>1134</v>
      </c>
      <c r="AF19" s="529" t="s">
        <v>1135</v>
      </c>
      <c r="AG19" s="529" t="s">
        <v>1136</v>
      </c>
      <c r="AH19" s="529" t="s">
        <v>1072</v>
      </c>
      <c r="AI19" s="529" t="s">
        <v>1072</v>
      </c>
      <c r="AJ19" s="529" t="s">
        <v>945</v>
      </c>
      <c r="AK19" s="529">
        <v>24.0</v>
      </c>
      <c r="AL19" s="529" t="s">
        <v>1138</v>
      </c>
      <c r="AM19" s="529">
        <v>3.0</v>
      </c>
      <c r="AN19" s="529" t="s">
        <v>975</v>
      </c>
      <c r="AO19" s="529">
        <v>60.0</v>
      </c>
      <c r="AP19" s="529" t="s">
        <v>648</v>
      </c>
      <c r="AQ19" s="531">
        <v>42459.0</v>
      </c>
      <c r="AR19" s="532">
        <v>47911.0</v>
      </c>
      <c r="AS19" s="532">
        <v>47911.0</v>
      </c>
      <c r="AT19" s="532">
        <v>46278.0</v>
      </c>
      <c r="AU19" s="532">
        <v>46278.0</v>
      </c>
      <c r="AV19" s="533">
        <v>46344.0</v>
      </c>
      <c r="AW19" s="529" t="s">
        <v>1141</v>
      </c>
      <c r="AX19" s="531">
        <v>46462.0</v>
      </c>
      <c r="AY19" s="529">
        <v>3.260000002601E12</v>
      </c>
      <c r="AZ19" s="534">
        <v>14.0</v>
      </c>
      <c r="BA19" s="527" t="s">
        <v>1112</v>
      </c>
      <c r="BB19" s="529">
        <v>2.0</v>
      </c>
      <c r="BC19" s="535">
        <v>46098.0</v>
      </c>
    </row>
    <row r="20">
      <c r="A20" s="528" t="s">
        <v>129</v>
      </c>
      <c r="B20" s="529" t="s">
        <v>1118</v>
      </c>
      <c r="C20" s="529" t="s">
        <v>179</v>
      </c>
      <c r="D20" s="529" t="s">
        <v>1044</v>
      </c>
      <c r="E20" s="530" t="s">
        <v>1045</v>
      </c>
      <c r="F20" s="529" t="s">
        <v>1122</v>
      </c>
      <c r="G20" s="529" t="s">
        <v>1123</v>
      </c>
      <c r="H20" s="529" t="s">
        <v>1233</v>
      </c>
      <c r="I20" s="530" t="s">
        <v>133</v>
      </c>
      <c r="J20" s="529" t="s">
        <v>1125</v>
      </c>
      <c r="K20" s="486">
        <v>281.0</v>
      </c>
      <c r="L20" s="530" t="s">
        <v>1219</v>
      </c>
      <c r="M20" s="531">
        <v>45819.0</v>
      </c>
      <c r="N20" s="531">
        <v>45819.0</v>
      </c>
      <c r="O20" s="529" t="s">
        <v>624</v>
      </c>
      <c r="P20" s="530" t="s">
        <v>625</v>
      </c>
      <c r="Q20" s="529">
        <v>4.0</v>
      </c>
      <c r="R20" s="529" t="s">
        <v>1128</v>
      </c>
      <c r="S20" s="529" t="s">
        <v>976</v>
      </c>
      <c r="T20" s="530" t="s">
        <v>1072</v>
      </c>
      <c r="U20" s="529">
        <v>200.0</v>
      </c>
      <c r="V20" s="529">
        <v>19.0</v>
      </c>
      <c r="W20" s="529" t="s">
        <v>1234</v>
      </c>
      <c r="X20" s="529" t="s">
        <v>945</v>
      </c>
      <c r="Y20" s="529" t="s">
        <v>945</v>
      </c>
      <c r="Z20" s="529" t="s">
        <v>516</v>
      </c>
      <c r="AA20" s="529" t="s">
        <v>516</v>
      </c>
      <c r="AB20" s="529"/>
      <c r="AC20" s="529" t="s">
        <v>1085</v>
      </c>
      <c r="AD20" s="529" t="s">
        <v>1133</v>
      </c>
      <c r="AE20" s="529" t="s">
        <v>1134</v>
      </c>
      <c r="AF20" s="529" t="s">
        <v>1135</v>
      </c>
      <c r="AG20" s="529" t="s">
        <v>1136</v>
      </c>
      <c r="AH20" s="529" t="s">
        <v>1072</v>
      </c>
      <c r="AI20" s="529" t="s">
        <v>1072</v>
      </c>
      <c r="AJ20" s="529" t="s">
        <v>945</v>
      </c>
      <c r="AK20" s="529">
        <v>24.0</v>
      </c>
      <c r="AL20" s="529" t="s">
        <v>1138</v>
      </c>
      <c r="AM20" s="529">
        <v>3.0</v>
      </c>
      <c r="AN20" s="529" t="s">
        <v>975</v>
      </c>
      <c r="AO20" s="529">
        <v>18.0</v>
      </c>
      <c r="AP20" s="529" t="s">
        <v>1100</v>
      </c>
      <c r="AQ20" s="535">
        <v>45819.0</v>
      </c>
      <c r="AR20" s="540">
        <v>49471.0</v>
      </c>
      <c r="AS20" s="532">
        <v>47645.0</v>
      </c>
      <c r="AT20" s="532">
        <v>46181.0</v>
      </c>
      <c r="AU20" s="532">
        <v>46188.0</v>
      </c>
      <c r="AV20" s="533">
        <v>46344.0</v>
      </c>
      <c r="AW20" s="529" t="s">
        <v>1141</v>
      </c>
      <c r="AX20" s="531">
        <v>46906.0</v>
      </c>
      <c r="AY20" s="529" t="s">
        <v>1237</v>
      </c>
      <c r="AZ20" s="534">
        <v>14.0</v>
      </c>
      <c r="BA20" s="527" t="s">
        <v>1112</v>
      </c>
      <c r="BB20" s="529">
        <v>2.0</v>
      </c>
      <c r="BC20" s="535">
        <v>46044.0</v>
      </c>
    </row>
    <row r="21">
      <c r="A21" s="528" t="s">
        <v>134</v>
      </c>
      <c r="B21" s="529" t="s">
        <v>1118</v>
      </c>
      <c r="C21" s="529" t="s">
        <v>179</v>
      </c>
      <c r="D21" s="529" t="s">
        <v>1044</v>
      </c>
      <c r="E21" s="530" t="s">
        <v>1045</v>
      </c>
      <c r="F21" s="529" t="s">
        <v>1122</v>
      </c>
      <c r="G21" s="529" t="s">
        <v>1123</v>
      </c>
      <c r="H21" s="529" t="s">
        <v>1233</v>
      </c>
      <c r="I21" s="530" t="s">
        <v>133</v>
      </c>
      <c r="J21" s="529" t="s">
        <v>1125</v>
      </c>
      <c r="K21" s="486">
        <v>281.0</v>
      </c>
      <c r="L21" s="530" t="s">
        <v>1219</v>
      </c>
      <c r="M21" s="531">
        <v>45842.0</v>
      </c>
      <c r="N21" s="531">
        <v>45842.0</v>
      </c>
      <c r="O21" s="529" t="s">
        <v>627</v>
      </c>
      <c r="P21" s="530" t="s">
        <v>628</v>
      </c>
      <c r="Q21" s="529">
        <v>4.0</v>
      </c>
      <c r="R21" s="529" t="s">
        <v>1128</v>
      </c>
      <c r="S21" s="529" t="s">
        <v>976</v>
      </c>
      <c r="T21" s="530" t="s">
        <v>1072</v>
      </c>
      <c r="U21" s="529">
        <v>200.0</v>
      </c>
      <c r="V21" s="529">
        <v>19.0</v>
      </c>
      <c r="W21" s="529" t="s">
        <v>1234</v>
      </c>
      <c r="X21" s="529" t="s">
        <v>945</v>
      </c>
      <c r="Y21" s="529" t="s">
        <v>945</v>
      </c>
      <c r="Z21" s="529" t="s">
        <v>516</v>
      </c>
      <c r="AA21" s="529" t="s">
        <v>516</v>
      </c>
      <c r="AB21" s="529"/>
      <c r="AC21" s="529" t="s">
        <v>1085</v>
      </c>
      <c r="AD21" s="529" t="s">
        <v>1133</v>
      </c>
      <c r="AE21" s="529" t="s">
        <v>1134</v>
      </c>
      <c r="AF21" s="529" t="s">
        <v>1135</v>
      </c>
      <c r="AG21" s="529" t="s">
        <v>1136</v>
      </c>
      <c r="AH21" s="529" t="s">
        <v>1072</v>
      </c>
      <c r="AI21" s="529" t="s">
        <v>1072</v>
      </c>
      <c r="AJ21" s="529" t="s">
        <v>945</v>
      </c>
      <c r="AK21" s="529">
        <v>24.0</v>
      </c>
      <c r="AL21" s="529" t="s">
        <v>1138</v>
      </c>
      <c r="AM21" s="529">
        <v>3.0</v>
      </c>
      <c r="AN21" s="529" t="s">
        <v>975</v>
      </c>
      <c r="AO21" s="529">
        <v>105.0</v>
      </c>
      <c r="AP21" s="529" t="s">
        <v>1100</v>
      </c>
      <c r="AQ21" s="535">
        <v>45842.0</v>
      </c>
      <c r="AR21" s="540">
        <v>49494.0</v>
      </c>
      <c r="AS21" s="532">
        <v>47668.0</v>
      </c>
      <c r="AT21" s="532">
        <v>46181.0</v>
      </c>
      <c r="AU21" s="532">
        <v>46181.0</v>
      </c>
      <c r="AV21" s="533">
        <v>46344.0</v>
      </c>
      <c r="AW21" s="529" t="s">
        <v>1141</v>
      </c>
      <c r="AX21" s="531">
        <v>46936.0</v>
      </c>
      <c r="AY21" s="529" t="s">
        <v>1237</v>
      </c>
      <c r="AZ21" s="534">
        <v>14.0</v>
      </c>
      <c r="BA21" s="527" t="s">
        <v>1112</v>
      </c>
      <c r="BB21" s="529">
        <v>2.0</v>
      </c>
      <c r="BC21" s="535">
        <v>45861.0</v>
      </c>
    </row>
    <row r="22">
      <c r="A22" s="528" t="s">
        <v>149</v>
      </c>
      <c r="B22" s="529" t="s">
        <v>1118</v>
      </c>
      <c r="C22" s="529" t="s">
        <v>179</v>
      </c>
      <c r="D22" s="529" t="s">
        <v>1044</v>
      </c>
      <c r="E22" s="530" t="s">
        <v>1045</v>
      </c>
      <c r="F22" s="529" t="s">
        <v>1122</v>
      </c>
      <c r="G22" s="529" t="s">
        <v>1123</v>
      </c>
      <c r="H22" s="529" t="s">
        <v>1238</v>
      </c>
      <c r="I22" s="530" t="s">
        <v>142</v>
      </c>
      <c r="J22" s="529" t="s">
        <v>1125</v>
      </c>
      <c r="K22" s="486">
        <v>280.0</v>
      </c>
      <c r="L22" s="530" t="s">
        <v>1145</v>
      </c>
      <c r="M22" s="531">
        <v>43752.0</v>
      </c>
      <c r="N22" s="531">
        <v>43752.0</v>
      </c>
      <c r="O22" s="529" t="s">
        <v>640</v>
      </c>
      <c r="P22" s="530" t="s">
        <v>641</v>
      </c>
      <c r="Q22" s="529">
        <v>4.0</v>
      </c>
      <c r="R22" s="529" t="s">
        <v>1128</v>
      </c>
      <c r="S22" s="529" t="s">
        <v>976</v>
      </c>
      <c r="T22" s="530" t="s">
        <v>1072</v>
      </c>
      <c r="U22" s="529">
        <v>380.0</v>
      </c>
      <c r="V22" s="529">
        <v>29.0</v>
      </c>
      <c r="W22" s="529" t="s">
        <v>1234</v>
      </c>
      <c r="X22" s="529" t="s">
        <v>945</v>
      </c>
      <c r="Y22" s="529" t="s">
        <v>945</v>
      </c>
      <c r="Z22" s="534" t="s">
        <v>516</v>
      </c>
      <c r="AA22" s="534" t="s">
        <v>516</v>
      </c>
      <c r="AB22" s="529"/>
      <c r="AC22" s="529" t="s">
        <v>1085</v>
      </c>
      <c r="AD22" s="529" t="s">
        <v>1133</v>
      </c>
      <c r="AE22" s="529" t="s">
        <v>1134</v>
      </c>
      <c r="AF22" s="529" t="s">
        <v>1135</v>
      </c>
      <c r="AG22" s="529" t="s">
        <v>1136</v>
      </c>
      <c r="AH22" s="529" t="s">
        <v>1072</v>
      </c>
      <c r="AI22" s="529" t="s">
        <v>1072</v>
      </c>
      <c r="AJ22" s="529" t="s">
        <v>945</v>
      </c>
      <c r="AK22" s="529">
        <v>24.0</v>
      </c>
      <c r="AL22" s="529" t="s">
        <v>1138</v>
      </c>
      <c r="AM22" s="529">
        <v>3.0</v>
      </c>
      <c r="AN22" s="529" t="s">
        <v>975</v>
      </c>
      <c r="AO22" s="529">
        <v>65.0</v>
      </c>
      <c r="AP22" s="529" t="s">
        <v>648</v>
      </c>
      <c r="AQ22" s="531">
        <v>43752.0</v>
      </c>
      <c r="AR22" s="540">
        <v>49231.0</v>
      </c>
      <c r="AS22" s="532">
        <v>47405.0</v>
      </c>
      <c r="AT22" s="532">
        <v>46240.0</v>
      </c>
      <c r="AU22" s="532">
        <v>46240.0</v>
      </c>
      <c r="AV22" s="533">
        <v>46344.0</v>
      </c>
      <c r="AW22" s="529" t="s">
        <v>1108</v>
      </c>
      <c r="AX22" s="531">
        <v>46388.0</v>
      </c>
      <c r="AY22" s="529" t="s">
        <v>1239</v>
      </c>
      <c r="AZ22" s="534">
        <v>14.0</v>
      </c>
      <c r="BA22" s="527" t="s">
        <v>1112</v>
      </c>
      <c r="BB22" s="529">
        <v>2.0</v>
      </c>
      <c r="BC22" s="535">
        <v>45869.0</v>
      </c>
    </row>
    <row r="23">
      <c r="A23" s="541" t="s">
        <v>154</v>
      </c>
      <c r="B23" s="529" t="s">
        <v>1118</v>
      </c>
      <c r="C23" s="529" t="s">
        <v>179</v>
      </c>
      <c r="D23" s="529" t="s">
        <v>1044</v>
      </c>
      <c r="E23" s="530" t="s">
        <v>1045</v>
      </c>
      <c r="F23" s="529" t="s">
        <v>1122</v>
      </c>
      <c r="G23" s="529" t="s">
        <v>1123</v>
      </c>
      <c r="H23" s="529" t="s">
        <v>1233</v>
      </c>
      <c r="I23" s="529" t="s">
        <v>109</v>
      </c>
      <c r="J23" s="529" t="s">
        <v>1125</v>
      </c>
      <c r="K23" s="486">
        <v>281.0</v>
      </c>
      <c r="L23" s="530" t="s">
        <v>647</v>
      </c>
      <c r="M23" s="531">
        <v>46132.0</v>
      </c>
      <c r="N23" s="531">
        <v>46132.0</v>
      </c>
      <c r="O23" s="529" t="s">
        <v>650</v>
      </c>
      <c r="P23" s="529" t="s">
        <v>651</v>
      </c>
      <c r="Q23" s="529">
        <v>4.0</v>
      </c>
      <c r="R23" s="529" t="s">
        <v>1128</v>
      </c>
      <c r="S23" s="529" t="s">
        <v>976</v>
      </c>
      <c r="T23" s="529" t="s">
        <v>1240</v>
      </c>
      <c r="U23" s="529">
        <v>200.0</v>
      </c>
      <c r="V23" s="529">
        <v>13.0</v>
      </c>
      <c r="W23" s="529" t="s">
        <v>1234</v>
      </c>
      <c r="X23" s="529" t="s">
        <v>945</v>
      </c>
      <c r="Y23" s="542" t="s">
        <v>945</v>
      </c>
      <c r="Z23" s="529" t="s">
        <v>815</v>
      </c>
      <c r="AA23" s="529" t="s">
        <v>813</v>
      </c>
      <c r="AB23" s="531">
        <v>45877.0</v>
      </c>
      <c r="AC23" s="529" t="s">
        <v>1085</v>
      </c>
      <c r="AD23" s="529" t="s">
        <v>1133</v>
      </c>
      <c r="AE23" s="529" t="s">
        <v>1134</v>
      </c>
      <c r="AF23" s="529" t="s">
        <v>1135</v>
      </c>
      <c r="AG23" s="529" t="s">
        <v>1136</v>
      </c>
      <c r="AH23" s="529" t="s">
        <v>1072</v>
      </c>
      <c r="AI23" s="529" t="s">
        <v>1072</v>
      </c>
      <c r="AJ23" s="529" t="s">
        <v>945</v>
      </c>
      <c r="AK23" s="529">
        <v>24.0</v>
      </c>
      <c r="AL23" s="529" t="s">
        <v>1138</v>
      </c>
      <c r="AM23" s="529">
        <v>3.0</v>
      </c>
      <c r="AN23" s="529" t="s">
        <v>649</v>
      </c>
      <c r="AO23" s="529">
        <v>57.0</v>
      </c>
      <c r="AP23" s="529" t="s">
        <v>648</v>
      </c>
      <c r="AQ23" s="531">
        <v>46132.0</v>
      </c>
      <c r="AR23" s="540">
        <v>51611.0</v>
      </c>
      <c r="AS23" s="531">
        <v>47958.0</v>
      </c>
      <c r="AT23" s="531">
        <v>46318.0</v>
      </c>
      <c r="AU23" s="529"/>
      <c r="AV23" s="543"/>
      <c r="AW23" s="529" t="s">
        <v>1141</v>
      </c>
      <c r="AX23" s="531">
        <v>46476.0</v>
      </c>
      <c r="AY23" s="529">
        <v>3.260000003246E12</v>
      </c>
      <c r="AZ23" s="534">
        <v>14.0</v>
      </c>
      <c r="BA23" s="527" t="s">
        <v>1112</v>
      </c>
      <c r="BB23" s="529">
        <v>2.0</v>
      </c>
      <c r="BC23" s="535">
        <v>46155.0</v>
      </c>
    </row>
    <row r="24">
      <c r="A24" s="541" t="s">
        <v>155</v>
      </c>
      <c r="B24" s="529" t="s">
        <v>1118</v>
      </c>
      <c r="C24" s="529" t="s">
        <v>179</v>
      </c>
      <c r="D24" s="529" t="s">
        <v>1044</v>
      </c>
      <c r="E24" s="530" t="s">
        <v>1045</v>
      </c>
      <c r="F24" s="529" t="s">
        <v>1122</v>
      </c>
      <c r="G24" s="529" t="s">
        <v>1123</v>
      </c>
      <c r="H24" s="529" t="s">
        <v>1233</v>
      </c>
      <c r="I24" s="529" t="s">
        <v>109</v>
      </c>
      <c r="J24" s="529" t="s">
        <v>1125</v>
      </c>
      <c r="K24" s="486">
        <v>281.0</v>
      </c>
      <c r="L24" s="530" t="s">
        <v>647</v>
      </c>
      <c r="M24" s="531">
        <v>46132.0</v>
      </c>
      <c r="N24" s="531">
        <v>46132.0</v>
      </c>
      <c r="O24" s="529" t="s">
        <v>653</v>
      </c>
      <c r="P24" s="529" t="s">
        <v>654</v>
      </c>
      <c r="Q24" s="529">
        <v>4.0</v>
      </c>
      <c r="R24" s="529" t="s">
        <v>1128</v>
      </c>
      <c r="S24" s="529" t="s">
        <v>976</v>
      </c>
      <c r="T24" s="529" t="s">
        <v>1240</v>
      </c>
      <c r="U24" s="529">
        <v>200.0</v>
      </c>
      <c r="V24" s="529">
        <v>13.0</v>
      </c>
      <c r="W24" s="529" t="s">
        <v>1234</v>
      </c>
      <c r="X24" s="529" t="s">
        <v>945</v>
      </c>
      <c r="Y24" s="542" t="s">
        <v>945</v>
      </c>
      <c r="Z24" s="529" t="s">
        <v>811</v>
      </c>
      <c r="AA24" s="529" t="s">
        <v>809</v>
      </c>
      <c r="AB24" s="531">
        <v>45877.0</v>
      </c>
      <c r="AC24" s="529" t="s">
        <v>1085</v>
      </c>
      <c r="AD24" s="529" t="s">
        <v>1133</v>
      </c>
      <c r="AE24" s="529" t="s">
        <v>1134</v>
      </c>
      <c r="AF24" s="529" t="s">
        <v>1135</v>
      </c>
      <c r="AG24" s="529" t="s">
        <v>1136</v>
      </c>
      <c r="AH24" s="529" t="s">
        <v>1072</v>
      </c>
      <c r="AI24" s="529" t="s">
        <v>1072</v>
      </c>
      <c r="AJ24" s="529" t="s">
        <v>945</v>
      </c>
      <c r="AK24" s="529">
        <v>24.0</v>
      </c>
      <c r="AL24" s="529" t="s">
        <v>1138</v>
      </c>
      <c r="AM24" s="529">
        <v>3.0</v>
      </c>
      <c r="AN24" s="529" t="s">
        <v>649</v>
      </c>
      <c r="AO24" s="529">
        <v>58.0</v>
      </c>
      <c r="AP24" s="529" t="s">
        <v>648</v>
      </c>
      <c r="AQ24" s="531">
        <v>46132.0</v>
      </c>
      <c r="AR24" s="540">
        <v>51611.0</v>
      </c>
      <c r="AS24" s="531">
        <v>47958.0</v>
      </c>
      <c r="AT24" s="531">
        <v>46319.0</v>
      </c>
      <c r="AU24" s="529"/>
      <c r="AV24" s="529"/>
      <c r="AW24" s="529" t="s">
        <v>1141</v>
      </c>
      <c r="AX24" s="531">
        <v>46476.0</v>
      </c>
      <c r="AY24" s="529">
        <v>3.260000003249E12</v>
      </c>
      <c r="AZ24" s="534">
        <v>14.0</v>
      </c>
      <c r="BA24" s="527" t="s">
        <v>1112</v>
      </c>
      <c r="BB24" s="529">
        <v>2.0</v>
      </c>
      <c r="BC24" s="535">
        <v>46160.0</v>
      </c>
    </row>
    <row r="25">
      <c r="A25" s="541" t="s">
        <v>156</v>
      </c>
      <c r="B25" s="529" t="s">
        <v>1118</v>
      </c>
      <c r="C25" s="529" t="s">
        <v>179</v>
      </c>
      <c r="D25" s="529" t="s">
        <v>1044</v>
      </c>
      <c r="E25" s="530" t="s">
        <v>1045</v>
      </c>
      <c r="F25" s="529" t="s">
        <v>1122</v>
      </c>
      <c r="G25" s="529" t="s">
        <v>1123</v>
      </c>
      <c r="H25" s="529" t="s">
        <v>1233</v>
      </c>
      <c r="I25" s="529" t="s">
        <v>1117</v>
      </c>
      <c r="J25" s="529" t="s">
        <v>1063</v>
      </c>
      <c r="K25" s="486">
        <v>281.0</v>
      </c>
      <c r="L25" s="529" t="s">
        <v>656</v>
      </c>
      <c r="M25" s="531">
        <v>46139.0</v>
      </c>
      <c r="N25" s="531">
        <v>46139.0</v>
      </c>
      <c r="O25" s="529" t="s">
        <v>658</v>
      </c>
      <c r="P25" s="529" t="s">
        <v>659</v>
      </c>
      <c r="Q25" s="529">
        <v>3.0</v>
      </c>
      <c r="R25" s="529" t="s">
        <v>1070</v>
      </c>
      <c r="S25" s="529" t="s">
        <v>976</v>
      </c>
      <c r="T25" s="529" t="s">
        <v>1240</v>
      </c>
      <c r="U25" s="529">
        <v>200.0</v>
      </c>
      <c r="V25" s="529">
        <v>13.0</v>
      </c>
      <c r="W25" s="529" t="s">
        <v>1234</v>
      </c>
      <c r="X25" s="529" t="s">
        <v>945</v>
      </c>
      <c r="Y25" s="544" t="s">
        <v>945</v>
      </c>
      <c r="Z25" s="527" t="s">
        <v>681</v>
      </c>
      <c r="AA25" s="529" t="s">
        <v>359</v>
      </c>
      <c r="AB25" s="539">
        <v>46203.0</v>
      </c>
      <c r="AC25" s="529" t="s">
        <v>1085</v>
      </c>
      <c r="AD25" s="529" t="s">
        <v>1133</v>
      </c>
      <c r="AE25" s="529" t="s">
        <v>1134</v>
      </c>
      <c r="AF25" s="529" t="s">
        <v>1135</v>
      </c>
      <c r="AG25" s="529" t="s">
        <v>1136</v>
      </c>
      <c r="AH25" s="529" t="s">
        <v>1072</v>
      </c>
      <c r="AI25" s="529" t="s">
        <v>1072</v>
      </c>
      <c r="AJ25" s="529" t="s">
        <v>942</v>
      </c>
      <c r="AK25" s="529">
        <v>16.0</v>
      </c>
      <c r="AL25" s="529" t="s">
        <v>1138</v>
      </c>
      <c r="AM25" s="529">
        <v>2.0</v>
      </c>
      <c r="AN25" s="529" t="s">
        <v>649</v>
      </c>
      <c r="AO25" s="545" t="s">
        <v>1241</v>
      </c>
      <c r="AP25" s="529" t="s">
        <v>657</v>
      </c>
      <c r="AQ25" s="531">
        <v>46139.0</v>
      </c>
      <c r="AR25" s="540">
        <v>49792.0</v>
      </c>
      <c r="AS25" s="531">
        <v>47954.0</v>
      </c>
      <c r="AT25" s="531">
        <v>46323.0</v>
      </c>
      <c r="AU25" s="529"/>
      <c r="AV25" s="529"/>
      <c r="AW25" s="530"/>
      <c r="AX25" s="532"/>
      <c r="AY25" s="530"/>
      <c r="AZ25" s="534">
        <v>10.0</v>
      </c>
      <c r="BA25" s="527" t="s">
        <v>1112</v>
      </c>
      <c r="BB25" s="529">
        <v>1.0</v>
      </c>
      <c r="BC25" s="535">
        <v>46161.0</v>
      </c>
    </row>
    <row r="26">
      <c r="A26" s="541" t="s">
        <v>157</v>
      </c>
      <c r="B26" s="529" t="s">
        <v>1118</v>
      </c>
      <c r="C26" s="529" t="s">
        <v>179</v>
      </c>
      <c r="D26" s="529" t="s">
        <v>1044</v>
      </c>
      <c r="E26" s="530" t="s">
        <v>1045</v>
      </c>
      <c r="F26" s="529" t="s">
        <v>1122</v>
      </c>
      <c r="G26" s="529" t="s">
        <v>1123</v>
      </c>
      <c r="H26" s="529" t="s">
        <v>1233</v>
      </c>
      <c r="I26" s="529" t="s">
        <v>1117</v>
      </c>
      <c r="J26" s="529" t="s">
        <v>1063</v>
      </c>
      <c r="K26" s="486">
        <v>281.0</v>
      </c>
      <c r="L26" s="529" t="s">
        <v>656</v>
      </c>
      <c r="M26" s="531">
        <v>46139.0</v>
      </c>
      <c r="N26" s="531">
        <v>46139.0</v>
      </c>
      <c r="O26" s="529" t="s">
        <v>661</v>
      </c>
      <c r="P26" s="529" t="s">
        <v>662</v>
      </c>
      <c r="Q26" s="529">
        <v>3.0</v>
      </c>
      <c r="R26" s="529" t="s">
        <v>1070</v>
      </c>
      <c r="S26" s="529" t="s">
        <v>976</v>
      </c>
      <c r="T26" s="529" t="s">
        <v>1240</v>
      </c>
      <c r="U26" s="529">
        <v>200.0</v>
      </c>
      <c r="V26" s="529">
        <v>13.0</v>
      </c>
      <c r="W26" s="529" t="s">
        <v>1234</v>
      </c>
      <c r="X26" s="529" t="s">
        <v>945</v>
      </c>
      <c r="Y26" s="544" t="s">
        <v>945</v>
      </c>
      <c r="Z26" s="529" t="s">
        <v>681</v>
      </c>
      <c r="AA26" s="529" t="s">
        <v>358</v>
      </c>
      <c r="AB26" s="539">
        <v>46203.0</v>
      </c>
      <c r="AC26" s="529" t="s">
        <v>1085</v>
      </c>
      <c r="AD26" s="529" t="s">
        <v>1133</v>
      </c>
      <c r="AE26" s="529" t="s">
        <v>1134</v>
      </c>
      <c r="AF26" s="529" t="s">
        <v>1135</v>
      </c>
      <c r="AG26" s="529" t="s">
        <v>1136</v>
      </c>
      <c r="AH26" s="529" t="s">
        <v>1072</v>
      </c>
      <c r="AI26" s="529" t="s">
        <v>1072</v>
      </c>
      <c r="AJ26" s="529" t="s">
        <v>942</v>
      </c>
      <c r="AK26" s="529">
        <v>16.0</v>
      </c>
      <c r="AL26" s="529" t="s">
        <v>1138</v>
      </c>
      <c r="AM26" s="529">
        <v>2.0</v>
      </c>
      <c r="AN26" s="529" t="s">
        <v>649</v>
      </c>
      <c r="AO26" s="545" t="s">
        <v>1242</v>
      </c>
      <c r="AP26" s="529" t="s">
        <v>657</v>
      </c>
      <c r="AQ26" s="531">
        <v>46139.0</v>
      </c>
      <c r="AR26" s="540">
        <v>49792.0</v>
      </c>
      <c r="AS26" s="531">
        <v>47954.0</v>
      </c>
      <c r="AT26" s="531">
        <v>46323.0</v>
      </c>
      <c r="AU26" s="529"/>
      <c r="AV26" s="529"/>
      <c r="AW26" s="530"/>
      <c r="AX26" s="532"/>
      <c r="AY26" s="530"/>
      <c r="AZ26" s="534">
        <v>10.0</v>
      </c>
      <c r="BA26" s="527" t="s">
        <v>1112</v>
      </c>
      <c r="BB26" s="529">
        <v>1.0</v>
      </c>
      <c r="BC26" s="531">
        <v>46163.0</v>
      </c>
    </row>
    <row r="27">
      <c r="A27" s="541" t="s">
        <v>15</v>
      </c>
      <c r="B27" s="529" t="s">
        <v>1118</v>
      </c>
      <c r="C27" s="529" t="s">
        <v>179</v>
      </c>
      <c r="D27" s="529" t="s">
        <v>1044</v>
      </c>
      <c r="E27" s="530" t="s">
        <v>1045</v>
      </c>
      <c r="F27" s="529" t="s">
        <v>1243</v>
      </c>
      <c r="G27" s="529" t="s">
        <v>1244</v>
      </c>
      <c r="H27" s="529" t="s">
        <v>1233</v>
      </c>
      <c r="I27" s="529"/>
      <c r="J27" s="529" t="s">
        <v>1063</v>
      </c>
      <c r="K27" s="546" t="s">
        <v>16</v>
      </c>
      <c r="L27" s="529"/>
      <c r="M27" s="531"/>
      <c r="N27" s="531"/>
      <c r="O27" s="529"/>
      <c r="P27" s="529"/>
      <c r="Q27" s="529"/>
      <c r="R27" s="529"/>
      <c r="S27" s="529"/>
      <c r="T27" s="529"/>
      <c r="U27" s="529"/>
      <c r="V27" s="529"/>
      <c r="W27" s="529"/>
      <c r="X27" s="529"/>
      <c r="Y27" s="544"/>
      <c r="Z27" s="529"/>
      <c r="AA27" s="529"/>
      <c r="AB27" s="539"/>
      <c r="AC27" s="529"/>
      <c r="AD27" s="529"/>
      <c r="AE27" s="529"/>
      <c r="AF27" s="529"/>
      <c r="AG27" s="529"/>
      <c r="AH27" s="529"/>
      <c r="AI27" s="529"/>
      <c r="AJ27" s="529"/>
      <c r="AK27" s="529"/>
      <c r="AL27" s="529"/>
      <c r="AM27" s="529"/>
      <c r="AN27" s="529"/>
      <c r="AO27" s="529"/>
      <c r="AP27" s="529"/>
      <c r="AQ27" s="531"/>
      <c r="AR27" s="540"/>
      <c r="AS27" s="531"/>
      <c r="AT27" s="531"/>
      <c r="AU27" s="529"/>
      <c r="AV27" s="529"/>
      <c r="AW27" s="530"/>
      <c r="AX27" s="532"/>
      <c r="AY27" s="530"/>
      <c r="AZ27" s="534"/>
      <c r="BA27" s="527"/>
      <c r="BB27" s="529"/>
      <c r="BC27" s="531"/>
    </row>
    <row r="28">
      <c r="A28" s="541" t="s">
        <v>45</v>
      </c>
      <c r="B28" s="529" t="s">
        <v>1118</v>
      </c>
      <c r="C28" s="529" t="s">
        <v>179</v>
      </c>
      <c r="D28" s="529" t="s">
        <v>1044</v>
      </c>
      <c r="E28" s="530" t="s">
        <v>1045</v>
      </c>
      <c r="F28" s="529" t="s">
        <v>1243</v>
      </c>
      <c r="G28" s="529" t="s">
        <v>1244</v>
      </c>
      <c r="H28" s="529" t="s">
        <v>1233</v>
      </c>
      <c r="I28" s="529"/>
      <c r="J28" s="529" t="s">
        <v>1063</v>
      </c>
      <c r="K28" s="546" t="s">
        <v>43</v>
      </c>
      <c r="L28" s="529"/>
      <c r="M28" s="531"/>
      <c r="N28" s="531"/>
      <c r="O28" s="529"/>
      <c r="P28" s="529"/>
      <c r="Q28" s="529"/>
      <c r="R28" s="529"/>
      <c r="S28" s="529"/>
      <c r="T28" s="529"/>
      <c r="U28" s="529"/>
      <c r="V28" s="529"/>
      <c r="W28" s="529"/>
      <c r="X28" s="529"/>
      <c r="Y28" s="544"/>
      <c r="Z28" s="529"/>
      <c r="AA28" s="529"/>
      <c r="AB28" s="539"/>
      <c r="AC28" s="529"/>
      <c r="AD28" s="529"/>
      <c r="AE28" s="529"/>
      <c r="AF28" s="529"/>
      <c r="AG28" s="529"/>
      <c r="AH28" s="529"/>
      <c r="AI28" s="529"/>
      <c r="AJ28" s="529"/>
      <c r="AK28" s="529"/>
      <c r="AL28" s="529"/>
      <c r="AM28" s="529"/>
      <c r="AN28" s="529"/>
      <c r="AO28" s="529"/>
      <c r="AP28" s="529"/>
      <c r="AQ28" s="531"/>
      <c r="AR28" s="540"/>
      <c r="AS28" s="531"/>
      <c r="AT28" s="531"/>
      <c r="AU28" s="529"/>
      <c r="AV28" s="529"/>
      <c r="AW28" s="530"/>
      <c r="AX28" s="532"/>
      <c r="AY28" s="530"/>
      <c r="AZ28" s="534"/>
      <c r="BA28" s="527"/>
      <c r="BB28" s="529"/>
      <c r="BC28" s="531"/>
    </row>
    <row r="29">
      <c r="A29" s="541" t="s">
        <v>1274</v>
      </c>
      <c r="B29" s="529" t="s">
        <v>1118</v>
      </c>
      <c r="C29" s="529" t="s">
        <v>179</v>
      </c>
      <c r="D29" s="529" t="s">
        <v>1044</v>
      </c>
      <c r="E29" s="530" t="s">
        <v>1045</v>
      </c>
      <c r="F29" s="529" t="s">
        <v>1275</v>
      </c>
      <c r="G29" s="529" t="s">
        <v>1244</v>
      </c>
      <c r="H29" s="529"/>
      <c r="I29" s="529" t="s">
        <v>1276</v>
      </c>
      <c r="J29" s="529" t="s">
        <v>1277</v>
      </c>
      <c r="K29" s="486"/>
      <c r="L29" s="529"/>
      <c r="M29" s="531"/>
      <c r="N29" s="531"/>
      <c r="O29" s="529"/>
      <c r="P29" s="529"/>
      <c r="Q29" s="529"/>
      <c r="R29" s="529"/>
      <c r="S29" s="529"/>
      <c r="T29" s="529"/>
      <c r="U29" s="529"/>
      <c r="V29" s="529"/>
      <c r="W29" s="529"/>
      <c r="X29" s="529"/>
      <c r="Y29" s="544"/>
      <c r="Z29" s="529"/>
      <c r="AA29" s="529"/>
      <c r="AB29" s="539"/>
      <c r="AC29" s="529"/>
      <c r="AD29" s="529"/>
      <c r="AE29" s="529"/>
      <c r="AF29" s="529"/>
      <c r="AG29" s="529"/>
      <c r="AH29" s="529"/>
      <c r="AI29" s="529"/>
      <c r="AJ29" s="529"/>
      <c r="AK29" s="529"/>
      <c r="AL29" s="529"/>
      <c r="AM29" s="529"/>
      <c r="AN29" s="529"/>
      <c r="AO29" s="529"/>
      <c r="AP29" s="529"/>
      <c r="AQ29" s="531"/>
      <c r="AR29" s="540"/>
      <c r="AS29" s="531"/>
      <c r="AT29" s="531"/>
      <c r="AU29" s="529"/>
      <c r="AV29" s="529"/>
      <c r="AW29" s="530"/>
      <c r="AX29" s="532"/>
      <c r="AY29" s="530"/>
      <c r="AZ29" s="534"/>
      <c r="BA29" s="527"/>
      <c r="BB29" s="529"/>
      <c r="BC29" s="531"/>
    </row>
    <row r="30">
      <c r="A30" s="541" t="s">
        <v>1280</v>
      </c>
      <c r="B30" s="529" t="s">
        <v>1118</v>
      </c>
      <c r="C30" s="529" t="s">
        <v>179</v>
      </c>
      <c r="D30" s="529" t="s">
        <v>1044</v>
      </c>
      <c r="E30" s="530" t="s">
        <v>1045</v>
      </c>
      <c r="F30" s="529" t="s">
        <v>1275</v>
      </c>
      <c r="G30" s="529" t="s">
        <v>1244</v>
      </c>
      <c r="H30" s="529"/>
      <c r="I30" s="529" t="s">
        <v>1276</v>
      </c>
      <c r="J30" s="529" t="s">
        <v>1277</v>
      </c>
      <c r="K30" s="486"/>
      <c r="L30" s="529"/>
      <c r="M30" s="531"/>
      <c r="N30" s="531"/>
      <c r="O30" s="529"/>
      <c r="P30" s="529"/>
      <c r="Q30" s="529"/>
      <c r="R30" s="529"/>
      <c r="S30" s="529"/>
      <c r="T30" s="529"/>
      <c r="U30" s="529"/>
      <c r="V30" s="529"/>
      <c r="W30" s="529"/>
      <c r="X30" s="529"/>
      <c r="Y30" s="544"/>
      <c r="Z30" s="529"/>
      <c r="AA30" s="529"/>
      <c r="AB30" s="539"/>
      <c r="AC30" s="529"/>
      <c r="AD30" s="529"/>
      <c r="AE30" s="529"/>
      <c r="AF30" s="529"/>
      <c r="AG30" s="529"/>
      <c r="AH30" s="529"/>
      <c r="AI30" s="529"/>
      <c r="AJ30" s="529"/>
      <c r="AK30" s="529"/>
      <c r="AL30" s="529"/>
      <c r="AM30" s="529"/>
      <c r="AN30" s="529"/>
      <c r="AO30" s="529"/>
      <c r="AP30" s="529"/>
      <c r="AQ30" s="531"/>
      <c r="AR30" s="540"/>
      <c r="AS30" s="531"/>
      <c r="AT30" s="531"/>
      <c r="AU30" s="529"/>
      <c r="AV30" s="529"/>
      <c r="AW30" s="530"/>
      <c r="AX30" s="532"/>
      <c r="AY30" s="530"/>
      <c r="AZ30" s="534"/>
      <c r="BA30" s="527"/>
      <c r="BB30" s="529"/>
      <c r="BC30" s="531"/>
    </row>
    <row r="31">
      <c r="A31" s="527" t="s">
        <v>106</v>
      </c>
      <c r="B31" s="529" t="s">
        <v>1118</v>
      </c>
      <c r="C31" s="527" t="s">
        <v>179</v>
      </c>
      <c r="D31" s="529" t="s">
        <v>1044</v>
      </c>
      <c r="E31" s="529" t="s">
        <v>1045</v>
      </c>
      <c r="F31" s="529" t="s">
        <v>1122</v>
      </c>
      <c r="G31" s="529" t="s">
        <v>1123</v>
      </c>
      <c r="H31" s="530" t="s">
        <v>1124</v>
      </c>
      <c r="I31" s="529" t="s">
        <v>105</v>
      </c>
      <c r="J31" s="529" t="s">
        <v>1125</v>
      </c>
      <c r="K31" s="534">
        <v>281.0</v>
      </c>
      <c r="L31" s="530" t="s">
        <v>1215</v>
      </c>
      <c r="M31" s="531">
        <v>44956.0</v>
      </c>
      <c r="N31" s="531">
        <v>44956.0</v>
      </c>
      <c r="O31" s="530" t="s">
        <v>481</v>
      </c>
      <c r="P31" s="530" t="s">
        <v>482</v>
      </c>
      <c r="Q31" s="529">
        <v>4.0</v>
      </c>
      <c r="R31" s="529" t="s">
        <v>1128</v>
      </c>
      <c r="S31" s="529" t="s">
        <v>976</v>
      </c>
      <c r="T31" s="529" t="s">
        <v>1281</v>
      </c>
      <c r="U31" s="529">
        <v>200.0</v>
      </c>
      <c r="V31" s="534">
        <v>19.0</v>
      </c>
      <c r="W31" s="529" t="s">
        <v>1234</v>
      </c>
      <c r="X31" s="529" t="s">
        <v>945</v>
      </c>
      <c r="Y31" s="565" t="s">
        <v>942</v>
      </c>
      <c r="Z31" s="566"/>
      <c r="AA31" s="529" t="s">
        <v>1217</v>
      </c>
      <c r="AB31" s="532"/>
      <c r="AC31" s="529" t="s">
        <v>1085</v>
      </c>
      <c r="AD31" s="529" t="s">
        <v>1133</v>
      </c>
      <c r="AE31" s="529" t="s">
        <v>1134</v>
      </c>
      <c r="AF31" s="529" t="s">
        <v>1135</v>
      </c>
      <c r="AG31" s="529" t="s">
        <v>1136</v>
      </c>
      <c r="AH31" s="529" t="s">
        <v>1072</v>
      </c>
      <c r="AI31" s="529" t="s">
        <v>1072</v>
      </c>
      <c r="AJ31" s="529" t="s">
        <v>945</v>
      </c>
      <c r="AK31" s="529">
        <v>24.0</v>
      </c>
      <c r="AL31" s="529" t="s">
        <v>1138</v>
      </c>
      <c r="AM31" s="529">
        <v>3.0</v>
      </c>
      <c r="AN31" s="530" t="s">
        <v>975</v>
      </c>
      <c r="AO31" s="530" t="s">
        <v>1282</v>
      </c>
      <c r="AP31" s="529" t="s">
        <v>1003</v>
      </c>
      <c r="AQ31" s="531">
        <v>40939.0</v>
      </c>
      <c r="AR31" s="531">
        <v>46418.0</v>
      </c>
      <c r="AS31" s="532">
        <v>46782.0</v>
      </c>
      <c r="AT31" s="532">
        <v>46267.0</v>
      </c>
      <c r="AU31" s="532">
        <v>46267.0</v>
      </c>
      <c r="AV31" s="531">
        <v>46344.0</v>
      </c>
      <c r="AW31" s="529" t="s">
        <v>1108</v>
      </c>
      <c r="AX31" s="531">
        <v>46388.0</v>
      </c>
      <c r="AY31" s="529" t="s">
        <v>1283</v>
      </c>
      <c r="AZ31" s="529">
        <v>14.0</v>
      </c>
      <c r="BA31" s="529" t="s">
        <v>1284</v>
      </c>
      <c r="BB31" s="529">
        <v>2.0</v>
      </c>
      <c r="BC31" s="532">
        <v>45708.0</v>
      </c>
    </row>
    <row r="32">
      <c r="A32" s="527" t="s">
        <v>104</v>
      </c>
      <c r="B32" s="529" t="s">
        <v>1118</v>
      </c>
      <c r="C32" s="527" t="s">
        <v>179</v>
      </c>
      <c r="D32" s="529" t="s">
        <v>1044</v>
      </c>
      <c r="E32" s="529" t="s">
        <v>1045</v>
      </c>
      <c r="F32" s="529" t="s">
        <v>1122</v>
      </c>
      <c r="G32" s="529" t="s">
        <v>1123</v>
      </c>
      <c r="H32" s="530" t="s">
        <v>1233</v>
      </c>
      <c r="I32" s="529" t="s">
        <v>105</v>
      </c>
      <c r="J32" s="529" t="s">
        <v>1063</v>
      </c>
      <c r="K32" s="534">
        <v>281.0</v>
      </c>
      <c r="L32" s="530" t="s">
        <v>1187</v>
      </c>
      <c r="M32" s="531">
        <v>45097.0</v>
      </c>
      <c r="N32" s="531">
        <v>45097.0</v>
      </c>
      <c r="O32" s="530" t="s">
        <v>475</v>
      </c>
      <c r="P32" s="530" t="s">
        <v>476</v>
      </c>
      <c r="Q32" s="529">
        <v>4.0</v>
      </c>
      <c r="R32" s="529" t="s">
        <v>1128</v>
      </c>
      <c r="S32" s="529" t="s">
        <v>976</v>
      </c>
      <c r="T32" s="529" t="s">
        <v>1281</v>
      </c>
      <c r="U32" s="529">
        <v>200.0</v>
      </c>
      <c r="V32" s="534">
        <v>19.0</v>
      </c>
      <c r="W32" s="529" t="s">
        <v>1234</v>
      </c>
      <c r="X32" s="529" t="s">
        <v>945</v>
      </c>
      <c r="Y32" s="565" t="s">
        <v>942</v>
      </c>
      <c r="Z32" s="566"/>
      <c r="AA32" s="529" t="s">
        <v>1213</v>
      </c>
      <c r="AB32" s="532"/>
      <c r="AC32" s="529" t="s">
        <v>1085</v>
      </c>
      <c r="AD32" s="529" t="s">
        <v>1133</v>
      </c>
      <c r="AE32" s="529" t="s">
        <v>1134</v>
      </c>
      <c r="AF32" s="529" t="s">
        <v>1135</v>
      </c>
      <c r="AG32" s="529" t="s">
        <v>1136</v>
      </c>
      <c r="AH32" s="529" t="s">
        <v>1072</v>
      </c>
      <c r="AI32" s="529" t="s">
        <v>1072</v>
      </c>
      <c r="AJ32" s="529" t="s">
        <v>945</v>
      </c>
      <c r="AK32" s="529">
        <v>16.0</v>
      </c>
      <c r="AL32" s="529" t="s">
        <v>1138</v>
      </c>
      <c r="AM32" s="529">
        <v>2.0</v>
      </c>
      <c r="AN32" s="530" t="s">
        <v>1004</v>
      </c>
      <c r="AO32" s="530" t="s">
        <v>1285</v>
      </c>
      <c r="AP32" s="529" t="s">
        <v>657</v>
      </c>
      <c r="AQ32" s="531">
        <v>45097.0</v>
      </c>
      <c r="AR32" s="531">
        <v>48750.0</v>
      </c>
      <c r="AS32" s="532">
        <v>46924.0</v>
      </c>
      <c r="AT32" s="532">
        <v>46176.0</v>
      </c>
      <c r="AU32" s="532">
        <v>46176.0</v>
      </c>
      <c r="AV32" s="531">
        <v>46344.0</v>
      </c>
      <c r="AW32" s="529" t="s">
        <v>1108</v>
      </c>
      <c r="AX32" s="531">
        <v>46388.0</v>
      </c>
      <c r="AY32" s="529" t="s">
        <v>1286</v>
      </c>
      <c r="AZ32" s="529">
        <v>10.0</v>
      </c>
      <c r="BA32" s="529" t="s">
        <v>1284</v>
      </c>
      <c r="BB32" s="529">
        <v>1.0</v>
      </c>
      <c r="BC32" s="532">
        <v>45469.0</v>
      </c>
    </row>
    <row r="33">
      <c r="A33" s="527" t="s">
        <v>145</v>
      </c>
      <c r="B33" s="529" t="s">
        <v>1118</v>
      </c>
      <c r="C33" s="527" t="s">
        <v>179</v>
      </c>
      <c r="D33" s="529" t="s">
        <v>1044</v>
      </c>
      <c r="E33" s="529" t="s">
        <v>1045</v>
      </c>
      <c r="F33" s="529" t="s">
        <v>1122</v>
      </c>
      <c r="G33" s="529" t="s">
        <v>1123</v>
      </c>
      <c r="H33" s="530" t="s">
        <v>1238</v>
      </c>
      <c r="I33" s="529" t="s">
        <v>142</v>
      </c>
      <c r="J33" s="529" t="s">
        <v>1125</v>
      </c>
      <c r="K33" s="534">
        <v>280.0</v>
      </c>
      <c r="L33" s="530" t="s">
        <v>1132</v>
      </c>
      <c r="M33" s="531">
        <v>43749.0</v>
      </c>
      <c r="N33" s="531">
        <v>43749.0</v>
      </c>
      <c r="O33" s="530" t="s">
        <v>633</v>
      </c>
      <c r="P33" s="530" t="s">
        <v>634</v>
      </c>
      <c r="Q33" s="529">
        <v>4.0</v>
      </c>
      <c r="R33" s="529" t="s">
        <v>1128</v>
      </c>
      <c r="S33" s="529" t="s">
        <v>976</v>
      </c>
      <c r="T33" s="529" t="s">
        <v>1281</v>
      </c>
      <c r="U33" s="529">
        <v>290.0</v>
      </c>
      <c r="V33" s="529">
        <v>29.0</v>
      </c>
      <c r="W33" s="529" t="s">
        <v>1234</v>
      </c>
      <c r="X33" s="529" t="s">
        <v>945</v>
      </c>
      <c r="Y33" s="529" t="s">
        <v>945</v>
      </c>
      <c r="Z33" s="566"/>
      <c r="AA33" s="529" t="s">
        <v>516</v>
      </c>
      <c r="AB33" s="532"/>
      <c r="AC33" s="529" t="s">
        <v>1085</v>
      </c>
      <c r="AD33" s="529" t="s">
        <v>1133</v>
      </c>
      <c r="AE33" s="529" t="s">
        <v>1134</v>
      </c>
      <c r="AF33" s="529" t="s">
        <v>1135</v>
      </c>
      <c r="AG33" s="529" t="s">
        <v>1136</v>
      </c>
      <c r="AH33" s="529" t="s">
        <v>1072</v>
      </c>
      <c r="AI33" s="529" t="s">
        <v>1072</v>
      </c>
      <c r="AJ33" s="529" t="s">
        <v>945</v>
      </c>
      <c r="AK33" s="529">
        <v>24.0</v>
      </c>
      <c r="AL33" s="529" t="s">
        <v>1138</v>
      </c>
      <c r="AM33" s="529">
        <v>3.0</v>
      </c>
      <c r="AN33" s="530" t="s">
        <v>975</v>
      </c>
      <c r="AO33" s="530" t="s">
        <v>1287</v>
      </c>
      <c r="AP33" s="529" t="s">
        <v>648</v>
      </c>
      <c r="AQ33" s="531">
        <v>43749.0</v>
      </c>
      <c r="AR33" s="531">
        <v>49228.0</v>
      </c>
      <c r="AS33" s="532">
        <v>47402.0</v>
      </c>
      <c r="AT33" s="532">
        <v>46261.0</v>
      </c>
      <c r="AU33" s="532">
        <v>46261.0</v>
      </c>
      <c r="AV33" s="531">
        <v>46344.0</v>
      </c>
      <c r="AW33" s="530"/>
      <c r="AX33" s="532"/>
      <c r="AY33" s="530"/>
      <c r="AZ33" s="529">
        <v>14.0</v>
      </c>
      <c r="BA33" s="529" t="s">
        <v>1284</v>
      </c>
      <c r="BB33" s="529">
        <v>2.0</v>
      </c>
      <c r="BC33" s="532">
        <v>46084.0</v>
      </c>
    </row>
    <row r="34">
      <c r="A34" s="527" t="s">
        <v>31</v>
      </c>
      <c r="B34" s="529" t="s">
        <v>1118</v>
      </c>
      <c r="C34" s="527" t="s">
        <v>179</v>
      </c>
      <c r="D34" s="529" t="s">
        <v>1044</v>
      </c>
      <c r="E34" s="529" t="s">
        <v>1045</v>
      </c>
      <c r="F34" s="529" t="s">
        <v>1122</v>
      </c>
      <c r="G34" s="529" t="s">
        <v>1123</v>
      </c>
      <c r="H34" s="530" t="s">
        <v>1233</v>
      </c>
      <c r="I34" s="529" t="s">
        <v>8</v>
      </c>
      <c r="J34" s="529" t="s">
        <v>1125</v>
      </c>
      <c r="K34" s="534">
        <v>281.0</v>
      </c>
      <c r="L34" s="530" t="s">
        <v>1012</v>
      </c>
      <c r="M34" s="531">
        <v>44887.0</v>
      </c>
      <c r="N34" s="531">
        <v>44887.0</v>
      </c>
      <c r="O34" s="530" t="s">
        <v>310</v>
      </c>
      <c r="P34" s="530" t="s">
        <v>311</v>
      </c>
      <c r="Q34" s="529">
        <v>4.0</v>
      </c>
      <c r="R34" s="529" t="s">
        <v>1128</v>
      </c>
      <c r="S34" s="529" t="s">
        <v>976</v>
      </c>
      <c r="T34" s="529" t="s">
        <v>1281</v>
      </c>
      <c r="U34" s="529">
        <v>200.0</v>
      </c>
      <c r="V34" s="529">
        <v>13.0</v>
      </c>
      <c r="W34" s="529" t="s">
        <v>1234</v>
      </c>
      <c r="X34" s="529" t="s">
        <v>945</v>
      </c>
      <c r="Y34" s="529" t="s">
        <v>942</v>
      </c>
      <c r="Z34" s="566"/>
      <c r="AA34" s="529" t="s">
        <v>1014</v>
      </c>
      <c r="AB34" s="532"/>
      <c r="AC34" s="529" t="s">
        <v>1085</v>
      </c>
      <c r="AD34" s="529" t="s">
        <v>1133</v>
      </c>
      <c r="AE34" s="529" t="s">
        <v>1134</v>
      </c>
      <c r="AF34" s="529" t="s">
        <v>1135</v>
      </c>
      <c r="AG34" s="529" t="s">
        <v>1136</v>
      </c>
      <c r="AH34" s="529" t="s">
        <v>1072</v>
      </c>
      <c r="AI34" s="529" t="s">
        <v>1072</v>
      </c>
      <c r="AJ34" s="529" t="s">
        <v>945</v>
      </c>
      <c r="AK34" s="529">
        <v>24.0</v>
      </c>
      <c r="AL34" s="529" t="s">
        <v>1138</v>
      </c>
      <c r="AM34" s="529">
        <v>3.0</v>
      </c>
      <c r="AN34" s="530" t="s">
        <v>975</v>
      </c>
      <c r="AO34" s="530" t="s">
        <v>1288</v>
      </c>
      <c r="AP34" s="529" t="s">
        <v>1003</v>
      </c>
      <c r="AQ34" s="531">
        <v>44887.0</v>
      </c>
      <c r="AR34" s="531">
        <v>50366.0</v>
      </c>
      <c r="AS34" s="532">
        <v>46713.0</v>
      </c>
      <c r="AT34" s="532">
        <v>46303.0</v>
      </c>
      <c r="AU34" s="532">
        <v>46303.0</v>
      </c>
      <c r="AV34" s="531">
        <v>46344.0</v>
      </c>
      <c r="AW34" s="529" t="s">
        <v>1108</v>
      </c>
      <c r="AX34" s="531">
        <v>46388.0</v>
      </c>
      <c r="AY34" s="529" t="s">
        <v>1289</v>
      </c>
      <c r="AZ34" s="529">
        <v>14.0</v>
      </c>
      <c r="BA34" s="529" t="s">
        <v>1284</v>
      </c>
      <c r="BB34" s="529">
        <v>2.0</v>
      </c>
      <c r="BC34" s="532">
        <v>45818.0</v>
      </c>
    </row>
    <row r="35">
      <c r="A35" s="527" t="s">
        <v>24</v>
      </c>
      <c r="B35" s="529" t="s">
        <v>1118</v>
      </c>
      <c r="C35" s="527" t="s">
        <v>179</v>
      </c>
      <c r="D35" s="529" t="s">
        <v>1044</v>
      </c>
      <c r="E35" s="529" t="s">
        <v>1045</v>
      </c>
      <c r="F35" s="529" t="s">
        <v>1122</v>
      </c>
      <c r="G35" s="529" t="s">
        <v>1123</v>
      </c>
      <c r="H35" s="530" t="s">
        <v>1233</v>
      </c>
      <c r="I35" s="529" t="s">
        <v>8</v>
      </c>
      <c r="J35" s="529" t="s">
        <v>1063</v>
      </c>
      <c r="K35" s="534">
        <v>281.0</v>
      </c>
      <c r="L35" s="530" t="s">
        <v>1020</v>
      </c>
      <c r="M35" s="531">
        <v>44904.0</v>
      </c>
      <c r="N35" s="531">
        <v>44904.0</v>
      </c>
      <c r="O35" s="530" t="s">
        <v>246</v>
      </c>
      <c r="P35" s="530" t="s">
        <v>248</v>
      </c>
      <c r="Q35" s="529">
        <v>3.0</v>
      </c>
      <c r="R35" s="529" t="s">
        <v>1128</v>
      </c>
      <c r="S35" s="529" t="s">
        <v>976</v>
      </c>
      <c r="T35" s="529" t="s">
        <v>1281</v>
      </c>
      <c r="U35" s="529">
        <v>200.0</v>
      </c>
      <c r="V35" s="529">
        <v>13.0</v>
      </c>
      <c r="W35" s="529" t="s">
        <v>1234</v>
      </c>
      <c r="X35" s="529" t="s">
        <v>945</v>
      </c>
      <c r="Y35" s="529" t="s">
        <v>942</v>
      </c>
      <c r="Z35" s="566"/>
      <c r="AA35" s="529" t="s">
        <v>259</v>
      </c>
      <c r="AB35" s="532"/>
      <c r="AC35" s="529" t="s">
        <v>1085</v>
      </c>
      <c r="AD35" s="529" t="s">
        <v>1133</v>
      </c>
      <c r="AE35" s="529" t="s">
        <v>1134</v>
      </c>
      <c r="AF35" s="529" t="s">
        <v>1135</v>
      </c>
      <c r="AG35" s="529" t="s">
        <v>1136</v>
      </c>
      <c r="AH35" s="529" t="s">
        <v>1072</v>
      </c>
      <c r="AI35" s="529" t="s">
        <v>1072</v>
      </c>
      <c r="AJ35" s="529" t="s">
        <v>945</v>
      </c>
      <c r="AK35" s="529">
        <v>16.0</v>
      </c>
      <c r="AL35" s="529" t="s">
        <v>1138</v>
      </c>
      <c r="AM35" s="529">
        <v>2.0</v>
      </c>
      <c r="AN35" s="530" t="s">
        <v>1004</v>
      </c>
      <c r="AO35" s="530" t="s">
        <v>1290</v>
      </c>
      <c r="AP35" s="529" t="s">
        <v>648</v>
      </c>
      <c r="AQ35" s="531">
        <v>44904.0</v>
      </c>
      <c r="AR35" s="531">
        <v>48557.0</v>
      </c>
      <c r="AS35" s="532">
        <v>46730.0</v>
      </c>
      <c r="AT35" s="532">
        <v>46303.0</v>
      </c>
      <c r="AU35" s="532">
        <v>46303.0</v>
      </c>
      <c r="AV35" s="531">
        <v>46344.0</v>
      </c>
      <c r="AW35" s="529" t="s">
        <v>1108</v>
      </c>
      <c r="AX35" s="531">
        <v>46388.0</v>
      </c>
      <c r="AY35" s="529" t="s">
        <v>1291</v>
      </c>
      <c r="AZ35" s="529">
        <v>10.0</v>
      </c>
      <c r="BA35" s="529" t="s">
        <v>1284</v>
      </c>
      <c r="BB35" s="529">
        <v>1.0</v>
      </c>
      <c r="BC35" s="532">
        <v>45607.0</v>
      </c>
    </row>
    <row r="36">
      <c r="A36" s="527" t="s">
        <v>33</v>
      </c>
      <c r="B36" s="529" t="s">
        <v>1118</v>
      </c>
      <c r="C36" s="527" t="s">
        <v>179</v>
      </c>
      <c r="D36" s="529" t="s">
        <v>1044</v>
      </c>
      <c r="E36" s="529" t="s">
        <v>1045</v>
      </c>
      <c r="F36" s="529" t="s">
        <v>1122</v>
      </c>
      <c r="G36" s="529" t="s">
        <v>1123</v>
      </c>
      <c r="H36" s="530" t="s">
        <v>1233</v>
      </c>
      <c r="I36" s="529" t="s">
        <v>8</v>
      </c>
      <c r="J36" s="529" t="s">
        <v>1125</v>
      </c>
      <c r="K36" s="534">
        <v>281.0</v>
      </c>
      <c r="L36" s="530" t="s">
        <v>1012</v>
      </c>
      <c r="M36" s="531">
        <v>44854.0</v>
      </c>
      <c r="N36" s="531">
        <v>44854.0</v>
      </c>
      <c r="O36" s="530" t="s">
        <v>313</v>
      </c>
      <c r="P36" s="530" t="s">
        <v>314</v>
      </c>
      <c r="Q36" s="529">
        <v>4.0</v>
      </c>
      <c r="R36" s="529" t="s">
        <v>1128</v>
      </c>
      <c r="S36" s="529" t="s">
        <v>976</v>
      </c>
      <c r="T36" s="529" t="s">
        <v>1281</v>
      </c>
      <c r="U36" s="529">
        <v>200.0</v>
      </c>
      <c r="V36" s="529">
        <v>13.0</v>
      </c>
      <c r="W36" s="529" t="s">
        <v>1234</v>
      </c>
      <c r="X36" s="529" t="s">
        <v>945</v>
      </c>
      <c r="Y36" s="529" t="s">
        <v>942</v>
      </c>
      <c r="Z36" s="530"/>
      <c r="AA36" s="529" t="s">
        <v>1018</v>
      </c>
      <c r="AB36" s="532"/>
      <c r="AC36" s="529" t="s">
        <v>1085</v>
      </c>
      <c r="AD36" s="529" t="s">
        <v>1133</v>
      </c>
      <c r="AE36" s="529" t="s">
        <v>1134</v>
      </c>
      <c r="AF36" s="529" t="s">
        <v>1135</v>
      </c>
      <c r="AG36" s="529" t="s">
        <v>1136</v>
      </c>
      <c r="AH36" s="529" t="s">
        <v>1072</v>
      </c>
      <c r="AI36" s="529" t="s">
        <v>1072</v>
      </c>
      <c r="AJ36" s="529" t="s">
        <v>945</v>
      </c>
      <c r="AK36" s="529">
        <v>24.0</v>
      </c>
      <c r="AL36" s="529" t="s">
        <v>1138</v>
      </c>
      <c r="AM36" s="529">
        <v>3.0</v>
      </c>
      <c r="AN36" s="530" t="s">
        <v>975</v>
      </c>
      <c r="AO36" s="530" t="s">
        <v>1292</v>
      </c>
      <c r="AP36" s="529" t="s">
        <v>1003</v>
      </c>
      <c r="AQ36" s="531">
        <v>44854.0</v>
      </c>
      <c r="AR36" s="531">
        <v>50333.0</v>
      </c>
      <c r="AS36" s="532">
        <v>46680.0</v>
      </c>
      <c r="AT36" s="532">
        <v>46303.0</v>
      </c>
      <c r="AU36" s="532">
        <v>46303.0</v>
      </c>
      <c r="AV36" s="531">
        <v>46344.0</v>
      </c>
      <c r="AW36" s="529" t="s">
        <v>1108</v>
      </c>
      <c r="AX36" s="531">
        <v>46388.0</v>
      </c>
      <c r="AY36" s="529" t="s">
        <v>1293</v>
      </c>
      <c r="AZ36" s="529">
        <v>14.0</v>
      </c>
      <c r="BA36" s="529" t="s">
        <v>1284</v>
      </c>
      <c r="BB36" s="529">
        <v>2.0</v>
      </c>
      <c r="BC36" s="532">
        <v>45672.0</v>
      </c>
    </row>
    <row r="37">
      <c r="A37" s="527" t="s">
        <v>28</v>
      </c>
      <c r="B37" s="529" t="s">
        <v>1118</v>
      </c>
      <c r="C37" s="527" t="s">
        <v>179</v>
      </c>
      <c r="D37" s="529" t="s">
        <v>1044</v>
      </c>
      <c r="E37" s="529" t="s">
        <v>1045</v>
      </c>
      <c r="F37" s="529" t="s">
        <v>1122</v>
      </c>
      <c r="G37" s="529" t="s">
        <v>1123</v>
      </c>
      <c r="H37" s="530" t="s">
        <v>1233</v>
      </c>
      <c r="I37" s="529" t="s">
        <v>8</v>
      </c>
      <c r="J37" s="529" t="s">
        <v>1063</v>
      </c>
      <c r="K37" s="534">
        <v>235.0</v>
      </c>
      <c r="L37" s="530" t="s">
        <v>1000</v>
      </c>
      <c r="M37" s="531">
        <v>45198.0</v>
      </c>
      <c r="N37" s="531">
        <v>45198.0</v>
      </c>
      <c r="O37" s="530" t="s">
        <v>291</v>
      </c>
      <c r="P37" s="530" t="s">
        <v>292</v>
      </c>
      <c r="Q37" s="529">
        <v>3.0</v>
      </c>
      <c r="R37" s="529" t="s">
        <v>1128</v>
      </c>
      <c r="S37" s="529" t="s">
        <v>976</v>
      </c>
      <c r="T37" s="529" t="s">
        <v>1281</v>
      </c>
      <c r="U37" s="529">
        <v>380.0</v>
      </c>
      <c r="V37" s="529">
        <v>29.0</v>
      </c>
      <c r="W37" s="529" t="s">
        <v>1074</v>
      </c>
      <c r="X37" s="529" t="s">
        <v>942</v>
      </c>
      <c r="Y37" s="529" t="s">
        <v>942</v>
      </c>
      <c r="Z37" s="530"/>
      <c r="AA37" s="529" t="s">
        <v>1007</v>
      </c>
      <c r="AB37" s="532"/>
      <c r="AC37" s="529" t="s">
        <v>1085</v>
      </c>
      <c r="AD37" s="529" t="s">
        <v>1133</v>
      </c>
      <c r="AE37" s="529" t="s">
        <v>1134</v>
      </c>
      <c r="AF37" s="529" t="s">
        <v>1135</v>
      </c>
      <c r="AG37" s="529" t="s">
        <v>1136</v>
      </c>
      <c r="AH37" s="529" t="s">
        <v>1072</v>
      </c>
      <c r="AI37" s="529" t="s">
        <v>1072</v>
      </c>
      <c r="AJ37" s="529" t="s">
        <v>945</v>
      </c>
      <c r="AK37" s="529">
        <v>16.0</v>
      </c>
      <c r="AL37" s="529" t="s">
        <v>1138</v>
      </c>
      <c r="AM37" s="529">
        <v>2.0</v>
      </c>
      <c r="AN37" s="530" t="s">
        <v>1004</v>
      </c>
      <c r="AO37" s="530" t="s">
        <v>1294</v>
      </c>
      <c r="AP37" s="529" t="s">
        <v>1003</v>
      </c>
      <c r="AQ37" s="531">
        <v>45198.0</v>
      </c>
      <c r="AR37" s="531">
        <v>48851.0</v>
      </c>
      <c r="AS37" s="532">
        <v>47025.0</v>
      </c>
      <c r="AT37" s="532">
        <v>46271.0</v>
      </c>
      <c r="AU37" s="532">
        <v>46271.0</v>
      </c>
      <c r="AV37" s="531">
        <v>46344.0</v>
      </c>
      <c r="AW37" s="529" t="s">
        <v>1108</v>
      </c>
      <c r="AX37" s="531">
        <v>46388.0</v>
      </c>
      <c r="AY37" s="529" t="s">
        <v>1295</v>
      </c>
      <c r="AZ37" s="529">
        <v>10.0</v>
      </c>
      <c r="BA37" s="529" t="s">
        <v>1284</v>
      </c>
      <c r="BB37" s="529">
        <v>1.0</v>
      </c>
      <c r="BC37" s="532">
        <v>45954.0</v>
      </c>
    </row>
    <row r="38">
      <c r="A38" s="527" t="s">
        <v>26</v>
      </c>
      <c r="B38" s="529" t="s">
        <v>1118</v>
      </c>
      <c r="C38" s="527" t="s">
        <v>179</v>
      </c>
      <c r="D38" s="529" t="s">
        <v>1044</v>
      </c>
      <c r="E38" s="529" t="s">
        <v>1045</v>
      </c>
      <c r="F38" s="529" t="s">
        <v>1122</v>
      </c>
      <c r="G38" s="529" t="s">
        <v>1123</v>
      </c>
      <c r="H38" s="530" t="s">
        <v>1233</v>
      </c>
      <c r="I38" s="529" t="s">
        <v>8</v>
      </c>
      <c r="J38" s="529" t="s">
        <v>1063</v>
      </c>
      <c r="K38" s="534">
        <v>235.0</v>
      </c>
      <c r="L38" s="530" t="s">
        <v>1000</v>
      </c>
      <c r="M38" s="531">
        <v>45198.0</v>
      </c>
      <c r="N38" s="531">
        <v>45198.0</v>
      </c>
      <c r="O38" s="530" t="s">
        <v>271</v>
      </c>
      <c r="P38" s="530" t="s">
        <v>273</v>
      </c>
      <c r="Q38" s="529">
        <v>3.0</v>
      </c>
      <c r="R38" s="529" t="s">
        <v>1128</v>
      </c>
      <c r="S38" s="529" t="s">
        <v>976</v>
      </c>
      <c r="T38" s="529" t="s">
        <v>1281</v>
      </c>
      <c r="U38" s="529">
        <v>380.0</v>
      </c>
      <c r="V38" s="529">
        <v>29.0</v>
      </c>
      <c r="W38" s="529" t="s">
        <v>1074</v>
      </c>
      <c r="X38" s="529" t="s">
        <v>942</v>
      </c>
      <c r="Y38" s="529" t="s">
        <v>942</v>
      </c>
      <c r="Z38" s="530"/>
      <c r="AA38" s="529" t="s">
        <v>1010</v>
      </c>
      <c r="AB38" s="532"/>
      <c r="AC38" s="529" t="s">
        <v>1085</v>
      </c>
      <c r="AD38" s="529" t="s">
        <v>1133</v>
      </c>
      <c r="AE38" s="529" t="s">
        <v>1134</v>
      </c>
      <c r="AF38" s="529" t="s">
        <v>1135</v>
      </c>
      <c r="AG38" s="529" t="s">
        <v>1136</v>
      </c>
      <c r="AH38" s="529" t="s">
        <v>1072</v>
      </c>
      <c r="AI38" s="529" t="s">
        <v>1072</v>
      </c>
      <c r="AJ38" s="529" t="s">
        <v>945</v>
      </c>
      <c r="AK38" s="529">
        <v>16.0</v>
      </c>
      <c r="AL38" s="529" t="s">
        <v>1138</v>
      </c>
      <c r="AM38" s="529">
        <v>2.0</v>
      </c>
      <c r="AN38" s="530" t="s">
        <v>1004</v>
      </c>
      <c r="AO38" s="530" t="s">
        <v>1297</v>
      </c>
      <c r="AP38" s="529" t="s">
        <v>1003</v>
      </c>
      <c r="AQ38" s="531">
        <v>45198.0</v>
      </c>
      <c r="AR38" s="531">
        <v>48851.0</v>
      </c>
      <c r="AS38" s="532">
        <v>47025.0</v>
      </c>
      <c r="AT38" s="532">
        <v>46271.0</v>
      </c>
      <c r="AU38" s="532">
        <v>46271.0</v>
      </c>
      <c r="AV38" s="531">
        <v>46344.0</v>
      </c>
      <c r="AW38" s="529" t="s">
        <v>1108</v>
      </c>
      <c r="AX38" s="531">
        <v>46388.0</v>
      </c>
      <c r="AY38" s="529" t="s">
        <v>1298</v>
      </c>
      <c r="AZ38" s="529">
        <v>10.0</v>
      </c>
      <c r="BA38" s="529" t="s">
        <v>1284</v>
      </c>
      <c r="BB38" s="529">
        <v>1.0</v>
      </c>
      <c r="BC38" s="532">
        <v>45958.0</v>
      </c>
    </row>
    <row r="39">
      <c r="A39" s="527" t="s">
        <v>6</v>
      </c>
      <c r="B39" s="529" t="s">
        <v>1118</v>
      </c>
      <c r="C39" s="527" t="s">
        <v>179</v>
      </c>
      <c r="D39" s="529" t="s">
        <v>1044</v>
      </c>
      <c r="E39" s="529" t="s">
        <v>1045</v>
      </c>
      <c r="F39" s="529" t="s">
        <v>1122</v>
      </c>
      <c r="G39" s="529" t="s">
        <v>1123</v>
      </c>
      <c r="H39" s="530" t="s">
        <v>1238</v>
      </c>
      <c r="I39" s="529" t="s">
        <v>8</v>
      </c>
      <c r="J39" s="529" t="s">
        <v>1125</v>
      </c>
      <c r="K39" s="534">
        <v>281.0</v>
      </c>
      <c r="L39" s="530" t="s">
        <v>982</v>
      </c>
      <c r="M39" s="531">
        <v>42731.0</v>
      </c>
      <c r="N39" s="531">
        <v>42731.0</v>
      </c>
      <c r="O39" s="530" t="s">
        <v>164</v>
      </c>
      <c r="P39" s="530" t="s">
        <v>165</v>
      </c>
      <c r="Q39" s="529">
        <v>4.0</v>
      </c>
      <c r="R39" s="529" t="s">
        <v>1128</v>
      </c>
      <c r="S39" s="529" t="s">
        <v>976</v>
      </c>
      <c r="T39" s="529" t="s">
        <v>1281</v>
      </c>
      <c r="U39" s="529">
        <v>200.0</v>
      </c>
      <c r="V39" s="529">
        <v>13.0</v>
      </c>
      <c r="W39" s="529" t="s">
        <v>1299</v>
      </c>
      <c r="X39" s="529" t="s">
        <v>945</v>
      </c>
      <c r="Y39" s="529" t="s">
        <v>945</v>
      </c>
      <c r="Z39" s="529" t="s">
        <v>516</v>
      </c>
      <c r="AA39" s="529" t="s">
        <v>516</v>
      </c>
      <c r="AB39" s="532"/>
      <c r="AC39" s="529" t="s">
        <v>1085</v>
      </c>
      <c r="AD39" s="529" t="s">
        <v>1133</v>
      </c>
      <c r="AE39" s="529" t="s">
        <v>1134</v>
      </c>
      <c r="AF39" s="529" t="s">
        <v>1135</v>
      </c>
      <c r="AG39" s="529" t="s">
        <v>1136</v>
      </c>
      <c r="AH39" s="529" t="s">
        <v>1072</v>
      </c>
      <c r="AI39" s="529" t="s">
        <v>1072</v>
      </c>
      <c r="AJ39" s="529" t="s">
        <v>945</v>
      </c>
      <c r="AK39" s="529">
        <v>24.0</v>
      </c>
      <c r="AL39" s="529" t="s">
        <v>1138</v>
      </c>
      <c r="AM39" s="529">
        <v>3.0</v>
      </c>
      <c r="AN39" s="530" t="s">
        <v>975</v>
      </c>
      <c r="AO39" s="530" t="s">
        <v>1300</v>
      </c>
      <c r="AP39" s="529" t="s">
        <v>648</v>
      </c>
      <c r="AQ39" s="531">
        <v>42731.0</v>
      </c>
      <c r="AR39" s="531">
        <v>48209.0</v>
      </c>
      <c r="AS39" s="532">
        <v>46383.0</v>
      </c>
      <c r="AT39" s="532">
        <v>46271.0</v>
      </c>
      <c r="AU39" s="532">
        <v>46271.0</v>
      </c>
      <c r="AV39" s="531">
        <v>46344.0</v>
      </c>
      <c r="AW39" s="529" t="s">
        <v>1108</v>
      </c>
      <c r="AX39" s="531">
        <v>46388.0</v>
      </c>
      <c r="AY39" s="572" t="s">
        <v>1301</v>
      </c>
      <c r="AZ39" s="529">
        <v>14.0</v>
      </c>
      <c r="BA39" s="529" t="s">
        <v>1284</v>
      </c>
      <c r="BB39" s="529">
        <v>2.0</v>
      </c>
      <c r="BC39" s="532">
        <v>45495.0</v>
      </c>
    </row>
    <row r="40">
      <c r="A40" s="527" t="s">
        <v>12</v>
      </c>
      <c r="B40" s="529" t="s">
        <v>1118</v>
      </c>
      <c r="C40" s="527" t="s">
        <v>179</v>
      </c>
      <c r="D40" s="529" t="s">
        <v>1044</v>
      </c>
      <c r="E40" s="529" t="s">
        <v>1045</v>
      </c>
      <c r="F40" s="529" t="s">
        <v>1122</v>
      </c>
      <c r="G40" s="529" t="s">
        <v>1123</v>
      </c>
      <c r="H40" s="530" t="s">
        <v>1238</v>
      </c>
      <c r="I40" s="529" t="s">
        <v>8</v>
      </c>
      <c r="J40" s="529" t="s">
        <v>1125</v>
      </c>
      <c r="K40" s="534">
        <v>281.0</v>
      </c>
      <c r="L40" s="530" t="s">
        <v>982</v>
      </c>
      <c r="M40" s="531">
        <v>42731.0</v>
      </c>
      <c r="N40" s="531">
        <v>42731.0</v>
      </c>
      <c r="O40" s="530" t="s">
        <v>174</v>
      </c>
      <c r="P40" s="530" t="s">
        <v>175</v>
      </c>
      <c r="Q40" s="529">
        <v>4.0</v>
      </c>
      <c r="R40" s="529" t="s">
        <v>1128</v>
      </c>
      <c r="S40" s="529" t="s">
        <v>976</v>
      </c>
      <c r="T40" s="529" t="s">
        <v>1281</v>
      </c>
      <c r="U40" s="529">
        <v>200.0</v>
      </c>
      <c r="V40" s="529">
        <v>13.0</v>
      </c>
      <c r="W40" s="529" t="s">
        <v>1299</v>
      </c>
      <c r="X40" s="529" t="s">
        <v>945</v>
      </c>
      <c r="Y40" s="529" t="s">
        <v>945</v>
      </c>
      <c r="Z40" s="529" t="s">
        <v>516</v>
      </c>
      <c r="AA40" s="529" t="s">
        <v>516</v>
      </c>
      <c r="AB40" s="532"/>
      <c r="AC40" s="529" t="s">
        <v>1085</v>
      </c>
      <c r="AD40" s="529" t="s">
        <v>1133</v>
      </c>
      <c r="AE40" s="529" t="s">
        <v>1134</v>
      </c>
      <c r="AF40" s="529" t="s">
        <v>1135</v>
      </c>
      <c r="AG40" s="529" t="s">
        <v>1136</v>
      </c>
      <c r="AH40" s="529" t="s">
        <v>1072</v>
      </c>
      <c r="AI40" s="529" t="s">
        <v>1072</v>
      </c>
      <c r="AJ40" s="529" t="s">
        <v>945</v>
      </c>
      <c r="AK40" s="529">
        <v>24.0</v>
      </c>
      <c r="AL40" s="529" t="s">
        <v>1138</v>
      </c>
      <c r="AM40" s="529">
        <v>3.0</v>
      </c>
      <c r="AN40" s="530" t="s">
        <v>975</v>
      </c>
      <c r="AO40" s="530" t="s">
        <v>1302</v>
      </c>
      <c r="AP40" s="529" t="s">
        <v>648</v>
      </c>
      <c r="AQ40" s="531">
        <v>42731.0</v>
      </c>
      <c r="AR40" s="531">
        <v>48209.0</v>
      </c>
      <c r="AS40" s="532">
        <v>46383.0</v>
      </c>
      <c r="AT40" s="532">
        <v>46271.0</v>
      </c>
      <c r="AU40" s="532">
        <v>46271.0</v>
      </c>
      <c r="AV40" s="531">
        <v>46344.0</v>
      </c>
      <c r="AW40" s="529" t="s">
        <v>1108</v>
      </c>
      <c r="AX40" s="531">
        <v>46388.0</v>
      </c>
      <c r="AY40" s="572" t="s">
        <v>1303</v>
      </c>
      <c r="AZ40" s="529">
        <v>14.0</v>
      </c>
      <c r="BA40" s="529" t="s">
        <v>1284</v>
      </c>
      <c r="BB40" s="529">
        <v>2.0</v>
      </c>
      <c r="BC40" s="532">
        <v>45510.0</v>
      </c>
    </row>
    <row r="41">
      <c r="A41" s="527" t="s">
        <v>14</v>
      </c>
      <c r="B41" s="529" t="s">
        <v>1118</v>
      </c>
      <c r="C41" s="527" t="s">
        <v>179</v>
      </c>
      <c r="D41" s="529" t="s">
        <v>1044</v>
      </c>
      <c r="E41" s="529" t="s">
        <v>1045</v>
      </c>
      <c r="F41" s="529" t="s">
        <v>1122</v>
      </c>
      <c r="G41" s="529" t="s">
        <v>1123</v>
      </c>
      <c r="H41" s="530" t="s">
        <v>1238</v>
      </c>
      <c r="I41" s="529" t="s">
        <v>8</v>
      </c>
      <c r="J41" s="529" t="s">
        <v>1125</v>
      </c>
      <c r="K41" s="534">
        <v>281.0</v>
      </c>
      <c r="L41" s="530" t="s">
        <v>973</v>
      </c>
      <c r="M41" s="531">
        <v>42399.0</v>
      </c>
      <c r="N41" s="531">
        <v>42765.0</v>
      </c>
      <c r="O41" s="530" t="s">
        <v>186</v>
      </c>
      <c r="P41" s="530" t="s">
        <v>187</v>
      </c>
      <c r="Q41" s="529">
        <v>4.0</v>
      </c>
      <c r="R41" s="529" t="s">
        <v>1128</v>
      </c>
      <c r="S41" s="529" t="s">
        <v>976</v>
      </c>
      <c r="T41" s="529" t="s">
        <v>1281</v>
      </c>
      <c r="U41" s="529">
        <v>200.0</v>
      </c>
      <c r="V41" s="529">
        <v>13.0</v>
      </c>
      <c r="W41" s="529" t="s">
        <v>1299</v>
      </c>
      <c r="X41" s="529" t="s">
        <v>945</v>
      </c>
      <c r="Y41" s="529" t="s">
        <v>945</v>
      </c>
      <c r="Z41" s="529" t="s">
        <v>516</v>
      </c>
      <c r="AA41" s="529" t="s">
        <v>516</v>
      </c>
      <c r="AB41" s="532"/>
      <c r="AC41" s="529" t="s">
        <v>1085</v>
      </c>
      <c r="AD41" s="529" t="s">
        <v>1133</v>
      </c>
      <c r="AE41" s="529" t="s">
        <v>1134</v>
      </c>
      <c r="AF41" s="529" t="s">
        <v>1135</v>
      </c>
      <c r="AG41" s="529" t="s">
        <v>1136</v>
      </c>
      <c r="AH41" s="529" t="s">
        <v>1072</v>
      </c>
      <c r="AI41" s="529" t="s">
        <v>1072</v>
      </c>
      <c r="AJ41" s="529" t="s">
        <v>945</v>
      </c>
      <c r="AK41" s="529">
        <v>24.0</v>
      </c>
      <c r="AL41" s="529" t="s">
        <v>1138</v>
      </c>
      <c r="AM41" s="529">
        <v>3.0</v>
      </c>
      <c r="AN41" s="530" t="s">
        <v>975</v>
      </c>
      <c r="AO41" s="530" t="s">
        <v>1304</v>
      </c>
      <c r="AP41" s="529" t="s">
        <v>648</v>
      </c>
      <c r="AQ41" s="531">
        <v>42765.0</v>
      </c>
      <c r="AR41" s="531">
        <v>48243.0</v>
      </c>
      <c r="AS41" s="532">
        <v>46417.0</v>
      </c>
      <c r="AT41" s="532">
        <v>46271.0</v>
      </c>
      <c r="AU41" s="532">
        <v>46271.0</v>
      </c>
      <c r="AV41" s="531">
        <v>46344.0</v>
      </c>
      <c r="AW41" s="529" t="s">
        <v>1108</v>
      </c>
      <c r="AX41" s="531">
        <v>46388.0</v>
      </c>
      <c r="AY41" s="572" t="s">
        <v>1305</v>
      </c>
      <c r="AZ41" s="529">
        <v>14.0</v>
      </c>
      <c r="BA41" s="529" t="s">
        <v>1284</v>
      </c>
      <c r="BB41" s="529">
        <v>2.0</v>
      </c>
      <c r="BC41" s="532">
        <v>45679.0</v>
      </c>
    </row>
    <row r="42">
      <c r="A42" s="527" t="s">
        <v>38</v>
      </c>
      <c r="B42" s="529" t="s">
        <v>1118</v>
      </c>
      <c r="C42" s="527" t="s">
        <v>179</v>
      </c>
      <c r="D42" s="529" t="s">
        <v>1044</v>
      </c>
      <c r="E42" s="529" t="s">
        <v>1045</v>
      </c>
      <c r="F42" s="529" t="s">
        <v>1122</v>
      </c>
      <c r="G42" s="529" t="s">
        <v>1123</v>
      </c>
      <c r="H42" s="530" t="s">
        <v>1233</v>
      </c>
      <c r="I42" s="529" t="s">
        <v>1306</v>
      </c>
      <c r="J42" s="529" t="s">
        <v>1125</v>
      </c>
      <c r="K42" s="534">
        <v>281.0</v>
      </c>
      <c r="L42" s="530" t="s">
        <v>1012</v>
      </c>
      <c r="M42" s="531">
        <v>45050.0</v>
      </c>
      <c r="N42" s="531">
        <v>45050.0</v>
      </c>
      <c r="O42" s="530" t="s">
        <v>320</v>
      </c>
      <c r="P42" s="530" t="s">
        <v>321</v>
      </c>
      <c r="Q42" s="529">
        <v>4.0</v>
      </c>
      <c r="R42" s="529" t="s">
        <v>1128</v>
      </c>
      <c r="S42" s="529" t="s">
        <v>976</v>
      </c>
      <c r="T42" s="529" t="s">
        <v>1281</v>
      </c>
      <c r="U42" s="529">
        <v>200.0</v>
      </c>
      <c r="V42" s="529">
        <v>13.0</v>
      </c>
      <c r="W42" s="529" t="s">
        <v>1234</v>
      </c>
      <c r="X42" s="529" t="s">
        <v>945</v>
      </c>
      <c r="Y42" s="529" t="s">
        <v>942</v>
      </c>
      <c r="Z42" s="530"/>
      <c r="AA42" s="529" t="s">
        <v>1065</v>
      </c>
      <c r="AB42" s="532"/>
      <c r="AC42" s="529" t="s">
        <v>1085</v>
      </c>
      <c r="AD42" s="529" t="s">
        <v>1133</v>
      </c>
      <c r="AE42" s="529" t="s">
        <v>1134</v>
      </c>
      <c r="AF42" s="529" t="s">
        <v>1135</v>
      </c>
      <c r="AG42" s="529" t="s">
        <v>1136</v>
      </c>
      <c r="AH42" s="529" t="s">
        <v>1072</v>
      </c>
      <c r="AI42" s="529" t="s">
        <v>1072</v>
      </c>
      <c r="AJ42" s="529" t="s">
        <v>945</v>
      </c>
      <c r="AK42" s="529">
        <v>24.0</v>
      </c>
      <c r="AL42" s="529" t="s">
        <v>1138</v>
      </c>
      <c r="AM42" s="529">
        <v>3.0</v>
      </c>
      <c r="AN42" s="530" t="s">
        <v>975</v>
      </c>
      <c r="AO42" s="530" t="s">
        <v>1307</v>
      </c>
      <c r="AP42" s="529" t="s">
        <v>648</v>
      </c>
      <c r="AQ42" s="531">
        <v>45050.0</v>
      </c>
      <c r="AR42" s="531">
        <v>50529.0</v>
      </c>
      <c r="AS42" s="532">
        <v>46913.0</v>
      </c>
      <c r="AT42" s="532">
        <v>46258.0</v>
      </c>
      <c r="AU42" s="532">
        <v>46258.0</v>
      </c>
      <c r="AV42" s="531">
        <v>46344.0</v>
      </c>
      <c r="AW42" s="529" t="s">
        <v>1141</v>
      </c>
      <c r="AX42" s="573">
        <v>46173.0</v>
      </c>
      <c r="AY42" s="572" t="s">
        <v>1308</v>
      </c>
      <c r="AZ42" s="529">
        <v>14.0</v>
      </c>
      <c r="BA42" s="529" t="s">
        <v>1284</v>
      </c>
      <c r="BB42" s="529">
        <v>2.0</v>
      </c>
      <c r="BC42" s="532">
        <v>45939.0</v>
      </c>
    </row>
    <row r="43">
      <c r="A43" s="527" t="s">
        <v>41</v>
      </c>
      <c r="B43" s="529" t="s">
        <v>1118</v>
      </c>
      <c r="C43" s="527" t="s">
        <v>179</v>
      </c>
      <c r="D43" s="529" t="s">
        <v>1044</v>
      </c>
      <c r="E43" s="529" t="s">
        <v>1045</v>
      </c>
      <c r="F43" s="529" t="s">
        <v>1122</v>
      </c>
      <c r="G43" s="529" t="s">
        <v>1123</v>
      </c>
      <c r="H43" s="530" t="s">
        <v>1233</v>
      </c>
      <c r="I43" s="529" t="s">
        <v>1306</v>
      </c>
      <c r="J43" s="529" t="s">
        <v>1063</v>
      </c>
      <c r="K43" s="534">
        <v>281.0</v>
      </c>
      <c r="L43" s="530" t="s">
        <v>1073</v>
      </c>
      <c r="M43" s="531">
        <v>45154.0</v>
      </c>
      <c r="N43" s="531">
        <v>45154.0</v>
      </c>
      <c r="O43" s="530" t="s">
        <v>326</v>
      </c>
      <c r="P43" s="530" t="s">
        <v>327</v>
      </c>
      <c r="Q43" s="529">
        <v>2.0</v>
      </c>
      <c r="R43" s="529" t="s">
        <v>1128</v>
      </c>
      <c r="S43" s="529" t="s">
        <v>976</v>
      </c>
      <c r="T43" s="529" t="s">
        <v>1281</v>
      </c>
      <c r="U43" s="529">
        <v>200.0</v>
      </c>
      <c r="V43" s="529">
        <v>13.0</v>
      </c>
      <c r="W43" s="529" t="s">
        <v>1234</v>
      </c>
      <c r="X43" s="529" t="s">
        <v>945</v>
      </c>
      <c r="Y43" s="529" t="s">
        <v>942</v>
      </c>
      <c r="Z43" s="530"/>
      <c r="AA43" s="529" t="s">
        <v>1077</v>
      </c>
      <c r="AB43" s="532"/>
      <c r="AC43" s="529" t="s">
        <v>1085</v>
      </c>
      <c r="AD43" s="529" t="s">
        <v>1133</v>
      </c>
      <c r="AE43" s="529" t="s">
        <v>1134</v>
      </c>
      <c r="AF43" s="529" t="s">
        <v>1135</v>
      </c>
      <c r="AG43" s="529" t="s">
        <v>1136</v>
      </c>
      <c r="AH43" s="529" t="s">
        <v>1072</v>
      </c>
      <c r="AI43" s="529" t="s">
        <v>1072</v>
      </c>
      <c r="AJ43" s="529" t="s">
        <v>945</v>
      </c>
      <c r="AK43" s="529">
        <v>8.0</v>
      </c>
      <c r="AL43" s="529" t="s">
        <v>1138</v>
      </c>
      <c r="AM43" s="529">
        <v>2.0</v>
      </c>
      <c r="AN43" s="530" t="s">
        <v>1004</v>
      </c>
      <c r="AO43" s="530" t="s">
        <v>1309</v>
      </c>
      <c r="AP43" s="529" t="s">
        <v>648</v>
      </c>
      <c r="AQ43" s="531">
        <v>45154.0</v>
      </c>
      <c r="AR43" s="531">
        <v>48807.0</v>
      </c>
      <c r="AS43" s="532">
        <v>46981.0</v>
      </c>
      <c r="AT43" s="532">
        <v>46258.0</v>
      </c>
      <c r="AU43" s="532">
        <v>46258.0</v>
      </c>
      <c r="AV43" s="531">
        <v>46344.0</v>
      </c>
      <c r="AW43" s="529" t="s">
        <v>1141</v>
      </c>
      <c r="AX43" s="573">
        <v>46173.0</v>
      </c>
      <c r="AY43" s="529" t="s">
        <v>1308</v>
      </c>
      <c r="AZ43" s="529">
        <v>10.0</v>
      </c>
      <c r="BA43" s="529" t="s">
        <v>1284</v>
      </c>
      <c r="BB43" s="529">
        <v>1.0</v>
      </c>
      <c r="BC43" s="532">
        <v>45954.0</v>
      </c>
    </row>
    <row r="44">
      <c r="A44" s="527" t="s">
        <v>358</v>
      </c>
      <c r="B44" s="529" t="s">
        <v>1118</v>
      </c>
      <c r="C44" s="527" t="s">
        <v>179</v>
      </c>
      <c r="D44" s="529" t="s">
        <v>1044</v>
      </c>
      <c r="E44" s="529" t="s">
        <v>1045</v>
      </c>
      <c r="F44" s="529" t="s">
        <v>1122</v>
      </c>
      <c r="G44" s="529" t="s">
        <v>1123</v>
      </c>
      <c r="H44" s="530" t="s">
        <v>1124</v>
      </c>
      <c r="I44" s="529" t="s">
        <v>142</v>
      </c>
      <c r="J44" s="529" t="s">
        <v>1063</v>
      </c>
      <c r="K44" s="534">
        <v>281.0</v>
      </c>
      <c r="L44" s="530" t="s">
        <v>1119</v>
      </c>
      <c r="M44" s="531">
        <v>42399.0</v>
      </c>
      <c r="N44" s="531">
        <v>42399.0</v>
      </c>
      <c r="O44" s="530" t="s">
        <v>680</v>
      </c>
      <c r="P44" s="530" t="s">
        <v>681</v>
      </c>
      <c r="Q44" s="529">
        <v>3.0</v>
      </c>
      <c r="R44" s="529" t="s">
        <v>1070</v>
      </c>
      <c r="S44" s="529" t="s">
        <v>1071</v>
      </c>
      <c r="T44" s="529" t="s">
        <v>1281</v>
      </c>
      <c r="U44" s="529">
        <v>200.0</v>
      </c>
      <c r="V44" s="534">
        <v>19.0</v>
      </c>
      <c r="W44" s="529" t="s">
        <v>1299</v>
      </c>
      <c r="X44" s="529" t="s">
        <v>945</v>
      </c>
      <c r="Y44" s="529" t="s">
        <v>945</v>
      </c>
      <c r="Z44" s="529" t="s">
        <v>516</v>
      </c>
      <c r="AA44" s="529" t="s">
        <v>516</v>
      </c>
      <c r="AB44" s="532"/>
      <c r="AC44" s="529" t="s">
        <v>1085</v>
      </c>
      <c r="AD44" s="529" t="s">
        <v>1133</v>
      </c>
      <c r="AE44" s="529" t="s">
        <v>1134</v>
      </c>
      <c r="AF44" s="529" t="s">
        <v>1135</v>
      </c>
      <c r="AG44" s="529" t="s">
        <v>1136</v>
      </c>
      <c r="AH44" s="529" t="s">
        <v>1072</v>
      </c>
      <c r="AI44" s="529" t="s">
        <v>1072</v>
      </c>
      <c r="AJ44" s="529" t="s">
        <v>942</v>
      </c>
      <c r="AK44" s="529">
        <v>16.0</v>
      </c>
      <c r="AL44" s="529" t="s">
        <v>1138</v>
      </c>
      <c r="AM44" s="529">
        <v>2.0</v>
      </c>
      <c r="AN44" s="530" t="s">
        <v>1004</v>
      </c>
      <c r="AO44" s="530" t="s">
        <v>1310</v>
      </c>
      <c r="AP44" s="529" t="s">
        <v>657</v>
      </c>
      <c r="AQ44" s="531">
        <v>42399.0</v>
      </c>
      <c r="AR44" s="531">
        <v>46052.0</v>
      </c>
      <c r="AS44" s="532">
        <v>46417.0</v>
      </c>
      <c r="AT44" s="532">
        <v>46238.0</v>
      </c>
      <c r="AU44" s="532">
        <v>46238.0</v>
      </c>
      <c r="AV44" s="531">
        <v>46344.0</v>
      </c>
      <c r="AW44" s="530"/>
      <c r="AX44" s="532"/>
      <c r="AY44" s="530"/>
      <c r="AZ44" s="529">
        <v>10.0</v>
      </c>
      <c r="BA44" s="529" t="s">
        <v>1284</v>
      </c>
      <c r="BB44" s="529">
        <v>1.0</v>
      </c>
      <c r="BC44" s="532">
        <v>46072.0</v>
      </c>
    </row>
    <row r="45">
      <c r="A45" s="527" t="s">
        <v>359</v>
      </c>
      <c r="B45" s="529" t="s">
        <v>1118</v>
      </c>
      <c r="C45" s="527" t="s">
        <v>179</v>
      </c>
      <c r="D45" s="529" t="s">
        <v>1044</v>
      </c>
      <c r="E45" s="529" t="s">
        <v>1045</v>
      </c>
      <c r="F45" s="529" t="s">
        <v>1122</v>
      </c>
      <c r="G45" s="529" t="s">
        <v>1123</v>
      </c>
      <c r="H45" s="530" t="s">
        <v>1124</v>
      </c>
      <c r="I45" s="529" t="s">
        <v>142</v>
      </c>
      <c r="J45" s="529" t="s">
        <v>1063</v>
      </c>
      <c r="K45" s="534">
        <v>281.0</v>
      </c>
      <c r="L45" s="530" t="s">
        <v>1119</v>
      </c>
      <c r="M45" s="531">
        <v>42399.0</v>
      </c>
      <c r="N45" s="531">
        <v>42399.0</v>
      </c>
      <c r="O45" s="530" t="s">
        <v>682</v>
      </c>
      <c r="P45" s="529" t="s">
        <v>1120</v>
      </c>
      <c r="Q45" s="529">
        <v>3.0</v>
      </c>
      <c r="R45" s="529" t="s">
        <v>1070</v>
      </c>
      <c r="S45" s="529" t="s">
        <v>1071</v>
      </c>
      <c r="T45" s="529" t="s">
        <v>1281</v>
      </c>
      <c r="U45" s="529">
        <v>200.0</v>
      </c>
      <c r="V45" s="534">
        <v>19.0</v>
      </c>
      <c r="W45" s="529" t="s">
        <v>1299</v>
      </c>
      <c r="X45" s="529" t="s">
        <v>945</v>
      </c>
      <c r="Y45" s="529" t="s">
        <v>945</v>
      </c>
      <c r="Z45" s="529" t="s">
        <v>516</v>
      </c>
      <c r="AA45" s="529" t="s">
        <v>516</v>
      </c>
      <c r="AB45" s="532"/>
      <c r="AC45" s="529" t="s">
        <v>1085</v>
      </c>
      <c r="AD45" s="529" t="s">
        <v>1133</v>
      </c>
      <c r="AE45" s="529" t="s">
        <v>1134</v>
      </c>
      <c r="AF45" s="529" t="s">
        <v>1135</v>
      </c>
      <c r="AG45" s="529" t="s">
        <v>1136</v>
      </c>
      <c r="AH45" s="529" t="s">
        <v>1072</v>
      </c>
      <c r="AI45" s="529" t="s">
        <v>1072</v>
      </c>
      <c r="AJ45" s="529" t="s">
        <v>942</v>
      </c>
      <c r="AK45" s="529">
        <v>16.0</v>
      </c>
      <c r="AL45" s="529" t="s">
        <v>1138</v>
      </c>
      <c r="AM45" s="529">
        <v>2.0</v>
      </c>
      <c r="AN45" s="530" t="s">
        <v>1004</v>
      </c>
      <c r="AO45" s="530" t="s">
        <v>1311</v>
      </c>
      <c r="AP45" s="529" t="s">
        <v>657</v>
      </c>
      <c r="AQ45" s="531">
        <v>42399.0</v>
      </c>
      <c r="AR45" s="531">
        <v>46052.0</v>
      </c>
      <c r="AS45" s="532">
        <v>46417.0</v>
      </c>
      <c r="AT45" s="532">
        <v>46238.0</v>
      </c>
      <c r="AU45" s="532">
        <v>46238.0</v>
      </c>
      <c r="AV45" s="531">
        <v>46344.0</v>
      </c>
      <c r="AW45" s="530"/>
      <c r="AX45" s="532"/>
      <c r="AY45" s="530"/>
      <c r="AZ45" s="529">
        <v>10.0</v>
      </c>
      <c r="BA45" s="529" t="s">
        <v>1284</v>
      </c>
      <c r="BB45" s="529">
        <v>1.0</v>
      </c>
      <c r="BC45" s="532">
        <v>45708.0</v>
      </c>
    </row>
    <row r="46">
      <c r="A46" s="527" t="s">
        <v>17</v>
      </c>
      <c r="B46" s="529" t="s">
        <v>1118</v>
      </c>
      <c r="C46" s="527" t="s">
        <v>179</v>
      </c>
      <c r="D46" s="529" t="s">
        <v>1044</v>
      </c>
      <c r="E46" s="529" t="s">
        <v>1045</v>
      </c>
      <c r="F46" s="529" t="s">
        <v>1122</v>
      </c>
      <c r="G46" s="529" t="s">
        <v>1123</v>
      </c>
      <c r="H46" s="530" t="s">
        <v>1238</v>
      </c>
      <c r="I46" s="529" t="s">
        <v>8</v>
      </c>
      <c r="J46" s="529" t="s">
        <v>1125</v>
      </c>
      <c r="K46" s="534">
        <v>276.0</v>
      </c>
      <c r="L46" s="530" t="s">
        <v>991</v>
      </c>
      <c r="M46" s="531">
        <v>43250.0</v>
      </c>
      <c r="N46" s="531">
        <v>43250.0</v>
      </c>
      <c r="O46" s="530" t="s">
        <v>200</v>
      </c>
      <c r="P46" s="530" t="s">
        <v>201</v>
      </c>
      <c r="Q46" s="529">
        <v>4.0</v>
      </c>
      <c r="R46" s="529" t="s">
        <v>1128</v>
      </c>
      <c r="S46" s="529" t="s">
        <v>976</v>
      </c>
      <c r="T46" s="529" t="s">
        <v>1281</v>
      </c>
      <c r="U46" s="534">
        <v>250.0</v>
      </c>
      <c r="V46" s="534">
        <v>22.0</v>
      </c>
      <c r="W46" s="529" t="s">
        <v>1299</v>
      </c>
      <c r="X46" s="529" t="s">
        <v>945</v>
      </c>
      <c r="Y46" s="529" t="s">
        <v>945</v>
      </c>
      <c r="Z46" s="529" t="s">
        <v>516</v>
      </c>
      <c r="AA46" s="529" t="s">
        <v>516</v>
      </c>
      <c r="AB46" s="532"/>
      <c r="AC46" s="529" t="s">
        <v>1085</v>
      </c>
      <c r="AD46" s="529" t="s">
        <v>1133</v>
      </c>
      <c r="AE46" s="529" t="s">
        <v>1134</v>
      </c>
      <c r="AF46" s="529" t="s">
        <v>1135</v>
      </c>
      <c r="AG46" s="529" t="s">
        <v>1136</v>
      </c>
      <c r="AH46" s="529" t="s">
        <v>1072</v>
      </c>
      <c r="AI46" s="529" t="s">
        <v>1072</v>
      </c>
      <c r="AJ46" s="529" t="s">
        <v>945</v>
      </c>
      <c r="AK46" s="529">
        <v>24.0</v>
      </c>
      <c r="AL46" s="529" t="s">
        <v>1138</v>
      </c>
      <c r="AM46" s="529">
        <v>3.0</v>
      </c>
      <c r="AN46" s="530" t="s">
        <v>975</v>
      </c>
      <c r="AO46" s="530" t="s">
        <v>1312</v>
      </c>
      <c r="AP46" s="529" t="s">
        <v>648</v>
      </c>
      <c r="AQ46" s="531">
        <v>43250.0</v>
      </c>
      <c r="AR46" s="531">
        <v>48729.0</v>
      </c>
      <c r="AS46" s="532">
        <v>46903.0</v>
      </c>
      <c r="AT46" s="532">
        <v>46237.0</v>
      </c>
      <c r="AU46" s="532">
        <v>46237.0</v>
      </c>
      <c r="AV46" s="531">
        <v>46303.0</v>
      </c>
      <c r="AW46" s="529" t="s">
        <v>1108</v>
      </c>
      <c r="AX46" s="531">
        <v>46388.0</v>
      </c>
      <c r="AY46" s="529" t="s">
        <v>1313</v>
      </c>
      <c r="AZ46" s="529">
        <v>14.0</v>
      </c>
      <c r="BA46" s="529" t="s">
        <v>1284</v>
      </c>
      <c r="BB46" s="529">
        <v>2.0</v>
      </c>
      <c r="BC46" s="532">
        <v>45776.0</v>
      </c>
    </row>
    <row r="47">
      <c r="A47" s="527" t="s">
        <v>20</v>
      </c>
      <c r="B47" s="529" t="s">
        <v>1118</v>
      </c>
      <c r="C47" s="527" t="s">
        <v>179</v>
      </c>
      <c r="D47" s="529" t="s">
        <v>1044</v>
      </c>
      <c r="E47" s="529" t="s">
        <v>1045</v>
      </c>
      <c r="F47" s="529" t="s">
        <v>1122</v>
      </c>
      <c r="G47" s="529" t="s">
        <v>1123</v>
      </c>
      <c r="H47" s="530" t="s">
        <v>1238</v>
      </c>
      <c r="I47" s="529" t="s">
        <v>8</v>
      </c>
      <c r="J47" s="529" t="s">
        <v>1125</v>
      </c>
      <c r="K47" s="534">
        <v>276.0</v>
      </c>
      <c r="L47" s="530" t="s">
        <v>991</v>
      </c>
      <c r="M47" s="531">
        <v>43250.0</v>
      </c>
      <c r="N47" s="531">
        <v>43250.0</v>
      </c>
      <c r="O47" s="530" t="s">
        <v>210</v>
      </c>
      <c r="P47" s="530" t="s">
        <v>211</v>
      </c>
      <c r="Q47" s="529">
        <v>4.0</v>
      </c>
      <c r="R47" s="529" t="s">
        <v>1128</v>
      </c>
      <c r="S47" s="529" t="s">
        <v>976</v>
      </c>
      <c r="T47" s="529" t="s">
        <v>1281</v>
      </c>
      <c r="U47" s="534">
        <v>250.0</v>
      </c>
      <c r="V47" s="534">
        <v>22.0</v>
      </c>
      <c r="W47" s="529" t="s">
        <v>1299</v>
      </c>
      <c r="X47" s="529" t="s">
        <v>945</v>
      </c>
      <c r="Y47" s="529" t="s">
        <v>945</v>
      </c>
      <c r="Z47" s="529" t="s">
        <v>516</v>
      </c>
      <c r="AA47" s="529" t="s">
        <v>516</v>
      </c>
      <c r="AB47" s="532"/>
      <c r="AC47" s="529" t="s">
        <v>1085</v>
      </c>
      <c r="AD47" s="529" t="s">
        <v>1133</v>
      </c>
      <c r="AE47" s="529" t="s">
        <v>1134</v>
      </c>
      <c r="AF47" s="529" t="s">
        <v>1135</v>
      </c>
      <c r="AG47" s="529" t="s">
        <v>1136</v>
      </c>
      <c r="AH47" s="529" t="s">
        <v>1072</v>
      </c>
      <c r="AI47" s="529" t="s">
        <v>1072</v>
      </c>
      <c r="AJ47" s="529" t="s">
        <v>945</v>
      </c>
      <c r="AK47" s="529">
        <v>24.0</v>
      </c>
      <c r="AL47" s="529" t="s">
        <v>1138</v>
      </c>
      <c r="AM47" s="529">
        <v>3.0</v>
      </c>
      <c r="AN47" s="530" t="s">
        <v>975</v>
      </c>
      <c r="AO47" s="530" t="s">
        <v>1314</v>
      </c>
      <c r="AP47" s="529" t="s">
        <v>648</v>
      </c>
      <c r="AQ47" s="531">
        <v>43250.0</v>
      </c>
      <c r="AR47" s="531">
        <v>48729.0</v>
      </c>
      <c r="AS47" s="532">
        <v>46903.0</v>
      </c>
      <c r="AT47" s="532">
        <v>46257.0</v>
      </c>
      <c r="AU47" s="532">
        <v>46257.0</v>
      </c>
      <c r="AV47" s="531">
        <v>46344.0</v>
      </c>
      <c r="AW47" s="529" t="s">
        <v>1108</v>
      </c>
      <c r="AX47" s="531">
        <v>46388.0</v>
      </c>
      <c r="AY47" s="529" t="s">
        <v>1315</v>
      </c>
      <c r="AZ47" s="529">
        <v>14.0</v>
      </c>
      <c r="BA47" s="529" t="s">
        <v>1284</v>
      </c>
      <c r="BB47" s="529">
        <v>2.0</v>
      </c>
      <c r="BC47" s="532">
        <v>45457.0</v>
      </c>
    </row>
    <row r="48">
      <c r="A48" s="527" t="s">
        <v>22</v>
      </c>
      <c r="B48" s="529" t="s">
        <v>1118</v>
      </c>
      <c r="C48" s="527" t="s">
        <v>179</v>
      </c>
      <c r="D48" s="529" t="s">
        <v>1044</v>
      </c>
      <c r="E48" s="529" t="s">
        <v>1045</v>
      </c>
      <c r="F48" s="529" t="s">
        <v>1122</v>
      </c>
      <c r="G48" s="529" t="s">
        <v>1123</v>
      </c>
      <c r="H48" s="530" t="s">
        <v>1238</v>
      </c>
      <c r="I48" s="529" t="s">
        <v>8</v>
      </c>
      <c r="J48" s="529" t="s">
        <v>1125</v>
      </c>
      <c r="K48" s="534">
        <v>276.0</v>
      </c>
      <c r="L48" s="530" t="s">
        <v>991</v>
      </c>
      <c r="M48" s="531">
        <v>43250.0</v>
      </c>
      <c r="N48" s="531">
        <v>43250.0</v>
      </c>
      <c r="O48" s="530" t="s">
        <v>226</v>
      </c>
      <c r="P48" s="530" t="s">
        <v>228</v>
      </c>
      <c r="Q48" s="529">
        <v>4.0</v>
      </c>
      <c r="R48" s="529" t="s">
        <v>1128</v>
      </c>
      <c r="S48" s="529" t="s">
        <v>976</v>
      </c>
      <c r="T48" s="529" t="s">
        <v>1281</v>
      </c>
      <c r="U48" s="534">
        <v>250.0</v>
      </c>
      <c r="V48" s="534">
        <v>22.0</v>
      </c>
      <c r="W48" s="529" t="s">
        <v>1299</v>
      </c>
      <c r="X48" s="529" t="s">
        <v>945</v>
      </c>
      <c r="Y48" s="529" t="s">
        <v>945</v>
      </c>
      <c r="Z48" s="529" t="s">
        <v>516</v>
      </c>
      <c r="AA48" s="529" t="s">
        <v>516</v>
      </c>
      <c r="AB48" s="532"/>
      <c r="AC48" s="529" t="s">
        <v>1085</v>
      </c>
      <c r="AD48" s="529" t="s">
        <v>1133</v>
      </c>
      <c r="AE48" s="529" t="s">
        <v>1134</v>
      </c>
      <c r="AF48" s="529" t="s">
        <v>1135</v>
      </c>
      <c r="AG48" s="529" t="s">
        <v>1136</v>
      </c>
      <c r="AH48" s="529" t="s">
        <v>1072</v>
      </c>
      <c r="AI48" s="529" t="s">
        <v>1072</v>
      </c>
      <c r="AJ48" s="529" t="s">
        <v>945</v>
      </c>
      <c r="AK48" s="529">
        <v>24.0</v>
      </c>
      <c r="AL48" s="529" t="s">
        <v>1138</v>
      </c>
      <c r="AM48" s="529">
        <v>3.0</v>
      </c>
      <c r="AN48" s="530" t="s">
        <v>975</v>
      </c>
      <c r="AO48" s="530" t="s">
        <v>1316</v>
      </c>
      <c r="AP48" s="529" t="s">
        <v>648</v>
      </c>
      <c r="AQ48" s="531">
        <v>43250.0</v>
      </c>
      <c r="AR48" s="531">
        <v>48729.0</v>
      </c>
      <c r="AS48" s="532">
        <v>46903.0</v>
      </c>
      <c r="AT48" s="532">
        <v>46257.0</v>
      </c>
      <c r="AU48" s="532">
        <v>46257.0</v>
      </c>
      <c r="AV48" s="531">
        <v>46344.0</v>
      </c>
      <c r="AW48" s="529" t="s">
        <v>1108</v>
      </c>
      <c r="AX48" s="531">
        <v>46388.0</v>
      </c>
      <c r="AY48" s="529" t="s">
        <v>1317</v>
      </c>
      <c r="AZ48" s="529">
        <v>14.0</v>
      </c>
      <c r="BA48" s="529" t="s">
        <v>1284</v>
      </c>
      <c r="BB48" s="529">
        <v>2.0</v>
      </c>
      <c r="BC48" s="532">
        <v>45777.0</v>
      </c>
    </row>
    <row r="49">
      <c r="A49" s="527" t="s">
        <v>46</v>
      </c>
      <c r="B49" s="529" t="s">
        <v>1118</v>
      </c>
      <c r="C49" s="527" t="s">
        <v>179</v>
      </c>
      <c r="D49" s="529" t="s">
        <v>1044</v>
      </c>
      <c r="E49" s="529" t="s">
        <v>1045</v>
      </c>
      <c r="F49" s="529" t="s">
        <v>1122</v>
      </c>
      <c r="G49" s="529" t="s">
        <v>1123</v>
      </c>
      <c r="H49" s="530" t="s">
        <v>1124</v>
      </c>
      <c r="I49" s="529" t="s">
        <v>47</v>
      </c>
      <c r="J49" s="529" t="s">
        <v>1125</v>
      </c>
      <c r="K49" s="534">
        <v>281.0</v>
      </c>
      <c r="L49" s="530" t="s">
        <v>1012</v>
      </c>
      <c r="M49" s="531">
        <v>44846.0</v>
      </c>
      <c r="N49" s="531">
        <v>44846.0</v>
      </c>
      <c r="O49" s="530" t="s">
        <v>333</v>
      </c>
      <c r="P49" s="530" t="s">
        <v>334</v>
      </c>
      <c r="Q49" s="529">
        <v>4.0</v>
      </c>
      <c r="R49" s="529" t="s">
        <v>1128</v>
      </c>
      <c r="S49" s="529" t="s">
        <v>976</v>
      </c>
      <c r="T49" s="529" t="s">
        <v>1281</v>
      </c>
      <c r="U49" s="529">
        <v>200.0</v>
      </c>
      <c r="V49" s="529">
        <v>13.0</v>
      </c>
      <c r="W49" s="529" t="s">
        <v>1234</v>
      </c>
      <c r="X49" s="529" t="s">
        <v>945</v>
      </c>
      <c r="Y49" s="529" t="s">
        <v>942</v>
      </c>
      <c r="Z49" s="530"/>
      <c r="AA49" s="529" t="s">
        <v>1139</v>
      </c>
      <c r="AB49" s="532"/>
      <c r="AC49" s="529" t="s">
        <v>1085</v>
      </c>
      <c r="AD49" s="529" t="s">
        <v>1133</v>
      </c>
      <c r="AE49" s="529" t="s">
        <v>1134</v>
      </c>
      <c r="AF49" s="529" t="s">
        <v>1135</v>
      </c>
      <c r="AG49" s="529" t="s">
        <v>1136</v>
      </c>
      <c r="AH49" s="529" t="s">
        <v>1072</v>
      </c>
      <c r="AI49" s="529" t="s">
        <v>1072</v>
      </c>
      <c r="AJ49" s="529" t="s">
        <v>945</v>
      </c>
      <c r="AK49" s="529">
        <v>24.0</v>
      </c>
      <c r="AL49" s="529" t="s">
        <v>1138</v>
      </c>
      <c r="AM49" s="529">
        <v>3.0</v>
      </c>
      <c r="AN49" s="530" t="s">
        <v>975</v>
      </c>
      <c r="AO49" s="530" t="s">
        <v>1318</v>
      </c>
      <c r="AP49" s="529" t="s">
        <v>657</v>
      </c>
      <c r="AQ49" s="531">
        <v>41194.0</v>
      </c>
      <c r="AR49" s="531">
        <v>48499.0</v>
      </c>
      <c r="AS49" s="532">
        <v>46672.0</v>
      </c>
      <c r="AT49" s="532">
        <v>46315.0</v>
      </c>
      <c r="AU49" s="532">
        <v>46315.0</v>
      </c>
      <c r="AV49" s="531">
        <v>46344.0</v>
      </c>
      <c r="AW49" s="529" t="s">
        <v>1108</v>
      </c>
      <c r="AX49" s="531">
        <v>46388.0</v>
      </c>
      <c r="AY49" s="529" t="s">
        <v>1319</v>
      </c>
      <c r="AZ49" s="529">
        <v>14.0</v>
      </c>
      <c r="BA49" s="529" t="s">
        <v>1284</v>
      </c>
      <c r="BB49" s="529">
        <v>2.0</v>
      </c>
      <c r="BC49" s="532">
        <v>45707.0</v>
      </c>
    </row>
    <row r="50">
      <c r="A50" s="527" t="s">
        <v>51</v>
      </c>
      <c r="B50" s="529" t="s">
        <v>1118</v>
      </c>
      <c r="C50" s="527" t="s">
        <v>179</v>
      </c>
      <c r="D50" s="529" t="s">
        <v>1044</v>
      </c>
      <c r="E50" s="529" t="s">
        <v>1045</v>
      </c>
      <c r="F50" s="529" t="s">
        <v>1122</v>
      </c>
      <c r="G50" s="529" t="s">
        <v>1123</v>
      </c>
      <c r="H50" s="530" t="s">
        <v>1124</v>
      </c>
      <c r="I50" s="529" t="s">
        <v>47</v>
      </c>
      <c r="J50" s="529" t="s">
        <v>1125</v>
      </c>
      <c r="K50" s="534">
        <v>280.0</v>
      </c>
      <c r="L50" s="530" t="s">
        <v>1126</v>
      </c>
      <c r="M50" s="531">
        <v>45048.0</v>
      </c>
      <c r="N50" s="531">
        <v>45048.0</v>
      </c>
      <c r="O50" s="530" t="s">
        <v>337</v>
      </c>
      <c r="P50" s="530" t="s">
        <v>338</v>
      </c>
      <c r="Q50" s="529">
        <v>4.0</v>
      </c>
      <c r="R50" s="529" t="s">
        <v>1128</v>
      </c>
      <c r="S50" s="529" t="s">
        <v>976</v>
      </c>
      <c r="T50" s="529" t="s">
        <v>1281</v>
      </c>
      <c r="U50" s="529">
        <v>380.0</v>
      </c>
      <c r="V50" s="529">
        <v>29.0</v>
      </c>
      <c r="W50" s="529" t="s">
        <v>1074</v>
      </c>
      <c r="X50" s="529" t="s">
        <v>942</v>
      </c>
      <c r="Y50" s="529" t="s">
        <v>942</v>
      </c>
      <c r="Z50" s="530"/>
      <c r="AA50" s="529" t="s">
        <v>1137</v>
      </c>
      <c r="AB50" s="532"/>
      <c r="AC50" s="529" t="s">
        <v>1085</v>
      </c>
      <c r="AD50" s="529" t="s">
        <v>1133</v>
      </c>
      <c r="AE50" s="529" t="s">
        <v>1134</v>
      </c>
      <c r="AF50" s="529" t="s">
        <v>1135</v>
      </c>
      <c r="AG50" s="529" t="s">
        <v>1136</v>
      </c>
      <c r="AH50" s="529" t="s">
        <v>1072</v>
      </c>
      <c r="AI50" s="529" t="s">
        <v>1072</v>
      </c>
      <c r="AJ50" s="529" t="s">
        <v>945</v>
      </c>
      <c r="AK50" s="529">
        <v>24.0</v>
      </c>
      <c r="AL50" s="529" t="s">
        <v>1138</v>
      </c>
      <c r="AM50" s="529">
        <v>3.0</v>
      </c>
      <c r="AN50" s="530" t="s">
        <v>975</v>
      </c>
      <c r="AO50" s="530" t="s">
        <v>1320</v>
      </c>
      <c r="AP50" s="529" t="s">
        <v>657</v>
      </c>
      <c r="AQ50" s="531">
        <v>45048.0</v>
      </c>
      <c r="AR50" s="531">
        <v>48701.0</v>
      </c>
      <c r="AS50" s="532">
        <v>46875.0</v>
      </c>
      <c r="AT50" s="532">
        <v>46185.0</v>
      </c>
      <c r="AU50" s="532">
        <v>46189.0</v>
      </c>
      <c r="AV50" s="531">
        <v>46344.0</v>
      </c>
      <c r="AW50" s="529" t="s">
        <v>1108</v>
      </c>
      <c r="AX50" s="531">
        <v>46388.0</v>
      </c>
      <c r="AY50" s="529" t="s">
        <v>1321</v>
      </c>
      <c r="AZ50" s="529">
        <v>14.0</v>
      </c>
      <c r="BA50" s="529" t="s">
        <v>1284</v>
      </c>
      <c r="BB50" s="529">
        <v>2.0</v>
      </c>
      <c r="BC50" s="532">
        <v>45856.0</v>
      </c>
    </row>
    <row r="51">
      <c r="A51" s="527" t="s">
        <v>127</v>
      </c>
      <c r="B51" s="529" t="s">
        <v>1118</v>
      </c>
      <c r="C51" s="527" t="s">
        <v>179</v>
      </c>
      <c r="D51" s="529" t="s">
        <v>1044</v>
      </c>
      <c r="E51" s="529" t="s">
        <v>1045</v>
      </c>
      <c r="F51" s="529" t="s">
        <v>1122</v>
      </c>
      <c r="G51" s="529" t="s">
        <v>1123</v>
      </c>
      <c r="H51" s="530" t="s">
        <v>1124</v>
      </c>
      <c r="I51" s="529" t="s">
        <v>124</v>
      </c>
      <c r="J51" s="529" t="s">
        <v>1125</v>
      </c>
      <c r="K51" s="534">
        <v>281.0</v>
      </c>
      <c r="L51" s="530" t="s">
        <v>1102</v>
      </c>
      <c r="M51" s="531">
        <v>44813.0</v>
      </c>
      <c r="N51" s="531">
        <v>44813.0</v>
      </c>
      <c r="O51" s="530" t="s">
        <v>621</v>
      </c>
      <c r="P51" s="530" t="s">
        <v>622</v>
      </c>
      <c r="Q51" s="529">
        <v>4.0</v>
      </c>
      <c r="R51" s="529" t="s">
        <v>1128</v>
      </c>
      <c r="S51" s="529" t="s">
        <v>976</v>
      </c>
      <c r="T51" s="529" t="s">
        <v>1281</v>
      </c>
      <c r="U51" s="529">
        <v>200.0</v>
      </c>
      <c r="V51" s="529">
        <v>13.0</v>
      </c>
      <c r="W51" s="529" t="s">
        <v>1234</v>
      </c>
      <c r="X51" s="529" t="s">
        <v>945</v>
      </c>
      <c r="Y51" s="529" t="s">
        <v>945</v>
      </c>
      <c r="Z51" s="529" t="s">
        <v>516</v>
      </c>
      <c r="AA51" s="529" t="s">
        <v>516</v>
      </c>
      <c r="AB51" s="532"/>
      <c r="AC51" s="529" t="s">
        <v>1085</v>
      </c>
      <c r="AD51" s="529" t="s">
        <v>1133</v>
      </c>
      <c r="AE51" s="529" t="s">
        <v>1134</v>
      </c>
      <c r="AF51" s="529" t="s">
        <v>1135</v>
      </c>
      <c r="AG51" s="529" t="s">
        <v>1136</v>
      </c>
      <c r="AH51" s="529" t="s">
        <v>1072</v>
      </c>
      <c r="AI51" s="529" t="s">
        <v>1072</v>
      </c>
      <c r="AJ51" s="529" t="s">
        <v>945</v>
      </c>
      <c r="AK51" s="529">
        <v>24.0</v>
      </c>
      <c r="AL51" s="529" t="s">
        <v>1138</v>
      </c>
      <c r="AM51" s="529">
        <v>3.0</v>
      </c>
      <c r="AN51" s="530" t="s">
        <v>975</v>
      </c>
      <c r="AO51" s="530" t="s">
        <v>1322</v>
      </c>
      <c r="AP51" s="529" t="s">
        <v>657</v>
      </c>
      <c r="AQ51" s="531">
        <v>41161.0</v>
      </c>
      <c r="AR51" s="531">
        <v>46639.0</v>
      </c>
      <c r="AS51" s="532">
        <v>46639.0</v>
      </c>
      <c r="AT51" s="532">
        <v>46301.0</v>
      </c>
      <c r="AU51" s="532">
        <v>46301.0</v>
      </c>
      <c r="AV51" s="531">
        <v>46344.0</v>
      </c>
      <c r="AW51" s="529" t="s">
        <v>1108</v>
      </c>
      <c r="AX51" s="531">
        <v>46388.0</v>
      </c>
      <c r="AY51" s="529" t="s">
        <v>1323</v>
      </c>
      <c r="AZ51" s="529">
        <v>14.0</v>
      </c>
      <c r="BA51" s="529" t="s">
        <v>1284</v>
      </c>
      <c r="BB51" s="529">
        <v>2.0</v>
      </c>
      <c r="BC51" s="532">
        <v>45582.0</v>
      </c>
    </row>
    <row r="52">
      <c r="A52" s="527" t="s">
        <v>119</v>
      </c>
      <c r="B52" s="529" t="s">
        <v>1118</v>
      </c>
      <c r="C52" s="527" t="s">
        <v>179</v>
      </c>
      <c r="D52" s="529" t="s">
        <v>1044</v>
      </c>
      <c r="E52" s="529" t="s">
        <v>1045</v>
      </c>
      <c r="F52" s="529" t="s">
        <v>1122</v>
      </c>
      <c r="G52" s="529" t="s">
        <v>1123</v>
      </c>
      <c r="H52" s="530" t="s">
        <v>1233</v>
      </c>
      <c r="I52" s="529" t="s">
        <v>118</v>
      </c>
      <c r="J52" s="529" t="s">
        <v>1063</v>
      </c>
      <c r="K52" s="534">
        <v>281.0</v>
      </c>
      <c r="L52" s="530" t="s">
        <v>1024</v>
      </c>
      <c r="M52" s="531">
        <v>45534.0</v>
      </c>
      <c r="N52" s="531">
        <v>45534.0</v>
      </c>
      <c r="O52" s="530" t="s">
        <v>557</v>
      </c>
      <c r="P52" s="530" t="s">
        <v>558</v>
      </c>
      <c r="Q52" s="529">
        <v>3.0</v>
      </c>
      <c r="R52" s="529" t="s">
        <v>1128</v>
      </c>
      <c r="S52" s="529" t="s">
        <v>976</v>
      </c>
      <c r="T52" s="529" t="s">
        <v>1281</v>
      </c>
      <c r="U52" s="529">
        <v>200.0</v>
      </c>
      <c r="V52" s="529">
        <v>13.0</v>
      </c>
      <c r="W52" s="529" t="s">
        <v>1234</v>
      </c>
      <c r="X52" s="529" t="s">
        <v>945</v>
      </c>
      <c r="Y52" s="529" t="s">
        <v>942</v>
      </c>
      <c r="Z52" s="530"/>
      <c r="AA52" s="529" t="s">
        <v>1094</v>
      </c>
      <c r="AB52" s="532"/>
      <c r="AC52" s="529" t="s">
        <v>1085</v>
      </c>
      <c r="AD52" s="529" t="s">
        <v>1133</v>
      </c>
      <c r="AE52" s="529" t="s">
        <v>1134</v>
      </c>
      <c r="AF52" s="529" t="s">
        <v>1135</v>
      </c>
      <c r="AG52" s="529" t="s">
        <v>1136</v>
      </c>
      <c r="AH52" s="529" t="s">
        <v>1072</v>
      </c>
      <c r="AI52" s="529" t="s">
        <v>1072</v>
      </c>
      <c r="AJ52" s="529" t="s">
        <v>945</v>
      </c>
      <c r="AK52" s="529">
        <v>16.0</v>
      </c>
      <c r="AL52" s="529" t="s">
        <v>1138</v>
      </c>
      <c r="AM52" s="529">
        <v>2.0</v>
      </c>
      <c r="AN52" s="530" t="s">
        <v>1004</v>
      </c>
      <c r="AO52" s="530" t="s">
        <v>1324</v>
      </c>
      <c r="AP52" s="529" t="s">
        <v>1003</v>
      </c>
      <c r="AQ52" s="531">
        <v>45534.0</v>
      </c>
      <c r="AR52" s="531">
        <v>51012.0</v>
      </c>
      <c r="AS52" s="532">
        <v>47360.0</v>
      </c>
      <c r="AT52" s="532">
        <v>46268.0</v>
      </c>
      <c r="AU52" s="532">
        <v>46267.0</v>
      </c>
      <c r="AV52" s="531">
        <v>46344.0</v>
      </c>
      <c r="AW52" s="529" t="s">
        <v>1108</v>
      </c>
      <c r="AX52" s="531">
        <v>46388.0</v>
      </c>
      <c r="AY52" s="529" t="s">
        <v>1325</v>
      </c>
      <c r="AZ52" s="529">
        <v>10.0</v>
      </c>
      <c r="BA52" s="529" t="s">
        <v>1284</v>
      </c>
      <c r="BB52" s="529">
        <v>1.0</v>
      </c>
      <c r="BC52" s="532">
        <v>45547.0</v>
      </c>
    </row>
    <row r="53">
      <c r="A53" s="527" t="s">
        <v>108</v>
      </c>
      <c r="B53" s="529" t="s">
        <v>1118</v>
      </c>
      <c r="C53" s="527" t="s">
        <v>179</v>
      </c>
      <c r="D53" s="529" t="s">
        <v>1044</v>
      </c>
      <c r="E53" s="529" t="s">
        <v>1045</v>
      </c>
      <c r="F53" s="529" t="s">
        <v>1122</v>
      </c>
      <c r="G53" s="529" t="s">
        <v>1123</v>
      </c>
      <c r="H53" s="530" t="s">
        <v>1233</v>
      </c>
      <c r="I53" s="529" t="s">
        <v>109</v>
      </c>
      <c r="J53" s="529" t="s">
        <v>1063</v>
      </c>
      <c r="K53" s="534">
        <v>281.0</v>
      </c>
      <c r="L53" s="530" t="s">
        <v>1024</v>
      </c>
      <c r="M53" s="531">
        <v>45244.0</v>
      </c>
      <c r="N53" s="531">
        <v>45244.0</v>
      </c>
      <c r="O53" s="530" t="s">
        <v>487</v>
      </c>
      <c r="P53" s="530" t="s">
        <v>488</v>
      </c>
      <c r="Q53" s="529">
        <v>3.0</v>
      </c>
      <c r="R53" s="529" t="s">
        <v>1128</v>
      </c>
      <c r="S53" s="529" t="s">
        <v>976</v>
      </c>
      <c r="T53" s="529" t="s">
        <v>1281</v>
      </c>
      <c r="U53" s="529">
        <v>200.0</v>
      </c>
      <c r="V53" s="529">
        <v>13.0</v>
      </c>
      <c r="W53" s="529" t="s">
        <v>1234</v>
      </c>
      <c r="X53" s="529" t="s">
        <v>945</v>
      </c>
      <c r="Y53" s="529" t="s">
        <v>942</v>
      </c>
      <c r="Z53" s="530"/>
      <c r="AA53" s="529" t="s">
        <v>1028</v>
      </c>
      <c r="AB53" s="532"/>
      <c r="AC53" s="529" t="s">
        <v>1085</v>
      </c>
      <c r="AD53" s="529" t="s">
        <v>1133</v>
      </c>
      <c r="AE53" s="529" t="s">
        <v>1134</v>
      </c>
      <c r="AF53" s="529" t="s">
        <v>1135</v>
      </c>
      <c r="AG53" s="529" t="s">
        <v>1136</v>
      </c>
      <c r="AH53" s="529" t="s">
        <v>1072</v>
      </c>
      <c r="AI53" s="529" t="s">
        <v>1072</v>
      </c>
      <c r="AJ53" s="529" t="s">
        <v>945</v>
      </c>
      <c r="AK53" s="529">
        <v>16.0</v>
      </c>
      <c r="AL53" s="529" t="s">
        <v>1138</v>
      </c>
      <c r="AM53" s="529">
        <v>2.0</v>
      </c>
      <c r="AN53" s="530" t="s">
        <v>1004</v>
      </c>
      <c r="AO53" s="530" t="s">
        <v>1326</v>
      </c>
      <c r="AP53" s="529" t="s">
        <v>657</v>
      </c>
      <c r="AQ53" s="531">
        <v>45244.0</v>
      </c>
      <c r="AR53" s="531">
        <v>48897.0</v>
      </c>
      <c r="AS53" s="532">
        <v>47071.0</v>
      </c>
      <c r="AT53" s="532">
        <v>46333.0</v>
      </c>
      <c r="AU53" s="532">
        <v>46333.0</v>
      </c>
      <c r="AV53" s="531">
        <v>46344.0</v>
      </c>
      <c r="AW53" s="529" t="s">
        <v>1108</v>
      </c>
      <c r="AX53" s="531">
        <v>46388.0</v>
      </c>
      <c r="AY53" s="529" t="s">
        <v>1327</v>
      </c>
      <c r="AZ53" s="529">
        <v>10.0</v>
      </c>
      <c r="BA53" s="529" t="s">
        <v>1284</v>
      </c>
      <c r="BB53" s="529">
        <v>1.0</v>
      </c>
      <c r="BC53" s="532">
        <v>45981.0</v>
      </c>
    </row>
    <row r="54">
      <c r="A54" s="527" t="s">
        <v>110</v>
      </c>
      <c r="B54" s="529" t="s">
        <v>1118</v>
      </c>
      <c r="C54" s="527" t="s">
        <v>179</v>
      </c>
      <c r="D54" s="529" t="s">
        <v>1044</v>
      </c>
      <c r="E54" s="529" t="s">
        <v>1045</v>
      </c>
      <c r="F54" s="529" t="s">
        <v>1122</v>
      </c>
      <c r="G54" s="529" t="s">
        <v>1123</v>
      </c>
      <c r="H54" s="530" t="s">
        <v>1233</v>
      </c>
      <c r="I54" s="529" t="s">
        <v>109</v>
      </c>
      <c r="J54" s="529" t="s">
        <v>1063</v>
      </c>
      <c r="K54" s="534">
        <v>281.0</v>
      </c>
      <c r="L54" s="530" t="s">
        <v>1024</v>
      </c>
      <c r="M54" s="531">
        <v>45244.0</v>
      </c>
      <c r="N54" s="531">
        <v>45244.0</v>
      </c>
      <c r="O54" s="530" t="s">
        <v>494</v>
      </c>
      <c r="P54" s="530" t="s">
        <v>495</v>
      </c>
      <c r="Q54" s="529">
        <v>3.0</v>
      </c>
      <c r="R54" s="529" t="s">
        <v>1128</v>
      </c>
      <c r="S54" s="529" t="s">
        <v>976</v>
      </c>
      <c r="T54" s="529" t="s">
        <v>1281</v>
      </c>
      <c r="U54" s="529">
        <v>200.0</v>
      </c>
      <c r="V54" s="529">
        <v>13.0</v>
      </c>
      <c r="W54" s="529" t="s">
        <v>1234</v>
      </c>
      <c r="X54" s="529" t="s">
        <v>945</v>
      </c>
      <c r="Y54" s="529" t="s">
        <v>942</v>
      </c>
      <c r="Z54" s="530"/>
      <c r="AA54" s="529" t="s">
        <v>1031</v>
      </c>
      <c r="AB54" s="532"/>
      <c r="AC54" s="529" t="s">
        <v>1085</v>
      </c>
      <c r="AD54" s="529" t="s">
        <v>1133</v>
      </c>
      <c r="AE54" s="529" t="s">
        <v>1134</v>
      </c>
      <c r="AF54" s="529" t="s">
        <v>1135</v>
      </c>
      <c r="AG54" s="529" t="s">
        <v>1136</v>
      </c>
      <c r="AH54" s="529" t="s">
        <v>1072</v>
      </c>
      <c r="AI54" s="529" t="s">
        <v>1072</v>
      </c>
      <c r="AJ54" s="529" t="s">
        <v>945</v>
      </c>
      <c r="AK54" s="529">
        <v>16.0</v>
      </c>
      <c r="AL54" s="529" t="s">
        <v>1138</v>
      </c>
      <c r="AM54" s="529">
        <v>2.0</v>
      </c>
      <c r="AN54" s="530" t="s">
        <v>1004</v>
      </c>
      <c r="AO54" s="530" t="s">
        <v>1328</v>
      </c>
      <c r="AP54" s="529" t="s">
        <v>657</v>
      </c>
      <c r="AQ54" s="531">
        <v>45244.0</v>
      </c>
      <c r="AR54" s="531">
        <v>48897.0</v>
      </c>
      <c r="AS54" s="532">
        <v>47071.0</v>
      </c>
      <c r="AT54" s="532">
        <v>46333.0</v>
      </c>
      <c r="AU54" s="532">
        <v>46333.0</v>
      </c>
      <c r="AV54" s="531">
        <v>46344.0</v>
      </c>
      <c r="AW54" s="529" t="s">
        <v>1108</v>
      </c>
      <c r="AX54" s="531">
        <v>46388.0</v>
      </c>
      <c r="AY54" s="529" t="s">
        <v>1329</v>
      </c>
      <c r="AZ54" s="529">
        <v>10.0</v>
      </c>
      <c r="BA54" s="529" t="s">
        <v>1284</v>
      </c>
      <c r="BB54" s="529">
        <v>1.0</v>
      </c>
      <c r="BC54" s="532">
        <v>45796.0</v>
      </c>
    </row>
    <row r="55">
      <c r="A55" s="527" t="s">
        <v>111</v>
      </c>
      <c r="B55" s="529" t="s">
        <v>1118</v>
      </c>
      <c r="C55" s="527" t="s">
        <v>179</v>
      </c>
      <c r="D55" s="529" t="s">
        <v>1044</v>
      </c>
      <c r="E55" s="529" t="s">
        <v>1045</v>
      </c>
      <c r="F55" s="529" t="s">
        <v>1122</v>
      </c>
      <c r="G55" s="529" t="s">
        <v>1123</v>
      </c>
      <c r="H55" s="530" t="s">
        <v>1233</v>
      </c>
      <c r="I55" s="529" t="s">
        <v>109</v>
      </c>
      <c r="J55" s="529" t="s">
        <v>1063</v>
      </c>
      <c r="K55" s="534">
        <v>281.0</v>
      </c>
      <c r="L55" s="530" t="s">
        <v>1024</v>
      </c>
      <c r="M55" s="531">
        <v>45244.0</v>
      </c>
      <c r="N55" s="531">
        <v>45244.0</v>
      </c>
      <c r="O55" s="530" t="s">
        <v>506</v>
      </c>
      <c r="P55" s="530" t="s">
        <v>507</v>
      </c>
      <c r="Q55" s="529">
        <v>3.0</v>
      </c>
      <c r="R55" s="529" t="s">
        <v>1128</v>
      </c>
      <c r="S55" s="529" t="s">
        <v>976</v>
      </c>
      <c r="T55" s="529" t="s">
        <v>1281</v>
      </c>
      <c r="U55" s="529">
        <v>200.0</v>
      </c>
      <c r="V55" s="529">
        <v>13.0</v>
      </c>
      <c r="W55" s="529" t="s">
        <v>1234</v>
      </c>
      <c r="X55" s="529" t="s">
        <v>945</v>
      </c>
      <c r="Y55" s="529" t="s">
        <v>942</v>
      </c>
      <c r="Z55" s="530"/>
      <c r="AA55" s="529" t="s">
        <v>1038</v>
      </c>
      <c r="AB55" s="532"/>
      <c r="AC55" s="529" t="s">
        <v>1085</v>
      </c>
      <c r="AD55" s="529" t="s">
        <v>1133</v>
      </c>
      <c r="AE55" s="529" t="s">
        <v>1134</v>
      </c>
      <c r="AF55" s="529" t="s">
        <v>1135</v>
      </c>
      <c r="AG55" s="529" t="s">
        <v>1136</v>
      </c>
      <c r="AH55" s="529" t="s">
        <v>1072</v>
      </c>
      <c r="AI55" s="529" t="s">
        <v>1072</v>
      </c>
      <c r="AJ55" s="529" t="s">
        <v>945</v>
      </c>
      <c r="AK55" s="529">
        <v>16.0</v>
      </c>
      <c r="AL55" s="529" t="s">
        <v>1138</v>
      </c>
      <c r="AM55" s="529">
        <v>2.0</v>
      </c>
      <c r="AN55" s="530" t="s">
        <v>1004</v>
      </c>
      <c r="AO55" s="530" t="s">
        <v>1330</v>
      </c>
      <c r="AP55" s="529" t="s">
        <v>657</v>
      </c>
      <c r="AQ55" s="531">
        <v>45244.0</v>
      </c>
      <c r="AR55" s="531">
        <v>48897.0</v>
      </c>
      <c r="AS55" s="532">
        <v>47071.0</v>
      </c>
      <c r="AT55" s="532">
        <v>46333.0</v>
      </c>
      <c r="AU55" s="532">
        <v>46333.0</v>
      </c>
      <c r="AV55" s="531">
        <v>46344.0</v>
      </c>
      <c r="AW55" s="529" t="s">
        <v>1108</v>
      </c>
      <c r="AX55" s="531">
        <v>46388.0</v>
      </c>
      <c r="AY55" s="529" t="s">
        <v>1331</v>
      </c>
      <c r="AZ55" s="529">
        <v>10.0</v>
      </c>
      <c r="BA55" s="529" t="s">
        <v>1284</v>
      </c>
      <c r="BB55" s="529">
        <v>1.0</v>
      </c>
      <c r="BC55" s="532">
        <v>45981.0</v>
      </c>
    </row>
    <row r="56">
      <c r="A56" s="527" t="s">
        <v>113</v>
      </c>
      <c r="B56" s="529" t="s">
        <v>1118</v>
      </c>
      <c r="C56" s="527" t="s">
        <v>179</v>
      </c>
      <c r="D56" s="529" t="s">
        <v>1044</v>
      </c>
      <c r="E56" s="529" t="s">
        <v>1045</v>
      </c>
      <c r="F56" s="529" t="s">
        <v>1122</v>
      </c>
      <c r="G56" s="529" t="s">
        <v>1123</v>
      </c>
      <c r="H56" s="530" t="s">
        <v>1233</v>
      </c>
      <c r="I56" s="529" t="s">
        <v>109</v>
      </c>
      <c r="J56" s="529" t="s">
        <v>1125</v>
      </c>
      <c r="K56" s="534">
        <v>281.0</v>
      </c>
      <c r="L56" s="530" t="s">
        <v>1033</v>
      </c>
      <c r="M56" s="531">
        <v>45288.0</v>
      </c>
      <c r="N56" s="531">
        <v>45288.0</v>
      </c>
      <c r="O56" s="530" t="s">
        <v>514</v>
      </c>
      <c r="P56" s="530" t="s">
        <v>515</v>
      </c>
      <c r="Q56" s="529">
        <v>4.0</v>
      </c>
      <c r="R56" s="529" t="s">
        <v>1128</v>
      </c>
      <c r="S56" s="529" t="s">
        <v>976</v>
      </c>
      <c r="T56" s="529" t="s">
        <v>1281</v>
      </c>
      <c r="U56" s="529">
        <v>200.0</v>
      </c>
      <c r="V56" s="529">
        <v>13.0</v>
      </c>
      <c r="W56" s="529" t="s">
        <v>1234</v>
      </c>
      <c r="X56" s="529" t="s">
        <v>945</v>
      </c>
      <c r="Y56" s="529" t="s">
        <v>942</v>
      </c>
      <c r="Z56" s="530"/>
      <c r="AA56" s="529" t="s">
        <v>1034</v>
      </c>
      <c r="AB56" s="532"/>
      <c r="AC56" s="529" t="s">
        <v>1085</v>
      </c>
      <c r="AD56" s="529" t="s">
        <v>1133</v>
      </c>
      <c r="AE56" s="529" t="s">
        <v>1134</v>
      </c>
      <c r="AF56" s="529" t="s">
        <v>1135</v>
      </c>
      <c r="AG56" s="529" t="s">
        <v>1136</v>
      </c>
      <c r="AH56" s="529" t="s">
        <v>1072</v>
      </c>
      <c r="AI56" s="529" t="s">
        <v>1072</v>
      </c>
      <c r="AJ56" s="529" t="s">
        <v>945</v>
      </c>
      <c r="AK56" s="529">
        <v>24.0</v>
      </c>
      <c r="AL56" s="529" t="s">
        <v>1138</v>
      </c>
      <c r="AM56" s="529">
        <v>3.0</v>
      </c>
      <c r="AN56" s="530" t="s">
        <v>975</v>
      </c>
      <c r="AO56" s="530" t="s">
        <v>1332</v>
      </c>
      <c r="AP56" s="529" t="s">
        <v>657</v>
      </c>
      <c r="AQ56" s="531">
        <v>45288.0</v>
      </c>
      <c r="AR56" s="531">
        <v>50767.0</v>
      </c>
      <c r="AS56" s="532">
        <v>47115.0</v>
      </c>
      <c r="AT56" s="532">
        <v>46211.0</v>
      </c>
      <c r="AU56" s="532">
        <v>46211.0</v>
      </c>
      <c r="AV56" s="531">
        <v>46344.0</v>
      </c>
      <c r="AW56" s="529" t="s">
        <v>1108</v>
      </c>
      <c r="AX56" s="531">
        <v>46388.0</v>
      </c>
      <c r="AY56" s="529" t="s">
        <v>1333</v>
      </c>
      <c r="AZ56" s="529">
        <v>14.0</v>
      </c>
      <c r="BA56" s="529" t="s">
        <v>1284</v>
      </c>
      <c r="BB56" s="529">
        <v>2.0</v>
      </c>
      <c r="BC56" s="532">
        <v>46041.0</v>
      </c>
    </row>
    <row r="57">
      <c r="A57" s="527" t="s">
        <v>114</v>
      </c>
      <c r="B57" s="529" t="s">
        <v>1118</v>
      </c>
      <c r="C57" s="527" t="s">
        <v>179</v>
      </c>
      <c r="D57" s="529" t="s">
        <v>1044</v>
      </c>
      <c r="E57" s="529" t="s">
        <v>1045</v>
      </c>
      <c r="F57" s="529" t="s">
        <v>1122</v>
      </c>
      <c r="G57" s="529" t="s">
        <v>1123</v>
      </c>
      <c r="H57" s="530" t="s">
        <v>1233</v>
      </c>
      <c r="I57" s="529" t="s">
        <v>109</v>
      </c>
      <c r="J57" s="529" t="s">
        <v>1125</v>
      </c>
      <c r="K57" s="534">
        <v>281.0</v>
      </c>
      <c r="L57" s="530" t="s">
        <v>1035</v>
      </c>
      <c r="M57" s="531">
        <v>44941.0</v>
      </c>
      <c r="N57" s="531">
        <v>44941.0</v>
      </c>
      <c r="O57" s="530" t="s">
        <v>523</v>
      </c>
      <c r="P57" s="530" t="s">
        <v>524</v>
      </c>
      <c r="Q57" s="529">
        <v>4.0</v>
      </c>
      <c r="R57" s="529" t="s">
        <v>1128</v>
      </c>
      <c r="S57" s="529" t="s">
        <v>976</v>
      </c>
      <c r="T57" s="529" t="s">
        <v>1281</v>
      </c>
      <c r="U57" s="529">
        <v>200.0</v>
      </c>
      <c r="V57" s="529">
        <v>13.0</v>
      </c>
      <c r="W57" s="529" t="s">
        <v>1234</v>
      </c>
      <c r="X57" s="529" t="s">
        <v>945</v>
      </c>
      <c r="Y57" s="529" t="s">
        <v>942</v>
      </c>
      <c r="Z57" s="530"/>
      <c r="AA57" s="529" t="s">
        <v>1036</v>
      </c>
      <c r="AB57" s="532"/>
      <c r="AC57" s="529" t="s">
        <v>1085</v>
      </c>
      <c r="AD57" s="529" t="s">
        <v>1133</v>
      </c>
      <c r="AE57" s="529" t="s">
        <v>1134</v>
      </c>
      <c r="AF57" s="529" t="s">
        <v>1135</v>
      </c>
      <c r="AG57" s="529" t="s">
        <v>1136</v>
      </c>
      <c r="AH57" s="529" t="s">
        <v>1072</v>
      </c>
      <c r="AI57" s="529" t="s">
        <v>1072</v>
      </c>
      <c r="AJ57" s="529" t="s">
        <v>945</v>
      </c>
      <c r="AK57" s="529">
        <v>24.0</v>
      </c>
      <c r="AL57" s="529" t="s">
        <v>1138</v>
      </c>
      <c r="AM57" s="529">
        <v>3.0</v>
      </c>
      <c r="AN57" s="530" t="s">
        <v>975</v>
      </c>
      <c r="AO57" s="530" t="s">
        <v>1334</v>
      </c>
      <c r="AP57" s="529" t="s">
        <v>657</v>
      </c>
      <c r="AQ57" s="531">
        <v>44941.0</v>
      </c>
      <c r="AR57" s="531">
        <v>50420.0</v>
      </c>
      <c r="AS57" s="532">
        <v>47133.0</v>
      </c>
      <c r="AT57" s="532">
        <v>46211.0</v>
      </c>
      <c r="AU57" s="532">
        <v>46211.0</v>
      </c>
      <c r="AV57" s="531">
        <v>46344.0</v>
      </c>
      <c r="AW57" s="529" t="s">
        <v>1108</v>
      </c>
      <c r="AX57" s="531">
        <v>46388.0</v>
      </c>
      <c r="AY57" s="529" t="s">
        <v>1335</v>
      </c>
      <c r="AZ57" s="529">
        <v>14.0</v>
      </c>
      <c r="BA57" s="529" t="s">
        <v>1284</v>
      </c>
      <c r="BB57" s="529">
        <v>2.0</v>
      </c>
      <c r="BC57" s="532">
        <v>45671.0</v>
      </c>
    </row>
    <row r="58">
      <c r="A58" s="527" t="s">
        <v>117</v>
      </c>
      <c r="B58" s="529" t="s">
        <v>1118</v>
      </c>
      <c r="C58" s="527" t="s">
        <v>179</v>
      </c>
      <c r="D58" s="529" t="s">
        <v>1044</v>
      </c>
      <c r="E58" s="529" t="s">
        <v>1045</v>
      </c>
      <c r="F58" s="529" t="s">
        <v>1122</v>
      </c>
      <c r="G58" s="529" t="s">
        <v>1123</v>
      </c>
      <c r="H58" s="530" t="s">
        <v>1233</v>
      </c>
      <c r="I58" s="529" t="s">
        <v>118</v>
      </c>
      <c r="J58" s="529" t="s">
        <v>1063</v>
      </c>
      <c r="K58" s="534">
        <v>281.0</v>
      </c>
      <c r="L58" s="530" t="s">
        <v>1024</v>
      </c>
      <c r="M58" s="531">
        <v>45007.0</v>
      </c>
      <c r="N58" s="531">
        <v>45373.0</v>
      </c>
      <c r="O58" s="530" t="s">
        <v>548</v>
      </c>
      <c r="P58" s="530" t="s">
        <v>549</v>
      </c>
      <c r="Q58" s="529">
        <v>3.0</v>
      </c>
      <c r="R58" s="529" t="s">
        <v>1128</v>
      </c>
      <c r="S58" s="529" t="s">
        <v>976</v>
      </c>
      <c r="T58" s="529" t="s">
        <v>1281</v>
      </c>
      <c r="U58" s="529">
        <v>200.0</v>
      </c>
      <c r="V58" s="529">
        <v>13.0</v>
      </c>
      <c r="W58" s="529" t="s">
        <v>1234</v>
      </c>
      <c r="X58" s="529" t="s">
        <v>945</v>
      </c>
      <c r="Y58" s="529" t="s">
        <v>942</v>
      </c>
      <c r="Z58" s="530"/>
      <c r="AA58" s="529" t="s">
        <v>1097</v>
      </c>
      <c r="AB58" s="532"/>
      <c r="AC58" s="529" t="s">
        <v>1085</v>
      </c>
      <c r="AD58" s="529" t="s">
        <v>1133</v>
      </c>
      <c r="AE58" s="529" t="s">
        <v>1134</v>
      </c>
      <c r="AF58" s="529" t="s">
        <v>1135</v>
      </c>
      <c r="AG58" s="529" t="s">
        <v>1136</v>
      </c>
      <c r="AH58" s="529" t="s">
        <v>1072</v>
      </c>
      <c r="AI58" s="529" t="s">
        <v>1072</v>
      </c>
      <c r="AJ58" s="529" t="s">
        <v>945</v>
      </c>
      <c r="AK58" s="529">
        <v>16.0</v>
      </c>
      <c r="AL58" s="529" t="s">
        <v>1138</v>
      </c>
      <c r="AM58" s="529">
        <v>2.0</v>
      </c>
      <c r="AN58" s="530" t="s">
        <v>1004</v>
      </c>
      <c r="AO58" s="530" t="s">
        <v>1336</v>
      </c>
      <c r="AP58" s="529" t="s">
        <v>657</v>
      </c>
      <c r="AQ58" s="531">
        <v>45373.0</v>
      </c>
      <c r="AR58" s="531">
        <v>50851.0</v>
      </c>
      <c r="AS58" s="532">
        <v>47199.0</v>
      </c>
      <c r="AT58" s="532">
        <v>46304.0</v>
      </c>
      <c r="AU58" s="532">
        <v>46304.0</v>
      </c>
      <c r="AV58" s="531">
        <v>46344.0</v>
      </c>
      <c r="AW58" s="529" t="s">
        <v>1108</v>
      </c>
      <c r="AX58" s="531">
        <v>46388.0</v>
      </c>
      <c r="AY58" s="529" t="s">
        <v>1337</v>
      </c>
      <c r="AZ58" s="529">
        <v>10.0</v>
      </c>
      <c r="BA58" s="529" t="s">
        <v>1284</v>
      </c>
      <c r="BB58" s="529">
        <v>1.0</v>
      </c>
      <c r="BC58" s="532">
        <v>45763.0</v>
      </c>
    </row>
    <row r="59">
      <c r="A59" s="527" t="s">
        <v>80</v>
      </c>
      <c r="B59" s="529" t="s">
        <v>1118</v>
      </c>
      <c r="C59" s="527" t="s">
        <v>179</v>
      </c>
      <c r="D59" s="529" t="s">
        <v>1044</v>
      </c>
      <c r="E59" s="529" t="s">
        <v>1045</v>
      </c>
      <c r="F59" s="529" t="s">
        <v>1122</v>
      </c>
      <c r="G59" s="529" t="s">
        <v>1123</v>
      </c>
      <c r="H59" s="530" t="s">
        <v>1233</v>
      </c>
      <c r="I59" s="529" t="s">
        <v>78</v>
      </c>
      <c r="J59" s="529" t="s">
        <v>1063</v>
      </c>
      <c r="K59" s="534">
        <v>280.0</v>
      </c>
      <c r="L59" s="530" t="s">
        <v>1050</v>
      </c>
      <c r="M59" s="531">
        <v>44656.0</v>
      </c>
      <c r="N59" s="531">
        <v>45387.0</v>
      </c>
      <c r="O59" s="530" t="s">
        <v>413</v>
      </c>
      <c r="P59" s="530" t="s">
        <v>414</v>
      </c>
      <c r="Q59" s="529">
        <v>3.0</v>
      </c>
      <c r="R59" s="529" t="s">
        <v>1128</v>
      </c>
      <c r="S59" s="529" t="s">
        <v>976</v>
      </c>
      <c r="T59" s="529" t="s">
        <v>1281</v>
      </c>
      <c r="U59" s="534">
        <v>250.0</v>
      </c>
      <c r="V59" s="534">
        <v>22.0</v>
      </c>
      <c r="W59" s="529" t="s">
        <v>1074</v>
      </c>
      <c r="X59" s="529" t="s">
        <v>942</v>
      </c>
      <c r="Y59" s="529" t="s">
        <v>942</v>
      </c>
      <c r="Z59" s="530"/>
      <c r="AA59" s="529" t="s">
        <v>1207</v>
      </c>
      <c r="AB59" s="532"/>
      <c r="AC59" s="529" t="s">
        <v>1085</v>
      </c>
      <c r="AD59" s="529" t="s">
        <v>1133</v>
      </c>
      <c r="AE59" s="529" t="s">
        <v>1134</v>
      </c>
      <c r="AF59" s="529" t="s">
        <v>1135</v>
      </c>
      <c r="AG59" s="529" t="s">
        <v>1136</v>
      </c>
      <c r="AH59" s="529" t="s">
        <v>1072</v>
      </c>
      <c r="AI59" s="529" t="s">
        <v>1072</v>
      </c>
      <c r="AJ59" s="529" t="s">
        <v>945</v>
      </c>
      <c r="AK59" s="529">
        <v>16.0</v>
      </c>
      <c r="AL59" s="529" t="s">
        <v>1138</v>
      </c>
      <c r="AM59" s="529">
        <v>2.0</v>
      </c>
      <c r="AN59" s="530" t="s">
        <v>1004</v>
      </c>
      <c r="AO59" s="530" t="s">
        <v>1338</v>
      </c>
      <c r="AP59" s="529" t="s">
        <v>657</v>
      </c>
      <c r="AQ59" s="531">
        <v>45387.0</v>
      </c>
      <c r="AR59" s="531">
        <v>50865.0</v>
      </c>
      <c r="AS59" s="532">
        <v>47213.0</v>
      </c>
      <c r="AT59" s="532">
        <v>46305.0</v>
      </c>
      <c r="AU59" s="532">
        <v>46305.0</v>
      </c>
      <c r="AV59" s="531">
        <v>46344.0</v>
      </c>
      <c r="AW59" s="529" t="s">
        <v>1108</v>
      </c>
      <c r="AX59" s="531">
        <v>46388.0</v>
      </c>
      <c r="AY59" s="529" t="s">
        <v>1339</v>
      </c>
      <c r="AZ59" s="529">
        <v>10.0</v>
      </c>
      <c r="BA59" s="529" t="s">
        <v>1284</v>
      </c>
      <c r="BB59" s="529">
        <v>1.0</v>
      </c>
      <c r="BC59" s="532">
        <v>45425.0</v>
      </c>
    </row>
    <row r="60">
      <c r="A60" s="527" t="s">
        <v>88</v>
      </c>
      <c r="B60" s="529" t="s">
        <v>1118</v>
      </c>
      <c r="C60" s="527" t="s">
        <v>179</v>
      </c>
      <c r="D60" s="529" t="s">
        <v>1044</v>
      </c>
      <c r="E60" s="529" t="s">
        <v>1045</v>
      </c>
      <c r="F60" s="529" t="s">
        <v>1122</v>
      </c>
      <c r="G60" s="529" t="s">
        <v>1123</v>
      </c>
      <c r="H60" s="530" t="s">
        <v>1233</v>
      </c>
      <c r="I60" s="529" t="s">
        <v>1039</v>
      </c>
      <c r="J60" s="529" t="s">
        <v>1063</v>
      </c>
      <c r="K60" s="534">
        <v>280.0</v>
      </c>
      <c r="L60" s="530" t="s">
        <v>1054</v>
      </c>
      <c r="M60" s="531">
        <v>45427.0</v>
      </c>
      <c r="N60" s="531">
        <v>45427.0</v>
      </c>
      <c r="O60" s="530" t="s">
        <v>434</v>
      </c>
      <c r="P60" s="530" t="s">
        <v>435</v>
      </c>
      <c r="Q60" s="529">
        <v>2.0</v>
      </c>
      <c r="R60" s="529" t="s">
        <v>1128</v>
      </c>
      <c r="S60" s="529" t="s">
        <v>976</v>
      </c>
      <c r="T60" s="529" t="s">
        <v>1281</v>
      </c>
      <c r="U60" s="534">
        <v>250.0</v>
      </c>
      <c r="V60" s="534">
        <v>22.0</v>
      </c>
      <c r="W60" s="529" t="s">
        <v>1074</v>
      </c>
      <c r="X60" s="529" t="s">
        <v>942</v>
      </c>
      <c r="Y60" s="529" t="s">
        <v>942</v>
      </c>
      <c r="Z60" s="530"/>
      <c r="AA60" s="529" t="s">
        <v>1056</v>
      </c>
      <c r="AB60" s="532"/>
      <c r="AC60" s="529" t="s">
        <v>1085</v>
      </c>
      <c r="AD60" s="529" t="s">
        <v>1133</v>
      </c>
      <c r="AE60" s="529" t="s">
        <v>1134</v>
      </c>
      <c r="AF60" s="529" t="s">
        <v>1135</v>
      </c>
      <c r="AG60" s="529" t="s">
        <v>1136</v>
      </c>
      <c r="AH60" s="529" t="s">
        <v>1072</v>
      </c>
      <c r="AI60" s="529" t="s">
        <v>1072</v>
      </c>
      <c r="AJ60" s="529" t="s">
        <v>945</v>
      </c>
      <c r="AK60" s="529">
        <v>8.0</v>
      </c>
      <c r="AL60" s="529" t="s">
        <v>1138</v>
      </c>
      <c r="AM60" s="529">
        <v>2.0</v>
      </c>
      <c r="AN60" s="530" t="s">
        <v>1004</v>
      </c>
      <c r="AO60" s="530" t="s">
        <v>1340</v>
      </c>
      <c r="AP60" s="529" t="s">
        <v>657</v>
      </c>
      <c r="AQ60" s="531">
        <v>45427.0</v>
      </c>
      <c r="AR60" s="531">
        <v>49079.0</v>
      </c>
      <c r="AS60" s="532">
        <v>47253.0</v>
      </c>
      <c r="AT60" s="532">
        <v>46183.0</v>
      </c>
      <c r="AU60" s="532">
        <v>46190.0</v>
      </c>
      <c r="AV60" s="531">
        <v>46344.0</v>
      </c>
      <c r="AW60" s="529" t="s">
        <v>1108</v>
      </c>
      <c r="AX60" s="531">
        <v>46388.0</v>
      </c>
      <c r="AY60" s="529" t="s">
        <v>1341</v>
      </c>
      <c r="AZ60" s="529">
        <v>10.0</v>
      </c>
      <c r="BA60" s="529" t="s">
        <v>1284</v>
      </c>
      <c r="BB60" s="529">
        <v>1.0</v>
      </c>
      <c r="BC60" s="532">
        <v>45503.0</v>
      </c>
    </row>
    <row r="61">
      <c r="A61" s="527" t="s">
        <v>87</v>
      </c>
      <c r="B61" s="529" t="s">
        <v>1118</v>
      </c>
      <c r="C61" s="527" t="s">
        <v>179</v>
      </c>
      <c r="D61" s="529" t="s">
        <v>1044</v>
      </c>
      <c r="E61" s="529" t="s">
        <v>1045</v>
      </c>
      <c r="F61" s="529" t="s">
        <v>1122</v>
      </c>
      <c r="G61" s="529" t="s">
        <v>1123</v>
      </c>
      <c r="H61" s="530" t="s">
        <v>1233</v>
      </c>
      <c r="I61" s="529" t="s">
        <v>1039</v>
      </c>
      <c r="J61" s="529" t="s">
        <v>1125</v>
      </c>
      <c r="K61" s="534">
        <v>276.0</v>
      </c>
      <c r="L61" s="530" t="s">
        <v>1046</v>
      </c>
      <c r="M61" s="531">
        <v>45358.0</v>
      </c>
      <c r="N61" s="531">
        <v>45358.0</v>
      </c>
      <c r="O61" s="530" t="s">
        <v>430</v>
      </c>
      <c r="P61" s="530" t="s">
        <v>431</v>
      </c>
      <c r="Q61" s="529">
        <v>4.0</v>
      </c>
      <c r="R61" s="529" t="s">
        <v>1128</v>
      </c>
      <c r="S61" s="529" t="s">
        <v>976</v>
      </c>
      <c r="T61" s="529" t="s">
        <v>1281</v>
      </c>
      <c r="U61" s="534">
        <v>250.0</v>
      </c>
      <c r="V61" s="534">
        <v>22.0</v>
      </c>
      <c r="W61" s="529" t="s">
        <v>1074</v>
      </c>
      <c r="X61" s="529" t="s">
        <v>942</v>
      </c>
      <c r="Y61" s="529" t="s">
        <v>942</v>
      </c>
      <c r="Z61" s="530"/>
      <c r="AA61" s="529" t="s">
        <v>1048</v>
      </c>
      <c r="AB61" s="532"/>
      <c r="AC61" s="529" t="s">
        <v>1085</v>
      </c>
      <c r="AD61" s="529" t="s">
        <v>1133</v>
      </c>
      <c r="AE61" s="529" t="s">
        <v>1134</v>
      </c>
      <c r="AF61" s="529" t="s">
        <v>1135</v>
      </c>
      <c r="AG61" s="529" t="s">
        <v>1136</v>
      </c>
      <c r="AH61" s="529" t="s">
        <v>1072</v>
      </c>
      <c r="AI61" s="529" t="s">
        <v>1072</v>
      </c>
      <c r="AJ61" s="529" t="s">
        <v>945</v>
      </c>
      <c r="AK61" s="529">
        <v>24.0</v>
      </c>
      <c r="AL61" s="529" t="s">
        <v>1138</v>
      </c>
      <c r="AM61" s="529">
        <v>3.0</v>
      </c>
      <c r="AN61" s="530" t="s">
        <v>975</v>
      </c>
      <c r="AO61" s="530" t="s">
        <v>1342</v>
      </c>
      <c r="AP61" s="529" t="s">
        <v>657</v>
      </c>
      <c r="AQ61" s="531">
        <v>45358.0</v>
      </c>
      <c r="AR61" s="531">
        <v>50836.0</v>
      </c>
      <c r="AS61" s="532">
        <v>47184.0</v>
      </c>
      <c r="AT61" s="532">
        <v>46277.0</v>
      </c>
      <c r="AU61" s="532">
        <v>46277.0</v>
      </c>
      <c r="AV61" s="531">
        <v>46344.0</v>
      </c>
      <c r="AW61" s="529" t="s">
        <v>1108</v>
      </c>
      <c r="AX61" s="531">
        <v>46388.0</v>
      </c>
      <c r="AY61" s="529" t="s">
        <v>1343</v>
      </c>
      <c r="AZ61" s="529">
        <v>14.0</v>
      </c>
      <c r="BA61" s="529" t="s">
        <v>1284</v>
      </c>
      <c r="BB61" s="529">
        <v>2.0</v>
      </c>
      <c r="BC61" s="532">
        <v>46076.0</v>
      </c>
    </row>
    <row r="62">
      <c r="A62" s="527" t="s">
        <v>89</v>
      </c>
      <c r="B62" s="529" t="s">
        <v>1118</v>
      </c>
      <c r="C62" s="527" t="s">
        <v>179</v>
      </c>
      <c r="D62" s="529" t="s">
        <v>1044</v>
      </c>
      <c r="E62" s="529" t="s">
        <v>1045</v>
      </c>
      <c r="F62" s="529" t="s">
        <v>1122</v>
      </c>
      <c r="G62" s="529" t="s">
        <v>1123</v>
      </c>
      <c r="H62" s="530" t="s">
        <v>1233</v>
      </c>
      <c r="I62" s="529" t="s">
        <v>1039</v>
      </c>
      <c r="J62" s="529" t="s">
        <v>1125</v>
      </c>
      <c r="K62" s="534">
        <v>276.0</v>
      </c>
      <c r="L62" s="530" t="s">
        <v>1040</v>
      </c>
      <c r="M62" s="531">
        <v>45358.0</v>
      </c>
      <c r="N62" s="531">
        <v>45358.0</v>
      </c>
      <c r="O62" s="530" t="s">
        <v>437</v>
      </c>
      <c r="P62" s="530" t="s">
        <v>438</v>
      </c>
      <c r="Q62" s="529">
        <v>4.0</v>
      </c>
      <c r="R62" s="529" t="s">
        <v>1128</v>
      </c>
      <c r="S62" s="529" t="s">
        <v>976</v>
      </c>
      <c r="T62" s="529" t="s">
        <v>1281</v>
      </c>
      <c r="U62" s="534">
        <v>250.0</v>
      </c>
      <c r="V62" s="534">
        <v>22.0</v>
      </c>
      <c r="W62" s="529" t="s">
        <v>1074</v>
      </c>
      <c r="X62" s="529" t="s">
        <v>942</v>
      </c>
      <c r="Y62" s="529" t="s">
        <v>942</v>
      </c>
      <c r="Z62" s="530"/>
      <c r="AA62" s="529" t="s">
        <v>1043</v>
      </c>
      <c r="AB62" s="532"/>
      <c r="AC62" s="529" t="s">
        <v>1085</v>
      </c>
      <c r="AD62" s="529" t="s">
        <v>1133</v>
      </c>
      <c r="AE62" s="529" t="s">
        <v>1134</v>
      </c>
      <c r="AF62" s="529" t="s">
        <v>1135</v>
      </c>
      <c r="AG62" s="529" t="s">
        <v>1136</v>
      </c>
      <c r="AH62" s="529" t="s">
        <v>1072</v>
      </c>
      <c r="AI62" s="529" t="s">
        <v>1072</v>
      </c>
      <c r="AJ62" s="529" t="s">
        <v>945</v>
      </c>
      <c r="AK62" s="529">
        <v>24.0</v>
      </c>
      <c r="AL62" s="529" t="s">
        <v>1138</v>
      </c>
      <c r="AM62" s="529">
        <v>3.0</v>
      </c>
      <c r="AN62" s="530" t="s">
        <v>975</v>
      </c>
      <c r="AO62" s="530" t="s">
        <v>1344</v>
      </c>
      <c r="AP62" s="529" t="s">
        <v>657</v>
      </c>
      <c r="AQ62" s="531">
        <v>45358.0</v>
      </c>
      <c r="AR62" s="531">
        <v>50836.0</v>
      </c>
      <c r="AS62" s="532">
        <v>47184.0</v>
      </c>
      <c r="AT62" s="532">
        <v>46277.0</v>
      </c>
      <c r="AU62" s="532">
        <v>46277.0</v>
      </c>
      <c r="AV62" s="531">
        <v>46344.0</v>
      </c>
      <c r="AW62" s="529" t="s">
        <v>1108</v>
      </c>
      <c r="AX62" s="531">
        <v>46388.0</v>
      </c>
      <c r="AY62" s="529" t="s">
        <v>1345</v>
      </c>
      <c r="AZ62" s="529">
        <v>14.0</v>
      </c>
      <c r="BA62" s="529" t="s">
        <v>1284</v>
      </c>
      <c r="BB62" s="529">
        <v>2.0</v>
      </c>
      <c r="BC62" s="532">
        <v>45721.0</v>
      </c>
    </row>
    <row r="63">
      <c r="A63" s="527" t="s">
        <v>77</v>
      </c>
      <c r="B63" s="529" t="s">
        <v>1118</v>
      </c>
      <c r="C63" s="527" t="s">
        <v>179</v>
      </c>
      <c r="D63" s="529" t="s">
        <v>1044</v>
      </c>
      <c r="E63" s="529" t="s">
        <v>1045</v>
      </c>
      <c r="F63" s="529" t="s">
        <v>1122</v>
      </c>
      <c r="G63" s="529" t="s">
        <v>1123</v>
      </c>
      <c r="H63" s="530" t="s">
        <v>1233</v>
      </c>
      <c r="I63" s="529" t="s">
        <v>78</v>
      </c>
      <c r="J63" s="529" t="s">
        <v>1063</v>
      </c>
      <c r="K63" s="534">
        <v>280.0</v>
      </c>
      <c r="L63" s="530" t="s">
        <v>1058</v>
      </c>
      <c r="M63" s="531">
        <v>44910.0</v>
      </c>
      <c r="N63" s="531">
        <v>45275.0</v>
      </c>
      <c r="O63" s="530" t="s">
        <v>406</v>
      </c>
      <c r="P63" s="530" t="s">
        <v>407</v>
      </c>
      <c r="Q63" s="529">
        <v>3.0</v>
      </c>
      <c r="R63" s="529" t="s">
        <v>1128</v>
      </c>
      <c r="S63" s="529" t="s">
        <v>976</v>
      </c>
      <c r="T63" s="529" t="s">
        <v>1281</v>
      </c>
      <c r="U63" s="534">
        <v>250.0</v>
      </c>
      <c r="V63" s="534">
        <v>22.0</v>
      </c>
      <c r="W63" s="529" t="s">
        <v>1074</v>
      </c>
      <c r="X63" s="529" t="s">
        <v>942</v>
      </c>
      <c r="Y63" s="529" t="s">
        <v>942</v>
      </c>
      <c r="Z63" s="530"/>
      <c r="AA63" s="529" t="s">
        <v>1211</v>
      </c>
      <c r="AB63" s="532"/>
      <c r="AC63" s="529" t="s">
        <v>1085</v>
      </c>
      <c r="AD63" s="529" t="s">
        <v>1133</v>
      </c>
      <c r="AE63" s="529" t="s">
        <v>1134</v>
      </c>
      <c r="AF63" s="529" t="s">
        <v>1135</v>
      </c>
      <c r="AG63" s="529" t="s">
        <v>1136</v>
      </c>
      <c r="AH63" s="529" t="s">
        <v>1072</v>
      </c>
      <c r="AI63" s="529" t="s">
        <v>1072</v>
      </c>
      <c r="AJ63" s="529" t="s">
        <v>945</v>
      </c>
      <c r="AK63" s="529">
        <v>16.0</v>
      </c>
      <c r="AL63" s="529" t="s">
        <v>1138</v>
      </c>
      <c r="AM63" s="529">
        <v>2.0</v>
      </c>
      <c r="AN63" s="530" t="s">
        <v>1004</v>
      </c>
      <c r="AO63" s="530" t="s">
        <v>1346</v>
      </c>
      <c r="AP63" s="529" t="s">
        <v>657</v>
      </c>
      <c r="AQ63" s="531">
        <v>45275.0</v>
      </c>
      <c r="AR63" s="531">
        <v>51119.0</v>
      </c>
      <c r="AS63" s="532">
        <v>47102.0</v>
      </c>
      <c r="AT63" s="532">
        <v>46183.0</v>
      </c>
      <c r="AU63" s="532">
        <v>46190.0</v>
      </c>
      <c r="AV63" s="531">
        <v>46344.0</v>
      </c>
      <c r="AW63" s="529" t="s">
        <v>1108</v>
      </c>
      <c r="AX63" s="531">
        <v>46388.0</v>
      </c>
      <c r="AY63" s="529" t="s">
        <v>1347</v>
      </c>
      <c r="AZ63" s="529">
        <v>10.0</v>
      </c>
      <c r="BA63" s="529" t="s">
        <v>1284</v>
      </c>
      <c r="BB63" s="529">
        <v>1.0</v>
      </c>
      <c r="BC63" s="532">
        <v>46035.0</v>
      </c>
    </row>
    <row r="64">
      <c r="A64" s="527" t="s">
        <v>79</v>
      </c>
      <c r="B64" s="529" t="s">
        <v>1118</v>
      </c>
      <c r="C64" s="527" t="s">
        <v>179</v>
      </c>
      <c r="D64" s="529" t="s">
        <v>1044</v>
      </c>
      <c r="E64" s="529" t="s">
        <v>1045</v>
      </c>
      <c r="F64" s="529" t="s">
        <v>1122</v>
      </c>
      <c r="G64" s="529" t="s">
        <v>1123</v>
      </c>
      <c r="H64" s="530" t="s">
        <v>1233</v>
      </c>
      <c r="I64" s="529" t="s">
        <v>78</v>
      </c>
      <c r="J64" s="529" t="s">
        <v>1063</v>
      </c>
      <c r="K64" s="534">
        <v>280.0</v>
      </c>
      <c r="L64" s="530" t="s">
        <v>1058</v>
      </c>
      <c r="M64" s="531">
        <v>44910.0</v>
      </c>
      <c r="N64" s="531">
        <v>45641.0</v>
      </c>
      <c r="O64" s="530" t="s">
        <v>409</v>
      </c>
      <c r="P64" s="530" t="s">
        <v>410</v>
      </c>
      <c r="Q64" s="529">
        <v>3.0</v>
      </c>
      <c r="R64" s="529" t="s">
        <v>1128</v>
      </c>
      <c r="S64" s="529" t="s">
        <v>976</v>
      </c>
      <c r="T64" s="529" t="s">
        <v>1281</v>
      </c>
      <c r="U64" s="534">
        <v>250.0</v>
      </c>
      <c r="V64" s="534">
        <v>22.0</v>
      </c>
      <c r="W64" s="529" t="s">
        <v>1074</v>
      </c>
      <c r="X64" s="529" t="s">
        <v>942</v>
      </c>
      <c r="Y64" s="529" t="s">
        <v>942</v>
      </c>
      <c r="Z64" s="530"/>
      <c r="AA64" s="529" t="s">
        <v>1209</v>
      </c>
      <c r="AB64" s="532"/>
      <c r="AC64" s="529" t="s">
        <v>1085</v>
      </c>
      <c r="AD64" s="529" t="s">
        <v>1133</v>
      </c>
      <c r="AE64" s="529" t="s">
        <v>1134</v>
      </c>
      <c r="AF64" s="529" t="s">
        <v>1135</v>
      </c>
      <c r="AG64" s="529" t="s">
        <v>1136</v>
      </c>
      <c r="AH64" s="529" t="s">
        <v>1072</v>
      </c>
      <c r="AI64" s="529" t="s">
        <v>1072</v>
      </c>
      <c r="AJ64" s="529" t="s">
        <v>945</v>
      </c>
      <c r="AK64" s="529">
        <v>16.0</v>
      </c>
      <c r="AL64" s="529" t="s">
        <v>1138</v>
      </c>
      <c r="AM64" s="529">
        <v>2.0</v>
      </c>
      <c r="AN64" s="530" t="s">
        <v>1004</v>
      </c>
      <c r="AO64" s="530" t="s">
        <v>1348</v>
      </c>
      <c r="AP64" s="529" t="s">
        <v>657</v>
      </c>
      <c r="AQ64" s="531">
        <v>45641.0</v>
      </c>
      <c r="AR64" s="531">
        <v>51119.0</v>
      </c>
      <c r="AS64" s="532">
        <v>47102.0</v>
      </c>
      <c r="AT64" s="532">
        <v>46183.0</v>
      </c>
      <c r="AU64" s="532">
        <v>46190.0</v>
      </c>
      <c r="AV64" s="531">
        <v>46344.0</v>
      </c>
      <c r="AW64" s="529" t="s">
        <v>1108</v>
      </c>
      <c r="AX64" s="531">
        <v>46388.0</v>
      </c>
      <c r="AY64" s="529" t="s">
        <v>1349</v>
      </c>
      <c r="AZ64" s="529">
        <v>10.0</v>
      </c>
      <c r="BA64" s="529" t="s">
        <v>1284</v>
      </c>
      <c r="BB64" s="529">
        <v>1.0</v>
      </c>
      <c r="BC64" s="532">
        <v>46035.0</v>
      </c>
    </row>
    <row r="65">
      <c r="A65" s="527" t="s">
        <v>81</v>
      </c>
      <c r="B65" s="529" t="s">
        <v>1118</v>
      </c>
      <c r="C65" s="527" t="s">
        <v>179</v>
      </c>
      <c r="D65" s="529" t="s">
        <v>1044</v>
      </c>
      <c r="E65" s="529" t="s">
        <v>1045</v>
      </c>
      <c r="F65" s="529" t="s">
        <v>1122</v>
      </c>
      <c r="G65" s="529" t="s">
        <v>1123</v>
      </c>
      <c r="H65" s="530" t="s">
        <v>1233</v>
      </c>
      <c r="I65" s="529" t="s">
        <v>78</v>
      </c>
      <c r="J65" s="529" t="s">
        <v>1125</v>
      </c>
      <c r="K65" s="534">
        <v>280.0</v>
      </c>
      <c r="L65" s="530" t="s">
        <v>1040</v>
      </c>
      <c r="M65" s="531">
        <v>45021.0</v>
      </c>
      <c r="N65" s="531">
        <v>45387.0</v>
      </c>
      <c r="O65" s="530" t="s">
        <v>417</v>
      </c>
      <c r="P65" s="530" t="s">
        <v>418</v>
      </c>
      <c r="Q65" s="529">
        <v>4.0</v>
      </c>
      <c r="R65" s="529" t="s">
        <v>1128</v>
      </c>
      <c r="S65" s="529" t="s">
        <v>976</v>
      </c>
      <c r="T65" s="529" t="s">
        <v>1281</v>
      </c>
      <c r="U65" s="534">
        <v>250.0</v>
      </c>
      <c r="V65" s="534">
        <v>22.0</v>
      </c>
      <c r="W65" s="529" t="s">
        <v>1074</v>
      </c>
      <c r="X65" s="529" t="s">
        <v>942</v>
      </c>
      <c r="Y65" s="529" t="s">
        <v>942</v>
      </c>
      <c r="Z65" s="530"/>
      <c r="AA65" s="529" t="s">
        <v>1203</v>
      </c>
      <c r="AB65" s="532"/>
      <c r="AC65" s="529" t="s">
        <v>1085</v>
      </c>
      <c r="AD65" s="529" t="s">
        <v>1133</v>
      </c>
      <c r="AE65" s="529" t="s">
        <v>1134</v>
      </c>
      <c r="AF65" s="529" t="s">
        <v>1135</v>
      </c>
      <c r="AG65" s="529" t="s">
        <v>1136</v>
      </c>
      <c r="AH65" s="529" t="s">
        <v>1072</v>
      </c>
      <c r="AI65" s="529" t="s">
        <v>1072</v>
      </c>
      <c r="AJ65" s="529" t="s">
        <v>945</v>
      </c>
      <c r="AK65" s="529">
        <v>24.0</v>
      </c>
      <c r="AL65" s="529" t="s">
        <v>1138</v>
      </c>
      <c r="AM65" s="529">
        <v>3.0</v>
      </c>
      <c r="AN65" s="530" t="s">
        <v>975</v>
      </c>
      <c r="AO65" s="530" t="s">
        <v>1350</v>
      </c>
      <c r="AP65" s="529" t="s">
        <v>657</v>
      </c>
      <c r="AQ65" s="531">
        <v>45387.0</v>
      </c>
      <c r="AR65" s="531">
        <v>50865.0</v>
      </c>
      <c r="AS65" s="532">
        <v>47213.0</v>
      </c>
      <c r="AT65" s="532">
        <v>46305.0</v>
      </c>
      <c r="AU65" s="532">
        <v>46305.0</v>
      </c>
      <c r="AV65" s="531">
        <v>46344.0</v>
      </c>
      <c r="AW65" s="529" t="s">
        <v>1108</v>
      </c>
      <c r="AX65" s="531">
        <v>46388.0</v>
      </c>
      <c r="AY65" s="529" t="s">
        <v>1351</v>
      </c>
      <c r="AZ65" s="529">
        <v>14.0</v>
      </c>
      <c r="BA65" s="529" t="s">
        <v>1284</v>
      </c>
      <c r="BB65" s="529">
        <v>2.0</v>
      </c>
      <c r="BC65" s="532">
        <v>46154.0</v>
      </c>
    </row>
    <row r="66">
      <c r="A66" s="527" t="s">
        <v>84</v>
      </c>
      <c r="B66" s="529" t="s">
        <v>1118</v>
      </c>
      <c r="C66" s="527" t="s">
        <v>179</v>
      </c>
      <c r="D66" s="529" t="s">
        <v>1044</v>
      </c>
      <c r="E66" s="529" t="s">
        <v>1045</v>
      </c>
      <c r="F66" s="529" t="s">
        <v>1122</v>
      </c>
      <c r="G66" s="529" t="s">
        <v>1123</v>
      </c>
      <c r="H66" s="530" t="s">
        <v>1233</v>
      </c>
      <c r="I66" s="529" t="s">
        <v>1039</v>
      </c>
      <c r="J66" s="529" t="s">
        <v>1063</v>
      </c>
      <c r="K66" s="534">
        <v>280.0</v>
      </c>
      <c r="L66" s="530" t="s">
        <v>1058</v>
      </c>
      <c r="M66" s="531">
        <v>45275.0</v>
      </c>
      <c r="N66" s="531">
        <v>45275.0</v>
      </c>
      <c r="O66" s="530" t="s">
        <v>423</v>
      </c>
      <c r="P66" s="530" t="s">
        <v>424</v>
      </c>
      <c r="Q66" s="529">
        <v>3.0</v>
      </c>
      <c r="R66" s="529" t="s">
        <v>1128</v>
      </c>
      <c r="S66" s="529" t="s">
        <v>976</v>
      </c>
      <c r="T66" s="529" t="s">
        <v>1281</v>
      </c>
      <c r="U66" s="534">
        <v>250.0</v>
      </c>
      <c r="V66" s="534">
        <v>22.0</v>
      </c>
      <c r="W66" s="529" t="s">
        <v>1074</v>
      </c>
      <c r="X66" s="529" t="s">
        <v>942</v>
      </c>
      <c r="Y66" s="529" t="s">
        <v>942</v>
      </c>
      <c r="Z66" s="530"/>
      <c r="AA66" s="529" t="s">
        <v>1059</v>
      </c>
      <c r="AB66" s="532"/>
      <c r="AC66" s="529" t="s">
        <v>1085</v>
      </c>
      <c r="AD66" s="529" t="s">
        <v>1133</v>
      </c>
      <c r="AE66" s="529" t="s">
        <v>1134</v>
      </c>
      <c r="AF66" s="529" t="s">
        <v>1135</v>
      </c>
      <c r="AG66" s="529" t="s">
        <v>1136</v>
      </c>
      <c r="AH66" s="529" t="s">
        <v>1072</v>
      </c>
      <c r="AI66" s="529" t="s">
        <v>1072</v>
      </c>
      <c r="AJ66" s="529" t="s">
        <v>945</v>
      </c>
      <c r="AK66" s="529">
        <v>16.0</v>
      </c>
      <c r="AL66" s="529" t="s">
        <v>1138</v>
      </c>
      <c r="AM66" s="529">
        <v>2.0</v>
      </c>
      <c r="AN66" s="530" t="s">
        <v>1004</v>
      </c>
      <c r="AO66" s="530" t="s">
        <v>1352</v>
      </c>
      <c r="AP66" s="529" t="s">
        <v>657</v>
      </c>
      <c r="AQ66" s="531">
        <v>45275.0</v>
      </c>
      <c r="AR66" s="531">
        <v>48928.0</v>
      </c>
      <c r="AS66" s="532">
        <v>47102.0</v>
      </c>
      <c r="AT66" s="532">
        <v>46183.0</v>
      </c>
      <c r="AU66" s="532">
        <v>46190.0</v>
      </c>
      <c r="AV66" s="531">
        <v>46344.0</v>
      </c>
      <c r="AW66" s="529" t="s">
        <v>1108</v>
      </c>
      <c r="AX66" s="531">
        <v>46388.0</v>
      </c>
      <c r="AY66" s="529" t="s">
        <v>1353</v>
      </c>
      <c r="AZ66" s="529">
        <v>10.0</v>
      </c>
      <c r="BA66" s="529" t="s">
        <v>1284</v>
      </c>
      <c r="BB66" s="529">
        <v>1.0</v>
      </c>
      <c r="BC66" s="532">
        <v>46037.0</v>
      </c>
    </row>
    <row r="67">
      <c r="A67" s="527" t="s">
        <v>83</v>
      </c>
      <c r="B67" s="529" t="s">
        <v>1118</v>
      </c>
      <c r="C67" s="527" t="s">
        <v>179</v>
      </c>
      <c r="D67" s="529" t="s">
        <v>1044</v>
      </c>
      <c r="E67" s="529" t="s">
        <v>1045</v>
      </c>
      <c r="F67" s="529" t="s">
        <v>1122</v>
      </c>
      <c r="G67" s="529" t="s">
        <v>1123</v>
      </c>
      <c r="H67" s="530" t="s">
        <v>1233</v>
      </c>
      <c r="I67" s="529" t="s">
        <v>78</v>
      </c>
      <c r="J67" s="529" t="s">
        <v>1125</v>
      </c>
      <c r="K67" s="534">
        <v>280.0</v>
      </c>
      <c r="L67" s="530" t="s">
        <v>1040</v>
      </c>
      <c r="M67" s="531">
        <v>45033.0</v>
      </c>
      <c r="N67" s="531">
        <v>45399.0</v>
      </c>
      <c r="O67" s="530" t="s">
        <v>420</v>
      </c>
      <c r="P67" s="530" t="s">
        <v>421</v>
      </c>
      <c r="Q67" s="529">
        <v>4.0</v>
      </c>
      <c r="R67" s="529" t="s">
        <v>1128</v>
      </c>
      <c r="S67" s="529" t="s">
        <v>976</v>
      </c>
      <c r="T67" s="529" t="s">
        <v>1281</v>
      </c>
      <c r="U67" s="534">
        <v>250.0</v>
      </c>
      <c r="V67" s="534">
        <v>22.0</v>
      </c>
      <c r="W67" s="529" t="s">
        <v>1074</v>
      </c>
      <c r="X67" s="529" t="s">
        <v>942</v>
      </c>
      <c r="Y67" s="529" t="s">
        <v>942</v>
      </c>
      <c r="Z67" s="530"/>
      <c r="AA67" s="529" t="s">
        <v>1205</v>
      </c>
      <c r="AB67" s="532"/>
      <c r="AC67" s="529" t="s">
        <v>1085</v>
      </c>
      <c r="AD67" s="529" t="s">
        <v>1133</v>
      </c>
      <c r="AE67" s="529" t="s">
        <v>1134</v>
      </c>
      <c r="AF67" s="529" t="s">
        <v>1135</v>
      </c>
      <c r="AG67" s="529" t="s">
        <v>1136</v>
      </c>
      <c r="AH67" s="529" t="s">
        <v>1072</v>
      </c>
      <c r="AI67" s="529" t="s">
        <v>1072</v>
      </c>
      <c r="AJ67" s="529" t="s">
        <v>945</v>
      </c>
      <c r="AK67" s="529">
        <v>24.0</v>
      </c>
      <c r="AL67" s="529" t="s">
        <v>1138</v>
      </c>
      <c r="AM67" s="529">
        <v>3.0</v>
      </c>
      <c r="AN67" s="530" t="s">
        <v>975</v>
      </c>
      <c r="AO67" s="530" t="s">
        <v>1354</v>
      </c>
      <c r="AP67" s="529" t="s">
        <v>657</v>
      </c>
      <c r="AQ67" s="531">
        <v>45399.0</v>
      </c>
      <c r="AR67" s="531">
        <v>50877.0</v>
      </c>
      <c r="AS67" s="532">
        <v>47225.0</v>
      </c>
      <c r="AT67" s="532">
        <v>46317.0</v>
      </c>
      <c r="AU67" s="532">
        <v>46317.0</v>
      </c>
      <c r="AV67" s="531">
        <v>46344.0</v>
      </c>
      <c r="AW67" s="529" t="s">
        <v>1108</v>
      </c>
      <c r="AX67" s="531">
        <v>46388.0</v>
      </c>
      <c r="AY67" s="529" t="s">
        <v>1355</v>
      </c>
      <c r="AZ67" s="529">
        <v>14.0</v>
      </c>
      <c r="BA67" s="529" t="s">
        <v>1284</v>
      </c>
      <c r="BB67" s="529">
        <v>2.0</v>
      </c>
      <c r="BC67" s="532">
        <v>45488.0</v>
      </c>
    </row>
    <row r="68">
      <c r="A68" s="527" t="s">
        <v>86</v>
      </c>
      <c r="B68" s="529" t="s">
        <v>1118</v>
      </c>
      <c r="C68" s="527" t="s">
        <v>179</v>
      </c>
      <c r="D68" s="529" t="s">
        <v>1044</v>
      </c>
      <c r="E68" s="529" t="s">
        <v>1045</v>
      </c>
      <c r="F68" s="529" t="s">
        <v>1122</v>
      </c>
      <c r="G68" s="529" t="s">
        <v>1123</v>
      </c>
      <c r="H68" s="530" t="s">
        <v>1233</v>
      </c>
      <c r="I68" s="529" t="s">
        <v>1039</v>
      </c>
      <c r="J68" s="529" t="s">
        <v>1063</v>
      </c>
      <c r="K68" s="534">
        <v>280.0</v>
      </c>
      <c r="L68" s="530" t="s">
        <v>1050</v>
      </c>
      <c r="M68" s="531">
        <v>45387.0</v>
      </c>
      <c r="N68" s="531">
        <v>45387.0</v>
      </c>
      <c r="O68" s="530" t="s">
        <v>426</v>
      </c>
      <c r="P68" s="530" t="s">
        <v>427</v>
      </c>
      <c r="Q68" s="529">
        <v>3.0</v>
      </c>
      <c r="R68" s="529" t="s">
        <v>1128</v>
      </c>
      <c r="S68" s="529" t="s">
        <v>976</v>
      </c>
      <c r="T68" s="529" t="s">
        <v>1281</v>
      </c>
      <c r="U68" s="534">
        <v>250.0</v>
      </c>
      <c r="V68" s="534">
        <v>22.0</v>
      </c>
      <c r="W68" s="529" t="s">
        <v>1074</v>
      </c>
      <c r="X68" s="529" t="s">
        <v>942</v>
      </c>
      <c r="Y68" s="529" t="s">
        <v>942</v>
      </c>
      <c r="Z68" s="530"/>
      <c r="AA68" s="529" t="s">
        <v>1052</v>
      </c>
      <c r="AB68" s="532"/>
      <c r="AC68" s="529" t="s">
        <v>1085</v>
      </c>
      <c r="AD68" s="529" t="s">
        <v>1133</v>
      </c>
      <c r="AE68" s="529" t="s">
        <v>1134</v>
      </c>
      <c r="AF68" s="529" t="s">
        <v>1135</v>
      </c>
      <c r="AG68" s="529" t="s">
        <v>1136</v>
      </c>
      <c r="AH68" s="529" t="s">
        <v>1072</v>
      </c>
      <c r="AI68" s="529" t="s">
        <v>1072</v>
      </c>
      <c r="AJ68" s="529" t="s">
        <v>945</v>
      </c>
      <c r="AK68" s="529">
        <v>16.0</v>
      </c>
      <c r="AL68" s="529" t="s">
        <v>1138</v>
      </c>
      <c r="AM68" s="529">
        <v>2.0</v>
      </c>
      <c r="AN68" s="530" t="s">
        <v>1004</v>
      </c>
      <c r="AO68" s="530" t="s">
        <v>1356</v>
      </c>
      <c r="AP68" s="529" t="s">
        <v>657</v>
      </c>
      <c r="AQ68" s="531">
        <v>45387.0</v>
      </c>
      <c r="AR68" s="531">
        <v>49039.0</v>
      </c>
      <c r="AS68" s="532">
        <v>47213.0</v>
      </c>
      <c r="AT68" s="532">
        <v>46314.0</v>
      </c>
      <c r="AU68" s="532">
        <v>46314.0</v>
      </c>
      <c r="AV68" s="531">
        <v>46344.0</v>
      </c>
      <c r="AW68" s="529" t="s">
        <v>1108</v>
      </c>
      <c r="AX68" s="531">
        <v>46388.0</v>
      </c>
      <c r="AY68" s="529" t="s">
        <v>1357</v>
      </c>
      <c r="AZ68" s="529">
        <v>10.0</v>
      </c>
      <c r="BA68" s="529" t="s">
        <v>1284</v>
      </c>
      <c r="BB68" s="529">
        <v>1.0</v>
      </c>
      <c r="BC68" s="532">
        <v>45427.0</v>
      </c>
    </row>
    <row r="69">
      <c r="A69" s="527" t="s">
        <v>35</v>
      </c>
      <c r="B69" s="529" t="s">
        <v>1118</v>
      </c>
      <c r="C69" s="527" t="s">
        <v>179</v>
      </c>
      <c r="D69" s="529" t="s">
        <v>1044</v>
      </c>
      <c r="E69" s="529" t="s">
        <v>1045</v>
      </c>
      <c r="F69" s="529" t="s">
        <v>1122</v>
      </c>
      <c r="G69" s="529" t="s">
        <v>1123</v>
      </c>
      <c r="H69" s="530" t="s">
        <v>1238</v>
      </c>
      <c r="I69" s="529" t="s">
        <v>36</v>
      </c>
      <c r="J69" s="529" t="s">
        <v>1125</v>
      </c>
      <c r="K69" s="534">
        <v>281.0</v>
      </c>
      <c r="L69" s="530" t="s">
        <v>1087</v>
      </c>
      <c r="M69" s="531">
        <v>44882.0</v>
      </c>
      <c r="N69" s="531">
        <v>44882.0</v>
      </c>
      <c r="O69" s="530" t="s">
        <v>318</v>
      </c>
      <c r="P69" s="530" t="s">
        <v>319</v>
      </c>
      <c r="Q69" s="529">
        <v>4.0</v>
      </c>
      <c r="R69" s="529" t="s">
        <v>1128</v>
      </c>
      <c r="S69" s="529" t="s">
        <v>976</v>
      </c>
      <c r="T69" s="529" t="s">
        <v>1281</v>
      </c>
      <c r="U69" s="529">
        <v>200.0</v>
      </c>
      <c r="V69" s="529">
        <v>13.0</v>
      </c>
      <c r="W69" s="529" t="s">
        <v>1234</v>
      </c>
      <c r="X69" s="529" t="s">
        <v>945</v>
      </c>
      <c r="Y69" s="529" t="s">
        <v>945</v>
      </c>
      <c r="Z69" s="529" t="s">
        <v>516</v>
      </c>
      <c r="AA69" s="529" t="s">
        <v>516</v>
      </c>
      <c r="AB69" s="532"/>
      <c r="AC69" s="529" t="s">
        <v>1085</v>
      </c>
      <c r="AD69" s="529" t="s">
        <v>1133</v>
      </c>
      <c r="AE69" s="529" t="s">
        <v>1134</v>
      </c>
      <c r="AF69" s="529" t="s">
        <v>1135</v>
      </c>
      <c r="AG69" s="529" t="s">
        <v>1136</v>
      </c>
      <c r="AH69" s="529" t="s">
        <v>1072</v>
      </c>
      <c r="AI69" s="529" t="s">
        <v>1072</v>
      </c>
      <c r="AJ69" s="529" t="s">
        <v>945</v>
      </c>
      <c r="AK69" s="529">
        <v>24.0</v>
      </c>
      <c r="AL69" s="529" t="s">
        <v>1138</v>
      </c>
      <c r="AM69" s="529">
        <v>3.0</v>
      </c>
      <c r="AN69" s="530" t="s">
        <v>975</v>
      </c>
      <c r="AO69" s="529">
        <v>11.0</v>
      </c>
      <c r="AP69" s="529" t="s">
        <v>1003</v>
      </c>
      <c r="AQ69" s="531">
        <v>41595.0</v>
      </c>
      <c r="AR69" s="531">
        <v>47074.0</v>
      </c>
      <c r="AS69" s="532">
        <v>46708.0</v>
      </c>
      <c r="AT69" s="532">
        <v>46174.0</v>
      </c>
      <c r="AU69" s="532">
        <v>46177.0</v>
      </c>
      <c r="AV69" s="531">
        <v>46344.0</v>
      </c>
      <c r="AW69" s="529" t="s">
        <v>1108</v>
      </c>
      <c r="AX69" s="531">
        <v>46388.0</v>
      </c>
      <c r="AY69" s="529" t="s">
        <v>1358</v>
      </c>
      <c r="AZ69" s="529">
        <v>14.0</v>
      </c>
      <c r="BA69" s="529" t="s">
        <v>1284</v>
      </c>
      <c r="BB69" s="529">
        <v>2.0</v>
      </c>
      <c r="BC69" s="532">
        <v>45609.0</v>
      </c>
    </row>
    <row r="70">
      <c r="A70" s="527" t="s">
        <v>97</v>
      </c>
      <c r="B70" s="529" t="s">
        <v>1118</v>
      </c>
      <c r="C70" s="527" t="s">
        <v>179</v>
      </c>
      <c r="D70" s="529" t="s">
        <v>1044</v>
      </c>
      <c r="E70" s="529" t="s">
        <v>1045</v>
      </c>
      <c r="F70" s="529" t="s">
        <v>1122</v>
      </c>
      <c r="G70" s="529" t="s">
        <v>1123</v>
      </c>
      <c r="H70" s="530" t="s">
        <v>1238</v>
      </c>
      <c r="I70" s="529" t="s">
        <v>94</v>
      </c>
      <c r="J70" s="529" t="s">
        <v>1125</v>
      </c>
      <c r="K70" s="534">
        <v>281.0</v>
      </c>
      <c r="L70" s="530" t="s">
        <v>1179</v>
      </c>
      <c r="M70" s="531">
        <v>44107.0</v>
      </c>
      <c r="N70" s="531">
        <v>44107.0</v>
      </c>
      <c r="O70" s="530" t="s">
        <v>457</v>
      </c>
      <c r="P70" s="530" t="s">
        <v>458</v>
      </c>
      <c r="Q70" s="529">
        <v>4.0</v>
      </c>
      <c r="R70" s="529" t="s">
        <v>1128</v>
      </c>
      <c r="S70" s="529" t="s">
        <v>976</v>
      </c>
      <c r="T70" s="529" t="s">
        <v>1281</v>
      </c>
      <c r="U70" s="529">
        <v>200.0</v>
      </c>
      <c r="V70" s="529">
        <v>13.0</v>
      </c>
      <c r="W70" s="529" t="s">
        <v>1299</v>
      </c>
      <c r="X70" s="529" t="s">
        <v>945</v>
      </c>
      <c r="Y70" s="529" t="s">
        <v>945</v>
      </c>
      <c r="Z70" s="529" t="s">
        <v>516</v>
      </c>
      <c r="AA70" s="529" t="s">
        <v>516</v>
      </c>
      <c r="AB70" s="532"/>
      <c r="AC70" s="529" t="s">
        <v>1085</v>
      </c>
      <c r="AD70" s="529" t="s">
        <v>1133</v>
      </c>
      <c r="AE70" s="529" t="s">
        <v>1134</v>
      </c>
      <c r="AF70" s="529" t="s">
        <v>1135</v>
      </c>
      <c r="AG70" s="529" t="s">
        <v>1136</v>
      </c>
      <c r="AH70" s="529" t="s">
        <v>1072</v>
      </c>
      <c r="AI70" s="529" t="s">
        <v>1072</v>
      </c>
      <c r="AJ70" s="529" t="s">
        <v>945</v>
      </c>
      <c r="AK70" s="529">
        <v>24.0</v>
      </c>
      <c r="AL70" s="529" t="s">
        <v>1138</v>
      </c>
      <c r="AM70" s="529">
        <v>3.0</v>
      </c>
      <c r="AN70" s="530" t="s">
        <v>975</v>
      </c>
      <c r="AO70" s="530" t="s">
        <v>1359</v>
      </c>
      <c r="AP70" s="529" t="s">
        <v>648</v>
      </c>
      <c r="AQ70" s="531">
        <v>44107.0</v>
      </c>
      <c r="AR70" s="531">
        <v>49585.0</v>
      </c>
      <c r="AS70" s="532">
        <v>47720.0</v>
      </c>
      <c r="AT70" s="532">
        <v>46238.0</v>
      </c>
      <c r="AU70" s="532">
        <v>46238.0</v>
      </c>
      <c r="AV70" s="531">
        <v>46344.0</v>
      </c>
      <c r="AW70" s="529" t="s">
        <v>1108</v>
      </c>
      <c r="AX70" s="531">
        <v>46388.0</v>
      </c>
      <c r="AY70" s="529" t="s">
        <v>1360</v>
      </c>
      <c r="AZ70" s="529">
        <v>14.0</v>
      </c>
      <c r="BA70" s="529" t="s">
        <v>1284</v>
      </c>
      <c r="BB70" s="529">
        <v>2.0</v>
      </c>
      <c r="BC70" s="532">
        <v>45511.0</v>
      </c>
    </row>
    <row r="71">
      <c r="A71" s="527" t="s">
        <v>95</v>
      </c>
      <c r="B71" s="529" t="s">
        <v>1118</v>
      </c>
      <c r="C71" s="527" t="s">
        <v>179</v>
      </c>
      <c r="D71" s="529" t="s">
        <v>1044</v>
      </c>
      <c r="E71" s="529" t="s">
        <v>1045</v>
      </c>
      <c r="F71" s="529" t="s">
        <v>1122</v>
      </c>
      <c r="G71" s="529" t="s">
        <v>1123</v>
      </c>
      <c r="H71" s="530" t="s">
        <v>1238</v>
      </c>
      <c r="I71" s="529" t="s">
        <v>94</v>
      </c>
      <c r="J71" s="529" t="s">
        <v>1125</v>
      </c>
      <c r="K71" s="534">
        <v>281.0</v>
      </c>
      <c r="L71" s="530" t="s">
        <v>1183</v>
      </c>
      <c r="M71" s="531">
        <v>44096.0</v>
      </c>
      <c r="N71" s="531">
        <v>44068.0</v>
      </c>
      <c r="O71" s="530" t="s">
        <v>454</v>
      </c>
      <c r="P71" s="530" t="s">
        <v>455</v>
      </c>
      <c r="Q71" s="529">
        <v>4.0</v>
      </c>
      <c r="R71" s="529" t="s">
        <v>1128</v>
      </c>
      <c r="S71" s="529" t="s">
        <v>976</v>
      </c>
      <c r="T71" s="529" t="s">
        <v>1281</v>
      </c>
      <c r="U71" s="529">
        <v>200.0</v>
      </c>
      <c r="V71" s="529">
        <v>13.0</v>
      </c>
      <c r="W71" s="529" t="s">
        <v>1299</v>
      </c>
      <c r="X71" s="529" t="s">
        <v>945</v>
      </c>
      <c r="Y71" s="529" t="s">
        <v>945</v>
      </c>
      <c r="Z71" s="529" t="s">
        <v>516</v>
      </c>
      <c r="AA71" s="529" t="s">
        <v>516</v>
      </c>
      <c r="AB71" s="532"/>
      <c r="AC71" s="529" t="s">
        <v>1085</v>
      </c>
      <c r="AD71" s="529" t="s">
        <v>1133</v>
      </c>
      <c r="AE71" s="529" t="s">
        <v>1134</v>
      </c>
      <c r="AF71" s="529" t="s">
        <v>1135</v>
      </c>
      <c r="AG71" s="529" t="s">
        <v>1136</v>
      </c>
      <c r="AH71" s="529" t="s">
        <v>1072</v>
      </c>
      <c r="AI71" s="529" t="s">
        <v>1072</v>
      </c>
      <c r="AJ71" s="529" t="s">
        <v>945</v>
      </c>
      <c r="AK71" s="529">
        <v>24.0</v>
      </c>
      <c r="AL71" s="529" t="s">
        <v>1138</v>
      </c>
      <c r="AM71" s="529">
        <v>3.0</v>
      </c>
      <c r="AN71" s="530" t="s">
        <v>975</v>
      </c>
      <c r="AO71" s="530" t="s">
        <v>1361</v>
      </c>
      <c r="AP71" s="529" t="s">
        <v>648</v>
      </c>
      <c r="AQ71" s="531">
        <v>44068.0</v>
      </c>
      <c r="AR71" s="531">
        <v>49546.0</v>
      </c>
      <c r="AS71" s="532">
        <v>47720.0</v>
      </c>
      <c r="AT71" s="532">
        <v>46238.0</v>
      </c>
      <c r="AU71" s="532">
        <v>46238.0</v>
      </c>
      <c r="AV71" s="531">
        <v>46344.0</v>
      </c>
      <c r="AW71" s="529" t="s">
        <v>1108</v>
      </c>
      <c r="AX71" s="531">
        <v>46388.0</v>
      </c>
      <c r="AY71" s="529" t="s">
        <v>1362</v>
      </c>
      <c r="AZ71" s="529">
        <v>14.0</v>
      </c>
      <c r="BA71" s="529" t="s">
        <v>1284</v>
      </c>
      <c r="BB71" s="529">
        <v>2.0</v>
      </c>
      <c r="BC71" s="532">
        <v>45481.0</v>
      </c>
    </row>
    <row r="72">
      <c r="A72" s="527" t="s">
        <v>98</v>
      </c>
      <c r="B72" s="529" t="s">
        <v>1118</v>
      </c>
      <c r="C72" s="527" t="s">
        <v>179</v>
      </c>
      <c r="D72" s="529" t="s">
        <v>1044</v>
      </c>
      <c r="E72" s="529" t="s">
        <v>1045</v>
      </c>
      <c r="F72" s="529" t="s">
        <v>1122</v>
      </c>
      <c r="G72" s="529" t="s">
        <v>1123</v>
      </c>
      <c r="H72" s="530" t="s">
        <v>1233</v>
      </c>
      <c r="I72" s="529" t="s">
        <v>1185</v>
      </c>
      <c r="J72" s="529" t="s">
        <v>1063</v>
      </c>
      <c r="K72" s="534">
        <v>280.0</v>
      </c>
      <c r="L72" s="530" t="s">
        <v>1193</v>
      </c>
      <c r="M72" s="531">
        <v>44874.0</v>
      </c>
      <c r="N72" s="531">
        <v>44874.0</v>
      </c>
      <c r="O72" s="530" t="s">
        <v>460</v>
      </c>
      <c r="P72" s="530" t="s">
        <v>461</v>
      </c>
      <c r="Q72" s="529">
        <v>3.0</v>
      </c>
      <c r="R72" s="529" t="s">
        <v>1128</v>
      </c>
      <c r="S72" s="529" t="s">
        <v>976</v>
      </c>
      <c r="T72" s="529" t="s">
        <v>1281</v>
      </c>
      <c r="U72" s="534">
        <v>250.0</v>
      </c>
      <c r="V72" s="534">
        <v>22.0</v>
      </c>
      <c r="W72" s="529" t="s">
        <v>1074</v>
      </c>
      <c r="X72" s="529" t="s">
        <v>942</v>
      </c>
      <c r="Y72" s="529" t="s">
        <v>942</v>
      </c>
      <c r="Z72" s="530"/>
      <c r="AA72" s="529" t="s">
        <v>1198</v>
      </c>
      <c r="AB72" s="532"/>
      <c r="AC72" s="529" t="s">
        <v>1085</v>
      </c>
      <c r="AD72" s="529" t="s">
        <v>1133</v>
      </c>
      <c r="AE72" s="529" t="s">
        <v>1134</v>
      </c>
      <c r="AF72" s="529" t="s">
        <v>1135</v>
      </c>
      <c r="AG72" s="529" t="s">
        <v>1136</v>
      </c>
      <c r="AH72" s="529" t="s">
        <v>1072</v>
      </c>
      <c r="AI72" s="529" t="s">
        <v>1072</v>
      </c>
      <c r="AJ72" s="529" t="s">
        <v>945</v>
      </c>
      <c r="AK72" s="529">
        <v>16.0</v>
      </c>
      <c r="AL72" s="529" t="s">
        <v>1138</v>
      </c>
      <c r="AM72" s="529">
        <v>2.0</v>
      </c>
      <c r="AN72" s="530" t="s">
        <v>975</v>
      </c>
      <c r="AO72" s="530" t="s">
        <v>1363</v>
      </c>
      <c r="AP72" s="529" t="s">
        <v>648</v>
      </c>
      <c r="AQ72" s="531">
        <v>44874.0</v>
      </c>
      <c r="AR72" s="531">
        <v>48527.0</v>
      </c>
      <c r="AS72" s="532">
        <v>46705.0</v>
      </c>
      <c r="AT72" s="532">
        <v>46330.0</v>
      </c>
      <c r="AU72" s="532">
        <v>46330.0</v>
      </c>
      <c r="AV72" s="531">
        <v>46344.0</v>
      </c>
      <c r="AW72" s="529" t="s">
        <v>1108</v>
      </c>
      <c r="AX72" s="531">
        <v>46388.0</v>
      </c>
      <c r="AY72" s="529" t="s">
        <v>1364</v>
      </c>
      <c r="AZ72" s="529">
        <v>10.0</v>
      </c>
      <c r="BA72" s="529" t="s">
        <v>1284</v>
      </c>
      <c r="BB72" s="529">
        <v>1.0</v>
      </c>
      <c r="BC72" s="532">
        <v>45918.0</v>
      </c>
    </row>
    <row r="73">
      <c r="A73" s="527" t="s">
        <v>101</v>
      </c>
      <c r="B73" s="529" t="s">
        <v>1118</v>
      </c>
      <c r="C73" s="527" t="s">
        <v>179</v>
      </c>
      <c r="D73" s="529" t="s">
        <v>1044</v>
      </c>
      <c r="E73" s="529" t="s">
        <v>1045</v>
      </c>
      <c r="F73" s="529" t="s">
        <v>1122</v>
      </c>
      <c r="G73" s="529" t="s">
        <v>1123</v>
      </c>
      <c r="H73" s="530" t="s">
        <v>1233</v>
      </c>
      <c r="I73" s="529" t="s">
        <v>1185</v>
      </c>
      <c r="J73" s="529" t="s">
        <v>1063</v>
      </c>
      <c r="K73" s="534">
        <v>280.0</v>
      </c>
      <c r="L73" s="530" t="s">
        <v>1193</v>
      </c>
      <c r="M73" s="531">
        <v>44880.0</v>
      </c>
      <c r="N73" s="531">
        <v>44880.0</v>
      </c>
      <c r="O73" s="530" t="s">
        <v>463</v>
      </c>
      <c r="P73" s="530" t="s">
        <v>464</v>
      </c>
      <c r="Q73" s="529">
        <v>3.0</v>
      </c>
      <c r="R73" s="529" t="s">
        <v>1128</v>
      </c>
      <c r="S73" s="529" t="s">
        <v>976</v>
      </c>
      <c r="T73" s="529" t="s">
        <v>1281</v>
      </c>
      <c r="U73" s="534">
        <v>250.0</v>
      </c>
      <c r="V73" s="534">
        <v>22.0</v>
      </c>
      <c r="W73" s="529" t="s">
        <v>1074</v>
      </c>
      <c r="X73" s="529" t="s">
        <v>942</v>
      </c>
      <c r="Y73" s="529" t="s">
        <v>942</v>
      </c>
      <c r="Z73" s="530"/>
      <c r="AA73" s="529" t="s">
        <v>1194</v>
      </c>
      <c r="AB73" s="532"/>
      <c r="AC73" s="529" t="s">
        <v>1085</v>
      </c>
      <c r="AD73" s="529" t="s">
        <v>1133</v>
      </c>
      <c r="AE73" s="529" t="s">
        <v>1134</v>
      </c>
      <c r="AF73" s="529" t="s">
        <v>1135</v>
      </c>
      <c r="AG73" s="529" t="s">
        <v>1136</v>
      </c>
      <c r="AH73" s="529" t="s">
        <v>1072</v>
      </c>
      <c r="AI73" s="529" t="s">
        <v>1072</v>
      </c>
      <c r="AJ73" s="529" t="s">
        <v>945</v>
      </c>
      <c r="AK73" s="529">
        <v>16.0</v>
      </c>
      <c r="AL73" s="529" t="s">
        <v>1138</v>
      </c>
      <c r="AM73" s="529">
        <v>2.0</v>
      </c>
      <c r="AN73" s="530" t="s">
        <v>975</v>
      </c>
      <c r="AO73" s="530" t="s">
        <v>1365</v>
      </c>
      <c r="AP73" s="529" t="s">
        <v>648</v>
      </c>
      <c r="AQ73" s="531">
        <v>44880.0</v>
      </c>
      <c r="AR73" s="531">
        <v>48533.0</v>
      </c>
      <c r="AS73" s="532">
        <v>46706.0</v>
      </c>
      <c r="AT73" s="532">
        <v>46330.0</v>
      </c>
      <c r="AU73" s="532">
        <v>46330.0</v>
      </c>
      <c r="AV73" s="531">
        <v>46344.0</v>
      </c>
      <c r="AW73" s="529" t="s">
        <v>1108</v>
      </c>
      <c r="AX73" s="531">
        <v>46388.0</v>
      </c>
      <c r="AY73" s="529" t="s">
        <v>1366</v>
      </c>
      <c r="AZ73" s="529">
        <v>10.0</v>
      </c>
      <c r="BA73" s="529" t="s">
        <v>1284</v>
      </c>
      <c r="BB73" s="529">
        <v>1.0</v>
      </c>
      <c r="BC73" s="532">
        <v>45609.0</v>
      </c>
    </row>
    <row r="74">
      <c r="A74" s="527" t="s">
        <v>93</v>
      </c>
      <c r="B74" s="529" t="s">
        <v>1118</v>
      </c>
      <c r="C74" s="527" t="s">
        <v>179</v>
      </c>
      <c r="D74" s="529" t="s">
        <v>1044</v>
      </c>
      <c r="E74" s="529" t="s">
        <v>1045</v>
      </c>
      <c r="F74" s="529" t="s">
        <v>1122</v>
      </c>
      <c r="G74" s="529" t="s">
        <v>1123</v>
      </c>
      <c r="H74" s="530" t="s">
        <v>1233</v>
      </c>
      <c r="I74" s="529" t="s">
        <v>94</v>
      </c>
      <c r="J74" s="529" t="s">
        <v>1063</v>
      </c>
      <c r="K74" s="534">
        <v>281.0</v>
      </c>
      <c r="L74" s="530" t="s">
        <v>1173</v>
      </c>
      <c r="M74" s="531">
        <v>44884.0</v>
      </c>
      <c r="N74" s="531">
        <v>44867.0</v>
      </c>
      <c r="O74" s="530" t="s">
        <v>450</v>
      </c>
      <c r="P74" s="530" t="s">
        <v>451</v>
      </c>
      <c r="Q74" s="529">
        <v>3.0</v>
      </c>
      <c r="R74" s="529" t="s">
        <v>1128</v>
      </c>
      <c r="S74" s="529" t="s">
        <v>976</v>
      </c>
      <c r="T74" s="529" t="s">
        <v>1281</v>
      </c>
      <c r="U74" s="529">
        <v>200.0</v>
      </c>
      <c r="V74" s="529">
        <v>13.0</v>
      </c>
      <c r="W74" s="529" t="s">
        <v>1074</v>
      </c>
      <c r="X74" s="529" t="s">
        <v>942</v>
      </c>
      <c r="Y74" s="529" t="s">
        <v>942</v>
      </c>
      <c r="Z74" s="530"/>
      <c r="AA74" s="529" t="s">
        <v>1175</v>
      </c>
      <c r="AB74" s="532"/>
      <c r="AC74" s="529" t="s">
        <v>1085</v>
      </c>
      <c r="AD74" s="529" t="s">
        <v>1133</v>
      </c>
      <c r="AE74" s="529" t="s">
        <v>1134</v>
      </c>
      <c r="AF74" s="529" t="s">
        <v>1135</v>
      </c>
      <c r="AG74" s="529" t="s">
        <v>1136</v>
      </c>
      <c r="AH74" s="529" t="s">
        <v>1072</v>
      </c>
      <c r="AI74" s="529" t="s">
        <v>1072</v>
      </c>
      <c r="AJ74" s="529" t="s">
        <v>945</v>
      </c>
      <c r="AK74" s="529">
        <v>16.0</v>
      </c>
      <c r="AL74" s="529" t="s">
        <v>1138</v>
      </c>
      <c r="AM74" s="529">
        <v>2.0</v>
      </c>
      <c r="AN74" s="530" t="s">
        <v>1004</v>
      </c>
      <c r="AO74" s="530" t="s">
        <v>1367</v>
      </c>
      <c r="AP74" s="529" t="s">
        <v>657</v>
      </c>
      <c r="AQ74" s="531">
        <v>44867.0</v>
      </c>
      <c r="AR74" s="531">
        <v>48520.0</v>
      </c>
      <c r="AS74" s="532">
        <v>46693.0</v>
      </c>
      <c r="AT74" s="532">
        <v>46274.0</v>
      </c>
      <c r="AU74" s="532">
        <v>46274.0</v>
      </c>
      <c r="AV74" s="531">
        <v>46344.0</v>
      </c>
      <c r="AW74" s="529" t="s">
        <v>1108</v>
      </c>
      <c r="AX74" s="531">
        <v>46388.0</v>
      </c>
      <c r="AY74" s="529" t="s">
        <v>1368</v>
      </c>
      <c r="AZ74" s="529">
        <v>10.0</v>
      </c>
      <c r="BA74" s="529" t="s">
        <v>1284</v>
      </c>
      <c r="BB74" s="529">
        <v>1.0</v>
      </c>
      <c r="BC74" s="532">
        <v>45504.0</v>
      </c>
    </row>
    <row r="75">
      <c r="A75" s="527" t="s">
        <v>122</v>
      </c>
      <c r="B75" s="529" t="s">
        <v>1118</v>
      </c>
      <c r="C75" s="527" t="s">
        <v>179</v>
      </c>
      <c r="D75" s="529" t="s">
        <v>1044</v>
      </c>
      <c r="E75" s="529" t="s">
        <v>1045</v>
      </c>
      <c r="F75" s="529" t="s">
        <v>1122</v>
      </c>
      <c r="G75" s="529" t="s">
        <v>1123</v>
      </c>
      <c r="H75" s="530" t="s">
        <v>1233</v>
      </c>
      <c r="I75" s="529" t="s">
        <v>118</v>
      </c>
      <c r="J75" s="529" t="s">
        <v>1063</v>
      </c>
      <c r="K75" s="534">
        <v>281.0</v>
      </c>
      <c r="L75" s="530" t="s">
        <v>656</v>
      </c>
      <c r="M75" s="531">
        <v>45447.0</v>
      </c>
      <c r="N75" s="531">
        <v>45812.0</v>
      </c>
      <c r="O75" s="530" t="s">
        <v>596</v>
      </c>
      <c r="P75" s="530" t="s">
        <v>597</v>
      </c>
      <c r="Q75" s="529">
        <v>3.0</v>
      </c>
      <c r="R75" s="529" t="s">
        <v>1070</v>
      </c>
      <c r="S75" s="529" t="s">
        <v>976</v>
      </c>
      <c r="T75" s="529" t="s">
        <v>1281</v>
      </c>
      <c r="U75" s="529">
        <v>200.0</v>
      </c>
      <c r="V75" s="529">
        <v>13.0</v>
      </c>
      <c r="W75" s="529" t="s">
        <v>1234</v>
      </c>
      <c r="X75" s="529" t="s">
        <v>945</v>
      </c>
      <c r="Y75" s="529" t="s">
        <v>942</v>
      </c>
      <c r="Z75" s="530"/>
      <c r="AA75" s="529" t="s">
        <v>793</v>
      </c>
      <c r="AB75" s="532"/>
      <c r="AC75" s="529" t="s">
        <v>1085</v>
      </c>
      <c r="AD75" s="529" t="s">
        <v>1133</v>
      </c>
      <c r="AE75" s="529" t="s">
        <v>1134</v>
      </c>
      <c r="AF75" s="529" t="s">
        <v>1135</v>
      </c>
      <c r="AG75" s="529" t="s">
        <v>1136</v>
      </c>
      <c r="AH75" s="529" t="s">
        <v>1072</v>
      </c>
      <c r="AI75" s="529" t="s">
        <v>1072</v>
      </c>
      <c r="AJ75" s="529" t="s">
        <v>942</v>
      </c>
      <c r="AK75" s="529">
        <v>16.0</v>
      </c>
      <c r="AL75" s="529" t="s">
        <v>1138</v>
      </c>
      <c r="AM75" s="529">
        <v>2.0</v>
      </c>
      <c r="AN75" s="530" t="s">
        <v>1004</v>
      </c>
      <c r="AO75" s="530" t="s">
        <v>1322</v>
      </c>
      <c r="AP75" s="529" t="s">
        <v>1003</v>
      </c>
      <c r="AQ75" s="531">
        <v>45812.0</v>
      </c>
      <c r="AR75" s="531">
        <v>50925.0</v>
      </c>
      <c r="AS75" s="532">
        <v>47563.0</v>
      </c>
      <c r="AT75" s="532">
        <v>46270.0</v>
      </c>
      <c r="AU75" s="532">
        <v>46270.0</v>
      </c>
      <c r="AV75" s="531">
        <v>46344.0</v>
      </c>
      <c r="AW75" s="529" t="s">
        <v>1108</v>
      </c>
      <c r="AX75" s="531">
        <v>46388.0</v>
      </c>
      <c r="AY75" s="529" t="s">
        <v>1369</v>
      </c>
      <c r="AZ75" s="529">
        <v>10.0</v>
      </c>
      <c r="BA75" s="529" t="s">
        <v>1284</v>
      </c>
      <c r="BB75" s="529">
        <v>1.0</v>
      </c>
      <c r="BC75" s="532">
        <v>45762.0</v>
      </c>
    </row>
    <row r="76">
      <c r="A76" s="527" t="s">
        <v>102</v>
      </c>
      <c r="B76" s="529" t="s">
        <v>1118</v>
      </c>
      <c r="C76" s="527" t="s">
        <v>179</v>
      </c>
      <c r="D76" s="529" t="s">
        <v>1044</v>
      </c>
      <c r="E76" s="529" t="s">
        <v>1045</v>
      </c>
      <c r="F76" s="529" t="s">
        <v>1122</v>
      </c>
      <c r="G76" s="529" t="s">
        <v>1123</v>
      </c>
      <c r="H76" s="530" t="s">
        <v>1233</v>
      </c>
      <c r="I76" s="529" t="s">
        <v>1185</v>
      </c>
      <c r="J76" s="529" t="s">
        <v>1063</v>
      </c>
      <c r="K76" s="534">
        <v>281.0</v>
      </c>
      <c r="L76" s="530" t="s">
        <v>1187</v>
      </c>
      <c r="M76" s="531">
        <v>45166.0</v>
      </c>
      <c r="N76" s="531">
        <v>45532.0</v>
      </c>
      <c r="O76" s="530" t="s">
        <v>468</v>
      </c>
      <c r="P76" s="530" t="s">
        <v>469</v>
      </c>
      <c r="Q76" s="529">
        <v>3.0</v>
      </c>
      <c r="R76" s="529" t="s">
        <v>1128</v>
      </c>
      <c r="S76" s="529" t="s">
        <v>976</v>
      </c>
      <c r="T76" s="529" t="s">
        <v>1281</v>
      </c>
      <c r="U76" s="529">
        <v>200.0</v>
      </c>
      <c r="V76" s="534">
        <v>19.0</v>
      </c>
      <c r="W76" s="529" t="s">
        <v>1234</v>
      </c>
      <c r="X76" s="529" t="s">
        <v>945</v>
      </c>
      <c r="Y76" s="529" t="s">
        <v>942</v>
      </c>
      <c r="Z76" s="530"/>
      <c r="AA76" s="529" t="s">
        <v>737</v>
      </c>
      <c r="AB76" s="532"/>
      <c r="AC76" s="529" t="s">
        <v>1085</v>
      </c>
      <c r="AD76" s="529" t="s">
        <v>1133</v>
      </c>
      <c r="AE76" s="529" t="s">
        <v>1134</v>
      </c>
      <c r="AF76" s="529" t="s">
        <v>1135</v>
      </c>
      <c r="AG76" s="529" t="s">
        <v>1136</v>
      </c>
      <c r="AH76" s="529" t="s">
        <v>1072</v>
      </c>
      <c r="AI76" s="529" t="s">
        <v>1072</v>
      </c>
      <c r="AJ76" s="529" t="s">
        <v>945</v>
      </c>
      <c r="AK76" s="529">
        <v>16.0</v>
      </c>
      <c r="AL76" s="529" t="s">
        <v>1138</v>
      </c>
      <c r="AM76" s="529">
        <v>2.0</v>
      </c>
      <c r="AN76" s="530" t="s">
        <v>1004</v>
      </c>
      <c r="AO76" s="530" t="s">
        <v>1370</v>
      </c>
      <c r="AP76" s="529" t="s">
        <v>648</v>
      </c>
      <c r="AQ76" s="531">
        <v>45166.0</v>
      </c>
      <c r="AR76" s="531">
        <v>48819.0</v>
      </c>
      <c r="AS76" s="532">
        <v>47358.0</v>
      </c>
      <c r="AT76" s="532">
        <v>46301.0</v>
      </c>
      <c r="AU76" s="532">
        <v>46301.0</v>
      </c>
      <c r="AV76" s="531">
        <v>46344.0</v>
      </c>
      <c r="AW76" s="529" t="s">
        <v>1108</v>
      </c>
      <c r="AX76" s="531">
        <v>46388.0</v>
      </c>
      <c r="AY76" s="529" t="s">
        <v>1371</v>
      </c>
      <c r="AZ76" s="529">
        <v>10.0</v>
      </c>
      <c r="BA76" s="529" t="s">
        <v>1284</v>
      </c>
      <c r="BB76" s="529">
        <v>1.0</v>
      </c>
      <c r="BC76" s="532">
        <v>45588.0</v>
      </c>
    </row>
    <row r="77">
      <c r="A77" s="527" t="s">
        <v>103</v>
      </c>
      <c r="B77" s="529" t="s">
        <v>1118</v>
      </c>
      <c r="C77" s="527" t="s">
        <v>179</v>
      </c>
      <c r="D77" s="529" t="s">
        <v>1044</v>
      </c>
      <c r="E77" s="529" t="s">
        <v>1045</v>
      </c>
      <c r="F77" s="529" t="s">
        <v>1122</v>
      </c>
      <c r="G77" s="529" t="s">
        <v>1123</v>
      </c>
      <c r="H77" s="530" t="s">
        <v>1124</v>
      </c>
      <c r="I77" s="529" t="s">
        <v>1185</v>
      </c>
      <c r="J77" s="529" t="s">
        <v>1125</v>
      </c>
      <c r="K77" s="534">
        <v>280.0</v>
      </c>
      <c r="L77" s="530" t="s">
        <v>1199</v>
      </c>
      <c r="M77" s="531">
        <v>44833.0</v>
      </c>
      <c r="N77" s="531">
        <v>44833.0</v>
      </c>
      <c r="O77" s="530" t="s">
        <v>472</v>
      </c>
      <c r="P77" s="530" t="s">
        <v>473</v>
      </c>
      <c r="Q77" s="529">
        <v>4.0</v>
      </c>
      <c r="R77" s="529" t="s">
        <v>1128</v>
      </c>
      <c r="S77" s="529" t="s">
        <v>976</v>
      </c>
      <c r="T77" s="529" t="s">
        <v>1281</v>
      </c>
      <c r="U77" s="534">
        <v>250.0</v>
      </c>
      <c r="V77" s="534">
        <v>22.0</v>
      </c>
      <c r="W77" s="529" t="s">
        <v>1074</v>
      </c>
      <c r="X77" s="529" t="s">
        <v>942</v>
      </c>
      <c r="Y77" s="529" t="s">
        <v>942</v>
      </c>
      <c r="Z77" s="530"/>
      <c r="AA77" s="529" t="s">
        <v>1201</v>
      </c>
      <c r="AB77" s="532"/>
      <c r="AC77" s="529" t="s">
        <v>1085</v>
      </c>
      <c r="AD77" s="529" t="s">
        <v>1133</v>
      </c>
      <c r="AE77" s="529" t="s">
        <v>1134</v>
      </c>
      <c r="AF77" s="529" t="s">
        <v>1135</v>
      </c>
      <c r="AG77" s="529" t="s">
        <v>1136</v>
      </c>
      <c r="AH77" s="529" t="s">
        <v>1072</v>
      </c>
      <c r="AI77" s="529" t="s">
        <v>1072</v>
      </c>
      <c r="AJ77" s="529" t="s">
        <v>945</v>
      </c>
      <c r="AK77" s="529">
        <v>24.0</v>
      </c>
      <c r="AL77" s="529" t="s">
        <v>1138</v>
      </c>
      <c r="AM77" s="529">
        <v>3.0</v>
      </c>
      <c r="AN77" s="530" t="s">
        <v>975</v>
      </c>
      <c r="AO77" s="530" t="s">
        <v>1372</v>
      </c>
      <c r="AP77" s="529" t="s">
        <v>657</v>
      </c>
      <c r="AQ77" s="531">
        <v>44833.0</v>
      </c>
      <c r="AR77" s="531">
        <v>46659.0</v>
      </c>
      <c r="AS77" s="532">
        <v>46659.0</v>
      </c>
      <c r="AT77" s="532">
        <v>46330.0</v>
      </c>
      <c r="AU77" s="532">
        <v>46330.0</v>
      </c>
      <c r="AV77" s="531">
        <v>46344.0</v>
      </c>
      <c r="AW77" s="529" t="s">
        <v>1108</v>
      </c>
      <c r="AX77" s="531">
        <v>46388.0</v>
      </c>
      <c r="AY77" s="529" t="s">
        <v>1373</v>
      </c>
      <c r="AZ77" s="529">
        <v>14.0</v>
      </c>
      <c r="BA77" s="529" t="s">
        <v>1284</v>
      </c>
      <c r="BB77" s="529">
        <v>2.0</v>
      </c>
      <c r="BC77" s="532">
        <v>45964.0</v>
      </c>
    </row>
    <row r="78">
      <c r="A78" s="527" t="s">
        <v>115</v>
      </c>
      <c r="B78" s="529" t="s">
        <v>1118</v>
      </c>
      <c r="C78" s="527" t="s">
        <v>179</v>
      </c>
      <c r="D78" s="529" t="s">
        <v>1044</v>
      </c>
      <c r="E78" s="529" t="s">
        <v>1045</v>
      </c>
      <c r="F78" s="529" t="s">
        <v>1122</v>
      </c>
      <c r="G78" s="529" t="s">
        <v>1123</v>
      </c>
      <c r="H78" s="530" t="s">
        <v>1238</v>
      </c>
      <c r="I78" s="529" t="s">
        <v>1224</v>
      </c>
      <c r="J78" s="529" t="s">
        <v>1063</v>
      </c>
      <c r="K78" s="534">
        <v>281.0</v>
      </c>
      <c r="L78" s="530" t="s">
        <v>1225</v>
      </c>
      <c r="M78" s="531">
        <v>43346.0</v>
      </c>
      <c r="N78" s="531">
        <v>43346.0</v>
      </c>
      <c r="O78" s="530" t="s">
        <v>535</v>
      </c>
      <c r="P78" s="530" t="s">
        <v>536</v>
      </c>
      <c r="Q78" s="529">
        <v>3.0</v>
      </c>
      <c r="R78" s="529" t="s">
        <v>1128</v>
      </c>
      <c r="S78" s="529" t="s">
        <v>1071</v>
      </c>
      <c r="T78" s="529" t="s">
        <v>1281</v>
      </c>
      <c r="U78" s="529">
        <v>200.0</v>
      </c>
      <c r="V78" s="534">
        <v>19.0</v>
      </c>
      <c r="W78" s="529" t="s">
        <v>1299</v>
      </c>
      <c r="X78" s="529" t="s">
        <v>945</v>
      </c>
      <c r="Y78" s="529" t="s">
        <v>942</v>
      </c>
      <c r="Z78" s="530"/>
      <c r="AA78" s="529" t="s">
        <v>1226</v>
      </c>
      <c r="AB78" s="532"/>
      <c r="AC78" s="529" t="s">
        <v>1085</v>
      </c>
      <c r="AD78" s="529" t="s">
        <v>1133</v>
      </c>
      <c r="AE78" s="529" t="s">
        <v>1134</v>
      </c>
      <c r="AF78" s="529" t="s">
        <v>1135</v>
      </c>
      <c r="AG78" s="529" t="s">
        <v>1136</v>
      </c>
      <c r="AH78" s="529" t="s">
        <v>316</v>
      </c>
      <c r="AI78" s="529" t="s">
        <v>1096</v>
      </c>
      <c r="AJ78" s="529" t="s">
        <v>945</v>
      </c>
      <c r="AK78" s="529">
        <v>16.0</v>
      </c>
      <c r="AL78" s="529" t="s">
        <v>1138</v>
      </c>
      <c r="AM78" s="529">
        <v>2.0</v>
      </c>
      <c r="AN78" s="530" t="s">
        <v>1004</v>
      </c>
      <c r="AO78" s="529">
        <v>15.0</v>
      </c>
      <c r="AP78" s="529" t="s">
        <v>648</v>
      </c>
      <c r="AQ78" s="531">
        <v>43346.0</v>
      </c>
      <c r="AR78" s="531">
        <v>48094.0</v>
      </c>
      <c r="AS78" s="532">
        <v>46999.0</v>
      </c>
      <c r="AT78" s="532">
        <v>46268.0</v>
      </c>
      <c r="AU78" s="532">
        <v>46268.0</v>
      </c>
      <c r="AV78" s="531">
        <v>46344.0</v>
      </c>
      <c r="AW78" s="529" t="s">
        <v>1108</v>
      </c>
      <c r="AX78" s="531">
        <v>46388.0</v>
      </c>
      <c r="AY78" s="529" t="s">
        <v>1374</v>
      </c>
      <c r="AZ78" s="529">
        <v>10.0</v>
      </c>
      <c r="BA78" s="529" t="s">
        <v>1284</v>
      </c>
      <c r="BB78" s="529">
        <v>1.0</v>
      </c>
      <c r="BC78" s="532">
        <v>45918.0</v>
      </c>
    </row>
    <row r="79">
      <c r="A79" s="527" t="s">
        <v>120</v>
      </c>
      <c r="B79" s="529" t="s">
        <v>1118</v>
      </c>
      <c r="C79" s="527" t="s">
        <v>179</v>
      </c>
      <c r="D79" s="529" t="s">
        <v>1044</v>
      </c>
      <c r="E79" s="529" t="s">
        <v>1045</v>
      </c>
      <c r="F79" s="529" t="s">
        <v>1122</v>
      </c>
      <c r="G79" s="529" t="s">
        <v>1123</v>
      </c>
      <c r="H79" s="530" t="s">
        <v>1233</v>
      </c>
      <c r="I79" s="529" t="s">
        <v>118</v>
      </c>
      <c r="J79" s="529" t="s">
        <v>1063</v>
      </c>
      <c r="K79" s="534">
        <v>237.0</v>
      </c>
      <c r="L79" s="530" t="s">
        <v>1099</v>
      </c>
      <c r="M79" s="531">
        <v>45511.0</v>
      </c>
      <c r="N79" s="531">
        <v>45511.0</v>
      </c>
      <c r="O79" s="530" t="s">
        <v>570</v>
      </c>
      <c r="P79" s="530" t="s">
        <v>571</v>
      </c>
      <c r="Q79" s="529">
        <v>2.0</v>
      </c>
      <c r="R79" s="529" t="s">
        <v>1128</v>
      </c>
      <c r="S79" s="529" t="s">
        <v>976</v>
      </c>
      <c r="T79" s="529" t="s">
        <v>1281</v>
      </c>
      <c r="U79" s="534">
        <v>200.0</v>
      </c>
      <c r="V79" s="534">
        <v>20.0</v>
      </c>
      <c r="W79" s="529" t="s">
        <v>1234</v>
      </c>
      <c r="X79" s="529" t="s">
        <v>945</v>
      </c>
      <c r="Y79" s="529" t="s">
        <v>942</v>
      </c>
      <c r="Z79" s="530"/>
      <c r="AA79" s="529" t="s">
        <v>1101</v>
      </c>
      <c r="AB79" s="532"/>
      <c r="AC79" s="529" t="s">
        <v>1085</v>
      </c>
      <c r="AD79" s="529" t="s">
        <v>1133</v>
      </c>
      <c r="AE79" s="529" t="s">
        <v>1134</v>
      </c>
      <c r="AF79" s="529" t="s">
        <v>1135</v>
      </c>
      <c r="AG79" s="529" t="s">
        <v>1136</v>
      </c>
      <c r="AH79" s="529" t="s">
        <v>1072</v>
      </c>
      <c r="AI79" s="529" t="s">
        <v>1072</v>
      </c>
      <c r="AJ79" s="529" t="s">
        <v>945</v>
      </c>
      <c r="AK79" s="529">
        <v>8.0</v>
      </c>
      <c r="AL79" s="529" t="s">
        <v>1138</v>
      </c>
      <c r="AM79" s="529">
        <v>2.0</v>
      </c>
      <c r="AN79" s="530" t="s">
        <v>1004</v>
      </c>
      <c r="AO79" s="530" t="s">
        <v>1375</v>
      </c>
      <c r="AP79" s="529" t="s">
        <v>1100</v>
      </c>
      <c r="AQ79" s="531">
        <v>45511.0</v>
      </c>
      <c r="AR79" s="531">
        <v>50989.0</v>
      </c>
      <c r="AS79" s="532">
        <v>47337.0</v>
      </c>
      <c r="AT79" s="532">
        <v>46270.0</v>
      </c>
      <c r="AU79" s="532">
        <v>46270.0</v>
      </c>
      <c r="AV79" s="531">
        <v>46344.0</v>
      </c>
      <c r="AW79" s="529" t="s">
        <v>1108</v>
      </c>
      <c r="AX79" s="531">
        <v>46388.0</v>
      </c>
      <c r="AY79" s="529" t="s">
        <v>1376</v>
      </c>
      <c r="AZ79" s="529">
        <v>10.0</v>
      </c>
      <c r="BA79" s="529" t="s">
        <v>1284</v>
      </c>
      <c r="BB79" s="529">
        <v>1.0</v>
      </c>
      <c r="BC79" s="532">
        <v>45595.0</v>
      </c>
    </row>
    <row r="80">
      <c r="A80" s="527" t="s">
        <v>55</v>
      </c>
      <c r="B80" s="529" t="s">
        <v>1118</v>
      </c>
      <c r="C80" s="527" t="s">
        <v>179</v>
      </c>
      <c r="D80" s="529" t="s">
        <v>1044</v>
      </c>
      <c r="E80" s="529" t="s">
        <v>1045</v>
      </c>
      <c r="F80" s="529" t="s">
        <v>1122</v>
      </c>
      <c r="G80" s="529" t="s">
        <v>1123</v>
      </c>
      <c r="H80" s="530" t="s">
        <v>1124</v>
      </c>
      <c r="I80" s="529" t="s">
        <v>1377</v>
      </c>
      <c r="J80" s="529" t="s">
        <v>1125</v>
      </c>
      <c r="K80" s="534">
        <v>280.0</v>
      </c>
      <c r="L80" s="530" t="s">
        <v>1126</v>
      </c>
      <c r="M80" s="531">
        <v>45603.0</v>
      </c>
      <c r="N80" s="531">
        <v>45603.0</v>
      </c>
      <c r="O80" s="530" t="s">
        <v>346</v>
      </c>
      <c r="P80" s="530" t="s">
        <v>347</v>
      </c>
      <c r="Q80" s="529">
        <v>4.0</v>
      </c>
      <c r="R80" s="529" t="s">
        <v>1128</v>
      </c>
      <c r="S80" s="529" t="s">
        <v>976</v>
      </c>
      <c r="T80" s="529" t="s">
        <v>1281</v>
      </c>
      <c r="U80" s="529">
        <v>380.0</v>
      </c>
      <c r="V80" s="529">
        <v>29.0</v>
      </c>
      <c r="W80" s="529" t="s">
        <v>1074</v>
      </c>
      <c r="X80" s="529" t="s">
        <v>942</v>
      </c>
      <c r="Y80" s="529" t="s">
        <v>942</v>
      </c>
      <c r="Z80" s="530"/>
      <c r="AA80" s="529" t="s">
        <v>750</v>
      </c>
      <c r="AB80" s="532"/>
      <c r="AC80" s="529" t="s">
        <v>1085</v>
      </c>
      <c r="AD80" s="529" t="s">
        <v>1133</v>
      </c>
      <c r="AE80" s="529" t="s">
        <v>1134</v>
      </c>
      <c r="AF80" s="529" t="s">
        <v>1135</v>
      </c>
      <c r="AG80" s="529" t="s">
        <v>1136</v>
      </c>
      <c r="AH80" s="529" t="s">
        <v>1072</v>
      </c>
      <c r="AI80" s="529" t="s">
        <v>1072</v>
      </c>
      <c r="AJ80" s="529" t="s">
        <v>945</v>
      </c>
      <c r="AK80" s="529">
        <v>24.0</v>
      </c>
      <c r="AL80" s="529" t="s">
        <v>1138</v>
      </c>
      <c r="AM80" s="529">
        <v>3.0</v>
      </c>
      <c r="AN80" s="530" t="s">
        <v>975</v>
      </c>
      <c r="AO80" s="530" t="s">
        <v>1378</v>
      </c>
      <c r="AP80" s="529" t="s">
        <v>648</v>
      </c>
      <c r="AQ80" s="531">
        <v>45603.0</v>
      </c>
      <c r="AR80" s="531">
        <v>51081.0</v>
      </c>
      <c r="AS80" s="532">
        <v>47429.0</v>
      </c>
      <c r="AT80" s="532">
        <v>46331.0</v>
      </c>
      <c r="AU80" s="532">
        <v>46331.0</v>
      </c>
      <c r="AV80" s="531">
        <v>46344.0</v>
      </c>
      <c r="AW80" s="529" t="s">
        <v>1108</v>
      </c>
      <c r="AX80" s="531">
        <v>46388.0</v>
      </c>
      <c r="AY80" s="529" t="s">
        <v>1379</v>
      </c>
      <c r="AZ80" s="529">
        <v>14.0</v>
      </c>
      <c r="BA80" s="529" t="s">
        <v>1284</v>
      </c>
      <c r="BB80" s="529">
        <v>2.0</v>
      </c>
      <c r="BC80" s="532">
        <v>45621.0</v>
      </c>
    </row>
    <row r="81">
      <c r="A81" s="527" t="s">
        <v>57</v>
      </c>
      <c r="B81" s="529" t="s">
        <v>1118</v>
      </c>
      <c r="C81" s="527" t="s">
        <v>179</v>
      </c>
      <c r="D81" s="529" t="s">
        <v>1044</v>
      </c>
      <c r="E81" s="529" t="s">
        <v>1045</v>
      </c>
      <c r="F81" s="529" t="s">
        <v>1122</v>
      </c>
      <c r="G81" s="529" t="s">
        <v>1123</v>
      </c>
      <c r="H81" s="530" t="s">
        <v>1124</v>
      </c>
      <c r="I81" s="529" t="s">
        <v>1377</v>
      </c>
      <c r="J81" s="529" t="s">
        <v>1125</v>
      </c>
      <c r="K81" s="534">
        <v>280.0</v>
      </c>
      <c r="L81" s="530" t="s">
        <v>1126</v>
      </c>
      <c r="M81" s="531">
        <v>45649.0</v>
      </c>
      <c r="N81" s="531">
        <v>45649.0</v>
      </c>
      <c r="O81" s="530" t="s">
        <v>356</v>
      </c>
      <c r="P81" s="530" t="s">
        <v>357</v>
      </c>
      <c r="Q81" s="529">
        <v>4.0</v>
      </c>
      <c r="R81" s="529" t="s">
        <v>1128</v>
      </c>
      <c r="S81" s="529" t="s">
        <v>976</v>
      </c>
      <c r="T81" s="529" t="s">
        <v>1281</v>
      </c>
      <c r="U81" s="529">
        <v>380.0</v>
      </c>
      <c r="V81" s="529">
        <v>29.0</v>
      </c>
      <c r="W81" s="529" t="s">
        <v>1074</v>
      </c>
      <c r="X81" s="529" t="s">
        <v>942</v>
      </c>
      <c r="Y81" s="529" t="s">
        <v>942</v>
      </c>
      <c r="Z81" s="530"/>
      <c r="AA81" s="529" t="s">
        <v>764</v>
      </c>
      <c r="AB81" s="532"/>
      <c r="AC81" s="529" t="s">
        <v>1085</v>
      </c>
      <c r="AD81" s="529" t="s">
        <v>1133</v>
      </c>
      <c r="AE81" s="529" t="s">
        <v>1134</v>
      </c>
      <c r="AF81" s="529" t="s">
        <v>1135</v>
      </c>
      <c r="AG81" s="529" t="s">
        <v>1136</v>
      </c>
      <c r="AH81" s="529" t="s">
        <v>1072</v>
      </c>
      <c r="AI81" s="529" t="s">
        <v>1072</v>
      </c>
      <c r="AJ81" s="529" t="s">
        <v>945</v>
      </c>
      <c r="AK81" s="529">
        <v>24.0</v>
      </c>
      <c r="AL81" s="529" t="s">
        <v>1138</v>
      </c>
      <c r="AM81" s="529">
        <v>3.0</v>
      </c>
      <c r="AN81" s="530" t="s">
        <v>975</v>
      </c>
      <c r="AO81" s="530" t="s">
        <v>1380</v>
      </c>
      <c r="AP81" s="529" t="s">
        <v>648</v>
      </c>
      <c r="AQ81" s="531">
        <v>45649.0</v>
      </c>
      <c r="AR81" s="531">
        <v>49301.0</v>
      </c>
      <c r="AS81" s="532">
        <v>47475.0</v>
      </c>
      <c r="AT81" s="532">
        <v>46183.0</v>
      </c>
      <c r="AU81" s="532">
        <v>46183.0</v>
      </c>
      <c r="AV81" s="531">
        <v>46344.0</v>
      </c>
      <c r="AW81" s="529" t="s">
        <v>1108</v>
      </c>
      <c r="AX81" s="531">
        <v>46388.0</v>
      </c>
      <c r="AY81" s="529" t="s">
        <v>1381</v>
      </c>
      <c r="AZ81" s="529">
        <v>14.0</v>
      </c>
      <c r="BA81" s="529" t="s">
        <v>1284</v>
      </c>
      <c r="BB81" s="529">
        <v>2.0</v>
      </c>
      <c r="BC81" s="532">
        <v>45700.0</v>
      </c>
    </row>
    <row r="82">
      <c r="A82" s="527" t="s">
        <v>44</v>
      </c>
      <c r="B82" s="529" t="s">
        <v>1118</v>
      </c>
      <c r="C82" s="527" t="s">
        <v>179</v>
      </c>
      <c r="D82" s="529" t="s">
        <v>1044</v>
      </c>
      <c r="E82" s="529" t="s">
        <v>1045</v>
      </c>
      <c r="F82" s="529" t="s">
        <v>1122</v>
      </c>
      <c r="G82" s="529" t="s">
        <v>1123</v>
      </c>
      <c r="H82" s="530" t="s">
        <v>1238</v>
      </c>
      <c r="I82" s="529" t="s">
        <v>1306</v>
      </c>
      <c r="J82" s="529" t="s">
        <v>1063</v>
      </c>
      <c r="K82" s="534">
        <v>250.0</v>
      </c>
      <c r="L82" s="530" t="s">
        <v>1223</v>
      </c>
      <c r="M82" s="531">
        <v>43224.0</v>
      </c>
      <c r="N82" s="531">
        <v>43224.0</v>
      </c>
      <c r="O82" s="530" t="s">
        <v>330</v>
      </c>
      <c r="P82" s="530" t="s">
        <v>331</v>
      </c>
      <c r="Q82" s="529">
        <v>3.0</v>
      </c>
      <c r="R82" s="529" t="s">
        <v>1128</v>
      </c>
      <c r="S82" s="529" t="s">
        <v>976</v>
      </c>
      <c r="T82" s="529" t="s">
        <v>1281</v>
      </c>
      <c r="U82" s="534">
        <v>250.0</v>
      </c>
      <c r="V82" s="534">
        <v>22.0</v>
      </c>
      <c r="W82" s="529" t="s">
        <v>1299</v>
      </c>
      <c r="X82" s="529" t="s">
        <v>945</v>
      </c>
      <c r="Y82" s="529" t="s">
        <v>945</v>
      </c>
      <c r="Z82" s="529" t="s">
        <v>516</v>
      </c>
      <c r="AA82" s="529" t="s">
        <v>516</v>
      </c>
      <c r="AB82" s="532"/>
      <c r="AC82" s="529" t="s">
        <v>1085</v>
      </c>
      <c r="AD82" s="529" t="s">
        <v>1133</v>
      </c>
      <c r="AE82" s="529" t="s">
        <v>1134</v>
      </c>
      <c r="AF82" s="529" t="s">
        <v>1135</v>
      </c>
      <c r="AG82" s="529" t="s">
        <v>1136</v>
      </c>
      <c r="AH82" s="529" t="s">
        <v>316</v>
      </c>
      <c r="AI82" s="529" t="s">
        <v>1096</v>
      </c>
      <c r="AJ82" s="529" t="s">
        <v>945</v>
      </c>
      <c r="AK82" s="529">
        <v>16.0</v>
      </c>
      <c r="AL82" s="529" t="s">
        <v>1138</v>
      </c>
      <c r="AM82" s="529">
        <v>2.0</v>
      </c>
      <c r="AN82" s="530" t="s">
        <v>1004</v>
      </c>
      <c r="AO82" s="530" t="s">
        <v>1312</v>
      </c>
      <c r="AP82" s="529" t="s">
        <v>648</v>
      </c>
      <c r="AQ82" s="531">
        <v>43224.0</v>
      </c>
      <c r="AR82" s="531">
        <v>46877.0</v>
      </c>
      <c r="AS82" s="532">
        <v>46877.0</v>
      </c>
      <c r="AT82" s="532">
        <v>46259.0</v>
      </c>
      <c r="AU82" s="532">
        <v>46259.0</v>
      </c>
      <c r="AV82" s="531">
        <v>46344.0</v>
      </c>
      <c r="AW82" s="529" t="s">
        <v>1141</v>
      </c>
      <c r="AX82" s="531">
        <v>46173.0</v>
      </c>
      <c r="AY82" s="529" t="s">
        <v>1308</v>
      </c>
      <c r="AZ82" s="529">
        <v>10.0</v>
      </c>
      <c r="BA82" s="529" t="s">
        <v>1284</v>
      </c>
      <c r="BB82" s="529">
        <v>1.0</v>
      </c>
      <c r="BC82" s="532">
        <v>45504.0</v>
      </c>
    </row>
    <row r="83">
      <c r="A83" s="527" t="s">
        <v>58</v>
      </c>
      <c r="B83" s="529" t="s">
        <v>1118</v>
      </c>
      <c r="C83" s="527" t="s">
        <v>179</v>
      </c>
      <c r="D83" s="529" t="s">
        <v>1044</v>
      </c>
      <c r="E83" s="529" t="s">
        <v>1045</v>
      </c>
      <c r="F83" s="529" t="s">
        <v>1122</v>
      </c>
      <c r="G83" s="529" t="s">
        <v>1123</v>
      </c>
      <c r="H83" s="530" t="s">
        <v>1124</v>
      </c>
      <c r="I83" s="529" t="s">
        <v>1377</v>
      </c>
      <c r="J83" s="529" t="s">
        <v>1125</v>
      </c>
      <c r="K83" s="534">
        <v>280.0</v>
      </c>
      <c r="L83" s="530" t="s">
        <v>1126</v>
      </c>
      <c r="M83" s="531">
        <v>45649.0</v>
      </c>
      <c r="N83" s="531">
        <v>45649.0</v>
      </c>
      <c r="O83" s="530" t="s">
        <v>361</v>
      </c>
      <c r="P83" s="530" t="s">
        <v>362</v>
      </c>
      <c r="Q83" s="529">
        <v>4.0</v>
      </c>
      <c r="R83" s="529" t="s">
        <v>1128</v>
      </c>
      <c r="S83" s="529" t="s">
        <v>976</v>
      </c>
      <c r="T83" s="529" t="s">
        <v>1281</v>
      </c>
      <c r="U83" s="529">
        <v>380.0</v>
      </c>
      <c r="V83" s="529">
        <v>29.0</v>
      </c>
      <c r="W83" s="529" t="s">
        <v>1074</v>
      </c>
      <c r="X83" s="529" t="s">
        <v>942</v>
      </c>
      <c r="Y83" s="529" t="s">
        <v>942</v>
      </c>
      <c r="Z83" s="530"/>
      <c r="AA83" s="529" t="s">
        <v>779</v>
      </c>
      <c r="AB83" s="532"/>
      <c r="AC83" s="529" t="s">
        <v>1085</v>
      </c>
      <c r="AD83" s="529" t="s">
        <v>1133</v>
      </c>
      <c r="AE83" s="529" t="s">
        <v>1134</v>
      </c>
      <c r="AF83" s="529" t="s">
        <v>1135</v>
      </c>
      <c r="AG83" s="529" t="s">
        <v>1136</v>
      </c>
      <c r="AH83" s="529" t="s">
        <v>1072</v>
      </c>
      <c r="AI83" s="529" t="s">
        <v>1072</v>
      </c>
      <c r="AJ83" s="529" t="s">
        <v>945</v>
      </c>
      <c r="AK83" s="529">
        <v>24.0</v>
      </c>
      <c r="AL83" s="529" t="s">
        <v>1138</v>
      </c>
      <c r="AM83" s="529">
        <v>3.0</v>
      </c>
      <c r="AN83" s="530" t="s">
        <v>975</v>
      </c>
      <c r="AO83" s="530" t="s">
        <v>1382</v>
      </c>
      <c r="AP83" s="529" t="s">
        <v>648</v>
      </c>
      <c r="AQ83" s="531">
        <v>45649.0</v>
      </c>
      <c r="AR83" s="531">
        <v>51127.0</v>
      </c>
      <c r="AS83" s="532">
        <v>47475.0</v>
      </c>
      <c r="AT83" s="532">
        <v>46332.0</v>
      </c>
      <c r="AU83" s="532">
        <v>46332.0</v>
      </c>
      <c r="AV83" s="531">
        <v>46344.0</v>
      </c>
      <c r="AW83" s="530"/>
      <c r="AX83" s="532"/>
      <c r="AY83" s="530"/>
      <c r="AZ83" s="529">
        <v>14.0</v>
      </c>
      <c r="BA83" s="529" t="s">
        <v>1284</v>
      </c>
      <c r="BB83" s="529">
        <v>2.0</v>
      </c>
      <c r="BC83" s="532">
        <v>45722.0</v>
      </c>
    </row>
    <row r="84">
      <c r="A84" s="527" t="s">
        <v>56</v>
      </c>
      <c r="B84" s="529" t="s">
        <v>1118</v>
      </c>
      <c r="C84" s="527" t="s">
        <v>179</v>
      </c>
      <c r="D84" s="529" t="s">
        <v>1044</v>
      </c>
      <c r="E84" s="529" t="s">
        <v>1045</v>
      </c>
      <c r="F84" s="529" t="s">
        <v>1122</v>
      </c>
      <c r="G84" s="529" t="s">
        <v>1123</v>
      </c>
      <c r="H84" s="530" t="s">
        <v>1124</v>
      </c>
      <c r="I84" s="529" t="s">
        <v>1377</v>
      </c>
      <c r="J84" s="529" t="s">
        <v>1125</v>
      </c>
      <c r="K84" s="534">
        <v>280.0</v>
      </c>
      <c r="L84" s="530" t="s">
        <v>1126</v>
      </c>
      <c r="M84" s="531">
        <v>45649.0</v>
      </c>
      <c r="N84" s="531">
        <v>45649.0</v>
      </c>
      <c r="O84" s="530" t="s">
        <v>349</v>
      </c>
      <c r="P84" s="530" t="s">
        <v>350</v>
      </c>
      <c r="Q84" s="529">
        <v>4.0</v>
      </c>
      <c r="R84" s="529" t="s">
        <v>1128</v>
      </c>
      <c r="S84" s="529" t="s">
        <v>976</v>
      </c>
      <c r="T84" s="529" t="s">
        <v>1281</v>
      </c>
      <c r="U84" s="529">
        <v>380.0</v>
      </c>
      <c r="V84" s="529">
        <v>29.0</v>
      </c>
      <c r="W84" s="529" t="s">
        <v>1074</v>
      </c>
      <c r="X84" s="529" t="s">
        <v>942</v>
      </c>
      <c r="Y84" s="529" t="s">
        <v>942</v>
      </c>
      <c r="Z84" s="530"/>
      <c r="AA84" s="529" t="s">
        <v>770</v>
      </c>
      <c r="AB84" s="532"/>
      <c r="AC84" s="529" t="s">
        <v>1085</v>
      </c>
      <c r="AD84" s="529" t="s">
        <v>1133</v>
      </c>
      <c r="AE84" s="529" t="s">
        <v>1134</v>
      </c>
      <c r="AF84" s="529" t="s">
        <v>1135</v>
      </c>
      <c r="AG84" s="529" t="s">
        <v>1136</v>
      </c>
      <c r="AH84" s="529" t="s">
        <v>1072</v>
      </c>
      <c r="AI84" s="529" t="s">
        <v>1072</v>
      </c>
      <c r="AJ84" s="529" t="s">
        <v>945</v>
      </c>
      <c r="AK84" s="529">
        <v>24.0</v>
      </c>
      <c r="AL84" s="529" t="s">
        <v>1138</v>
      </c>
      <c r="AM84" s="529">
        <v>3.0</v>
      </c>
      <c r="AN84" s="530" t="s">
        <v>975</v>
      </c>
      <c r="AO84" s="530" t="s">
        <v>1383</v>
      </c>
      <c r="AP84" s="529" t="s">
        <v>648</v>
      </c>
      <c r="AQ84" s="531">
        <v>45649.0</v>
      </c>
      <c r="AR84" s="531">
        <v>51127.0</v>
      </c>
      <c r="AS84" s="532">
        <v>47475.0</v>
      </c>
      <c r="AT84" s="532">
        <v>46183.0</v>
      </c>
      <c r="AU84" s="532">
        <v>46183.0</v>
      </c>
      <c r="AV84" s="531">
        <v>46344.0</v>
      </c>
      <c r="AW84" s="529" t="s">
        <v>1108</v>
      </c>
      <c r="AX84" s="531">
        <v>46388.0</v>
      </c>
      <c r="AY84" s="529" t="s">
        <v>1384</v>
      </c>
      <c r="AZ84" s="529">
        <v>14.0</v>
      </c>
      <c r="BA84" s="529" t="s">
        <v>1284</v>
      </c>
      <c r="BB84" s="529">
        <v>2.0</v>
      </c>
      <c r="BC84" s="532">
        <v>45699.0</v>
      </c>
    </row>
    <row r="85">
      <c r="A85" s="527" t="s">
        <v>135</v>
      </c>
      <c r="B85" s="529" t="s">
        <v>1118</v>
      </c>
      <c r="C85" s="527" t="s">
        <v>179</v>
      </c>
      <c r="D85" s="529" t="s">
        <v>1044</v>
      </c>
      <c r="E85" s="529" t="s">
        <v>1045</v>
      </c>
      <c r="F85" s="529" t="s">
        <v>1122</v>
      </c>
      <c r="G85" s="529" t="s">
        <v>1123</v>
      </c>
      <c r="H85" s="530" t="s">
        <v>1238</v>
      </c>
      <c r="I85" s="529" t="s">
        <v>142</v>
      </c>
      <c r="J85" s="529" t="s">
        <v>1063</v>
      </c>
      <c r="K85" s="534">
        <v>281.0</v>
      </c>
      <c r="L85" s="530" t="s">
        <v>1227</v>
      </c>
      <c r="M85" s="531">
        <v>42813.0</v>
      </c>
      <c r="N85" s="531">
        <v>42813.0</v>
      </c>
      <c r="O85" s="530" t="s">
        <v>630</v>
      </c>
      <c r="P85" s="530" t="s">
        <v>631</v>
      </c>
      <c r="Q85" s="529">
        <v>3.0</v>
      </c>
      <c r="R85" s="529" t="s">
        <v>1128</v>
      </c>
      <c r="S85" s="529" t="s">
        <v>976</v>
      </c>
      <c r="T85" s="529" t="s">
        <v>1281</v>
      </c>
      <c r="U85" s="529">
        <v>200.0</v>
      </c>
      <c r="V85" s="529">
        <v>13.0</v>
      </c>
      <c r="W85" s="529" t="s">
        <v>1299</v>
      </c>
      <c r="X85" s="529" t="s">
        <v>945</v>
      </c>
      <c r="Y85" s="529" t="s">
        <v>945</v>
      </c>
      <c r="Z85" s="529" t="s">
        <v>516</v>
      </c>
      <c r="AA85" s="529" t="s">
        <v>516</v>
      </c>
      <c r="AB85" s="532"/>
      <c r="AC85" s="529" t="s">
        <v>1085</v>
      </c>
      <c r="AD85" s="529" t="s">
        <v>1133</v>
      </c>
      <c r="AE85" s="529" t="s">
        <v>1134</v>
      </c>
      <c r="AF85" s="529" t="s">
        <v>1135</v>
      </c>
      <c r="AG85" s="529" t="s">
        <v>1136</v>
      </c>
      <c r="AH85" s="529" t="s">
        <v>316</v>
      </c>
      <c r="AI85" s="529" t="s">
        <v>1096</v>
      </c>
      <c r="AJ85" s="529" t="s">
        <v>945</v>
      </c>
      <c r="AK85" s="529">
        <v>16.0</v>
      </c>
      <c r="AL85" s="529" t="s">
        <v>1138</v>
      </c>
      <c r="AM85" s="529">
        <v>2.0</v>
      </c>
      <c r="AN85" s="530" t="s">
        <v>1004</v>
      </c>
      <c r="AO85" s="529">
        <v>102.0</v>
      </c>
      <c r="AP85" s="529" t="s">
        <v>648</v>
      </c>
      <c r="AQ85" s="531">
        <v>42813.0</v>
      </c>
      <c r="AR85" s="531">
        <v>46465.0</v>
      </c>
      <c r="AS85" s="532">
        <v>46831.0</v>
      </c>
      <c r="AT85" s="532">
        <v>46167.0</v>
      </c>
      <c r="AU85" s="532">
        <v>46174.0</v>
      </c>
      <c r="AV85" s="531">
        <v>46344.0</v>
      </c>
      <c r="AW85" s="530"/>
      <c r="AX85" s="532"/>
      <c r="AY85" s="530"/>
      <c r="AZ85" s="529">
        <v>10.0</v>
      </c>
      <c r="BA85" s="529" t="s">
        <v>1284</v>
      </c>
      <c r="BB85" s="529">
        <v>1.0</v>
      </c>
      <c r="BC85" s="532">
        <v>46073.0</v>
      </c>
    </row>
    <row r="86">
      <c r="A86" s="527" t="s">
        <v>147</v>
      </c>
      <c r="B86" s="529" t="s">
        <v>1118</v>
      </c>
      <c r="C86" s="527" t="s">
        <v>179</v>
      </c>
      <c r="D86" s="529" t="s">
        <v>1044</v>
      </c>
      <c r="E86" s="529" t="s">
        <v>1045</v>
      </c>
      <c r="F86" s="529" t="s">
        <v>1122</v>
      </c>
      <c r="G86" s="529" t="s">
        <v>1123</v>
      </c>
      <c r="H86" s="530" t="s">
        <v>1238</v>
      </c>
      <c r="I86" s="529" t="s">
        <v>1385</v>
      </c>
      <c r="J86" s="529" t="s">
        <v>1063</v>
      </c>
      <c r="K86" s="534">
        <v>250.0</v>
      </c>
      <c r="L86" s="530" t="s">
        <v>1061</v>
      </c>
      <c r="M86" s="531">
        <v>43743.0</v>
      </c>
      <c r="N86" s="531">
        <v>43743.0</v>
      </c>
      <c r="O86" s="530" t="s">
        <v>636</v>
      </c>
      <c r="P86" s="530" t="s">
        <v>637</v>
      </c>
      <c r="Q86" s="529">
        <v>3.0</v>
      </c>
      <c r="R86" s="529" t="s">
        <v>1128</v>
      </c>
      <c r="S86" s="529" t="s">
        <v>976</v>
      </c>
      <c r="T86" s="529" t="s">
        <v>1281</v>
      </c>
      <c r="U86" s="534">
        <v>250.0</v>
      </c>
      <c r="V86" s="534">
        <v>22.0</v>
      </c>
      <c r="W86" s="529" t="s">
        <v>1234</v>
      </c>
      <c r="X86" s="529" t="s">
        <v>945</v>
      </c>
      <c r="Y86" s="529" t="s">
        <v>945</v>
      </c>
      <c r="Z86" s="529" t="s">
        <v>516</v>
      </c>
      <c r="AA86" s="529" t="s">
        <v>516</v>
      </c>
      <c r="AB86" s="532"/>
      <c r="AC86" s="529" t="s">
        <v>1085</v>
      </c>
      <c r="AD86" s="529" t="s">
        <v>1133</v>
      </c>
      <c r="AE86" s="529" t="s">
        <v>1134</v>
      </c>
      <c r="AF86" s="529" t="s">
        <v>1135</v>
      </c>
      <c r="AG86" s="529" t="s">
        <v>1136</v>
      </c>
      <c r="AH86" s="529" t="s">
        <v>1072</v>
      </c>
      <c r="AI86" s="529" t="s">
        <v>1072</v>
      </c>
      <c r="AJ86" s="529" t="s">
        <v>945</v>
      </c>
      <c r="AK86" s="529">
        <v>16.0</v>
      </c>
      <c r="AL86" s="529" t="s">
        <v>1138</v>
      </c>
      <c r="AM86" s="529">
        <v>2.0</v>
      </c>
      <c r="AN86" s="530" t="s">
        <v>1004</v>
      </c>
      <c r="AO86" s="529">
        <v>103.0</v>
      </c>
      <c r="AP86" s="529" t="s">
        <v>657</v>
      </c>
      <c r="AQ86" s="531">
        <v>43743.0</v>
      </c>
      <c r="AR86" s="531">
        <v>47396.0</v>
      </c>
      <c r="AS86" s="532">
        <v>47396.0</v>
      </c>
      <c r="AT86" s="532">
        <v>46268.0</v>
      </c>
      <c r="AU86" s="532">
        <v>46268.0</v>
      </c>
      <c r="AV86" s="531">
        <v>46344.0</v>
      </c>
      <c r="AW86" s="530"/>
      <c r="AX86" s="532"/>
      <c r="AY86" s="530"/>
      <c r="AZ86" s="529">
        <v>10.0</v>
      </c>
      <c r="BA86" s="529" t="s">
        <v>1284</v>
      </c>
      <c r="BB86" s="529">
        <v>1.0</v>
      </c>
      <c r="BC86" s="532">
        <v>45742.0</v>
      </c>
    </row>
    <row r="87">
      <c r="A87" s="527" t="s">
        <v>152</v>
      </c>
      <c r="B87" s="529" t="s">
        <v>1118</v>
      </c>
      <c r="C87" s="527" t="s">
        <v>179</v>
      </c>
      <c r="D87" s="529" t="s">
        <v>1044</v>
      </c>
      <c r="E87" s="529" t="s">
        <v>1045</v>
      </c>
      <c r="F87" s="529" t="s">
        <v>1122</v>
      </c>
      <c r="G87" s="529" t="s">
        <v>1123</v>
      </c>
      <c r="H87" s="530" t="s">
        <v>1238</v>
      </c>
      <c r="I87" s="529" t="s">
        <v>1385</v>
      </c>
      <c r="J87" s="529" t="s">
        <v>1063</v>
      </c>
      <c r="K87" s="534">
        <v>250.0</v>
      </c>
      <c r="L87" s="530" t="s">
        <v>1061</v>
      </c>
      <c r="M87" s="531">
        <v>43743.0</v>
      </c>
      <c r="N87" s="531">
        <v>43743.0</v>
      </c>
      <c r="O87" s="530" t="s">
        <v>645</v>
      </c>
      <c r="P87" s="530" t="s">
        <v>646</v>
      </c>
      <c r="Q87" s="529">
        <v>3.0</v>
      </c>
      <c r="R87" s="529" t="s">
        <v>1128</v>
      </c>
      <c r="S87" s="529" t="s">
        <v>976</v>
      </c>
      <c r="T87" s="529" t="s">
        <v>1281</v>
      </c>
      <c r="U87" s="534">
        <v>250.0</v>
      </c>
      <c r="V87" s="534">
        <v>22.0</v>
      </c>
      <c r="W87" s="529" t="s">
        <v>1234</v>
      </c>
      <c r="X87" s="529" t="s">
        <v>945</v>
      </c>
      <c r="Y87" s="529" t="s">
        <v>945</v>
      </c>
      <c r="Z87" s="529" t="s">
        <v>516</v>
      </c>
      <c r="AA87" s="529" t="s">
        <v>516</v>
      </c>
      <c r="AB87" s="532"/>
      <c r="AC87" s="529" t="s">
        <v>1085</v>
      </c>
      <c r="AD87" s="529" t="s">
        <v>1133</v>
      </c>
      <c r="AE87" s="529" t="s">
        <v>1134</v>
      </c>
      <c r="AF87" s="529" t="s">
        <v>1135</v>
      </c>
      <c r="AG87" s="529" t="s">
        <v>1136</v>
      </c>
      <c r="AH87" s="529" t="s">
        <v>1072</v>
      </c>
      <c r="AI87" s="529" t="s">
        <v>1072</v>
      </c>
      <c r="AJ87" s="529" t="s">
        <v>945</v>
      </c>
      <c r="AK87" s="529">
        <v>16.0</v>
      </c>
      <c r="AL87" s="529" t="s">
        <v>1138</v>
      </c>
      <c r="AM87" s="529">
        <v>2.0</v>
      </c>
      <c r="AN87" s="530" t="s">
        <v>1004</v>
      </c>
      <c r="AO87" s="529">
        <v>2.0</v>
      </c>
      <c r="AP87" s="529" t="s">
        <v>648</v>
      </c>
      <c r="AQ87" s="531">
        <v>43743.0</v>
      </c>
      <c r="AR87" s="531">
        <v>47396.0</v>
      </c>
      <c r="AS87" s="532">
        <v>47396.0</v>
      </c>
      <c r="AT87" s="532">
        <v>46277.0</v>
      </c>
      <c r="AU87" s="532">
        <v>46277.0</v>
      </c>
      <c r="AV87" s="531">
        <v>46344.0</v>
      </c>
      <c r="AW87" s="530"/>
      <c r="AX87" s="532"/>
      <c r="AY87" s="530"/>
      <c r="AZ87" s="529">
        <v>10.0</v>
      </c>
      <c r="BA87" s="529" t="s">
        <v>1284</v>
      </c>
      <c r="BB87" s="529">
        <v>1.0</v>
      </c>
      <c r="BC87" s="532">
        <v>45713.0</v>
      </c>
    </row>
    <row r="88">
      <c r="A88" s="527" t="s">
        <v>150</v>
      </c>
      <c r="B88" s="529" t="s">
        <v>1118</v>
      </c>
      <c r="C88" s="527" t="s">
        <v>179</v>
      </c>
      <c r="D88" s="529" t="s">
        <v>1044</v>
      </c>
      <c r="E88" s="529" t="s">
        <v>1045</v>
      </c>
      <c r="F88" s="529" t="s">
        <v>1122</v>
      </c>
      <c r="G88" s="529" t="s">
        <v>1123</v>
      </c>
      <c r="H88" s="530" t="s">
        <v>1238</v>
      </c>
      <c r="I88" s="529" t="s">
        <v>1385</v>
      </c>
      <c r="J88" s="529" t="s">
        <v>1063</v>
      </c>
      <c r="K88" s="534">
        <v>250.0</v>
      </c>
      <c r="L88" s="530" t="s">
        <v>1061</v>
      </c>
      <c r="M88" s="531">
        <v>43743.0</v>
      </c>
      <c r="N88" s="531">
        <v>43743.0</v>
      </c>
      <c r="O88" s="530" t="s">
        <v>643</v>
      </c>
      <c r="P88" s="530" t="s">
        <v>644</v>
      </c>
      <c r="Q88" s="529">
        <v>3.0</v>
      </c>
      <c r="R88" s="529" t="s">
        <v>1128</v>
      </c>
      <c r="S88" s="529" t="s">
        <v>976</v>
      </c>
      <c r="T88" s="529" t="s">
        <v>1281</v>
      </c>
      <c r="U88" s="534">
        <v>250.0</v>
      </c>
      <c r="V88" s="534">
        <v>22.0</v>
      </c>
      <c r="W88" s="529" t="s">
        <v>1234</v>
      </c>
      <c r="X88" s="529" t="s">
        <v>945</v>
      </c>
      <c r="Y88" s="529" t="s">
        <v>945</v>
      </c>
      <c r="Z88" s="529" t="s">
        <v>516</v>
      </c>
      <c r="AA88" s="529" t="s">
        <v>516</v>
      </c>
      <c r="AB88" s="532"/>
      <c r="AC88" s="529" t="s">
        <v>1085</v>
      </c>
      <c r="AD88" s="529" t="s">
        <v>1133</v>
      </c>
      <c r="AE88" s="529" t="s">
        <v>1134</v>
      </c>
      <c r="AF88" s="529" t="s">
        <v>1135</v>
      </c>
      <c r="AG88" s="529" t="s">
        <v>1136</v>
      </c>
      <c r="AH88" s="529" t="s">
        <v>1072</v>
      </c>
      <c r="AI88" s="529" t="s">
        <v>1072</v>
      </c>
      <c r="AJ88" s="529" t="s">
        <v>945</v>
      </c>
      <c r="AK88" s="529">
        <v>16.0</v>
      </c>
      <c r="AL88" s="529" t="s">
        <v>1138</v>
      </c>
      <c r="AM88" s="529">
        <v>2.0</v>
      </c>
      <c r="AN88" s="530" t="s">
        <v>1004</v>
      </c>
      <c r="AO88" s="530" t="s">
        <v>1386</v>
      </c>
      <c r="AP88" s="529" t="s">
        <v>648</v>
      </c>
      <c r="AQ88" s="531">
        <v>43743.0</v>
      </c>
      <c r="AR88" s="531">
        <v>47396.0</v>
      </c>
      <c r="AS88" s="532">
        <v>47396.0</v>
      </c>
      <c r="AT88" s="532">
        <v>46277.0</v>
      </c>
      <c r="AU88" s="532">
        <v>46277.0</v>
      </c>
      <c r="AV88" s="531">
        <v>46344.0</v>
      </c>
      <c r="AW88" s="530"/>
      <c r="AX88" s="532"/>
      <c r="AY88" s="530"/>
      <c r="AZ88" s="529">
        <v>10.0</v>
      </c>
      <c r="BA88" s="529" t="s">
        <v>1284</v>
      </c>
      <c r="BB88" s="529">
        <v>1.0</v>
      </c>
      <c r="BC88" s="532">
        <v>46043.0</v>
      </c>
    </row>
    <row r="89">
      <c r="A89" s="527" t="s">
        <v>54</v>
      </c>
      <c r="B89" s="529" t="s">
        <v>1118</v>
      </c>
      <c r="C89" s="527" t="s">
        <v>179</v>
      </c>
      <c r="D89" s="529" t="s">
        <v>1044</v>
      </c>
      <c r="E89" s="529" t="s">
        <v>1045</v>
      </c>
      <c r="F89" s="529" t="s">
        <v>1122</v>
      </c>
      <c r="G89" s="529" t="s">
        <v>1123</v>
      </c>
      <c r="H89" s="530" t="s">
        <v>1124</v>
      </c>
      <c r="I89" s="529" t="s">
        <v>1377</v>
      </c>
      <c r="J89" s="529" t="s">
        <v>1125</v>
      </c>
      <c r="K89" s="534">
        <v>280.0</v>
      </c>
      <c r="L89" s="530" t="s">
        <v>1126</v>
      </c>
      <c r="M89" s="531">
        <v>45267.0</v>
      </c>
      <c r="N89" s="531">
        <v>45267.0</v>
      </c>
      <c r="O89" s="530" t="s">
        <v>343</v>
      </c>
      <c r="P89" s="530" t="s">
        <v>344</v>
      </c>
      <c r="Q89" s="529">
        <v>4.0</v>
      </c>
      <c r="R89" s="529" t="s">
        <v>1128</v>
      </c>
      <c r="S89" s="529" t="s">
        <v>976</v>
      </c>
      <c r="T89" s="529" t="s">
        <v>1281</v>
      </c>
      <c r="U89" s="529">
        <v>380.0</v>
      </c>
      <c r="V89" s="529">
        <v>29.0</v>
      </c>
      <c r="W89" s="529" t="s">
        <v>1074</v>
      </c>
      <c r="X89" s="529" t="s">
        <v>942</v>
      </c>
      <c r="Y89" s="529" t="s">
        <v>942</v>
      </c>
      <c r="Z89" s="530"/>
      <c r="AA89" s="529" t="s">
        <v>1143</v>
      </c>
      <c r="AB89" s="532"/>
      <c r="AC89" s="529" t="s">
        <v>1085</v>
      </c>
      <c r="AD89" s="529" t="s">
        <v>1133</v>
      </c>
      <c r="AE89" s="529" t="s">
        <v>1134</v>
      </c>
      <c r="AF89" s="529" t="s">
        <v>1135</v>
      </c>
      <c r="AG89" s="529" t="s">
        <v>1136</v>
      </c>
      <c r="AH89" s="529" t="s">
        <v>1072</v>
      </c>
      <c r="AI89" s="529" t="s">
        <v>1072</v>
      </c>
      <c r="AJ89" s="529" t="s">
        <v>945</v>
      </c>
      <c r="AK89" s="529">
        <v>24.0</v>
      </c>
      <c r="AL89" s="529" t="s">
        <v>1138</v>
      </c>
      <c r="AM89" s="529">
        <v>3.0</v>
      </c>
      <c r="AN89" s="530" t="s">
        <v>975</v>
      </c>
      <c r="AO89" s="530" t="s">
        <v>1387</v>
      </c>
      <c r="AP89" s="529" t="s">
        <v>648</v>
      </c>
      <c r="AQ89" s="531">
        <v>45267.0</v>
      </c>
      <c r="AR89" s="531">
        <v>50746.0</v>
      </c>
      <c r="AS89" s="532">
        <v>47114.0</v>
      </c>
      <c r="AT89" s="532">
        <v>46331.0</v>
      </c>
      <c r="AU89" s="532">
        <v>46331.0</v>
      </c>
      <c r="AV89" s="531">
        <v>46344.0</v>
      </c>
      <c r="AW89" s="529" t="s">
        <v>1108</v>
      </c>
      <c r="AX89" s="531">
        <v>46388.0</v>
      </c>
      <c r="AY89" s="529" t="s">
        <v>1388</v>
      </c>
      <c r="AZ89" s="529">
        <v>14.0</v>
      </c>
      <c r="BA89" s="529" t="s">
        <v>1284</v>
      </c>
      <c r="BB89" s="529">
        <v>2.0</v>
      </c>
      <c r="BC89" s="532">
        <v>45450.0</v>
      </c>
    </row>
    <row r="90">
      <c r="A90" s="527" t="s">
        <v>53</v>
      </c>
      <c r="B90" s="529" t="s">
        <v>1118</v>
      </c>
      <c r="C90" s="527" t="s">
        <v>179</v>
      </c>
      <c r="D90" s="529" t="s">
        <v>1044</v>
      </c>
      <c r="E90" s="529" t="s">
        <v>1045</v>
      </c>
      <c r="F90" s="529" t="s">
        <v>1122</v>
      </c>
      <c r="G90" s="529" t="s">
        <v>1123</v>
      </c>
      <c r="H90" s="530" t="s">
        <v>1124</v>
      </c>
      <c r="I90" s="529" t="s">
        <v>1377</v>
      </c>
      <c r="J90" s="529" t="s">
        <v>1125</v>
      </c>
      <c r="K90" s="534">
        <v>280.0</v>
      </c>
      <c r="L90" s="530" t="s">
        <v>1126</v>
      </c>
      <c r="M90" s="531">
        <v>45287.0</v>
      </c>
      <c r="N90" s="531">
        <v>45287.0</v>
      </c>
      <c r="O90" s="530" t="s">
        <v>340</v>
      </c>
      <c r="P90" s="530" t="s">
        <v>341</v>
      </c>
      <c r="Q90" s="529">
        <v>4.0</v>
      </c>
      <c r="R90" s="529" t="s">
        <v>1128</v>
      </c>
      <c r="S90" s="529" t="s">
        <v>976</v>
      </c>
      <c r="T90" s="529" t="s">
        <v>1281</v>
      </c>
      <c r="U90" s="529">
        <v>380.0</v>
      </c>
      <c r="V90" s="529">
        <v>29.0</v>
      </c>
      <c r="W90" s="529" t="s">
        <v>1074</v>
      </c>
      <c r="X90" s="529" t="s">
        <v>942</v>
      </c>
      <c r="Y90" s="529" t="s">
        <v>942</v>
      </c>
      <c r="Z90" s="530"/>
      <c r="AA90" s="529" t="s">
        <v>1140</v>
      </c>
      <c r="AB90" s="532"/>
      <c r="AC90" s="529" t="s">
        <v>1085</v>
      </c>
      <c r="AD90" s="529" t="s">
        <v>1133</v>
      </c>
      <c r="AE90" s="529" t="s">
        <v>1134</v>
      </c>
      <c r="AF90" s="529" t="s">
        <v>1135</v>
      </c>
      <c r="AG90" s="529" t="s">
        <v>1136</v>
      </c>
      <c r="AH90" s="529" t="s">
        <v>1072</v>
      </c>
      <c r="AI90" s="529" t="s">
        <v>1072</v>
      </c>
      <c r="AJ90" s="529" t="s">
        <v>945</v>
      </c>
      <c r="AK90" s="529">
        <v>24.0</v>
      </c>
      <c r="AL90" s="529" t="s">
        <v>1138</v>
      </c>
      <c r="AM90" s="529">
        <v>3.0</v>
      </c>
      <c r="AN90" s="530" t="s">
        <v>975</v>
      </c>
      <c r="AO90" s="530" t="s">
        <v>1389</v>
      </c>
      <c r="AP90" s="529" t="s">
        <v>648</v>
      </c>
      <c r="AQ90" s="531">
        <v>45287.0</v>
      </c>
      <c r="AR90" s="531">
        <v>48940.0</v>
      </c>
      <c r="AS90" s="532">
        <v>47114.0</v>
      </c>
      <c r="AT90" s="532">
        <v>46331.0</v>
      </c>
      <c r="AU90" s="532">
        <v>46331.0</v>
      </c>
      <c r="AV90" s="531">
        <v>46344.0</v>
      </c>
      <c r="AW90" s="529" t="s">
        <v>1108</v>
      </c>
      <c r="AX90" s="531">
        <v>46388.0</v>
      </c>
      <c r="AY90" s="529" t="s">
        <v>1390</v>
      </c>
      <c r="AZ90" s="529">
        <v>14.0</v>
      </c>
      <c r="BA90" s="529" t="s">
        <v>1284</v>
      </c>
      <c r="BB90" s="529">
        <v>2.0</v>
      </c>
      <c r="BC90" s="532">
        <v>46153.0</v>
      </c>
    </row>
    <row r="91">
      <c r="A91" s="527" t="s">
        <v>76</v>
      </c>
      <c r="B91" s="544" t="s">
        <v>1118</v>
      </c>
      <c r="C91" s="544" t="s">
        <v>179</v>
      </c>
      <c r="D91" s="544" t="s">
        <v>1044</v>
      </c>
      <c r="E91" s="544" t="s">
        <v>1045</v>
      </c>
      <c r="F91" s="544" t="s">
        <v>1122</v>
      </c>
      <c r="G91" s="544" t="s">
        <v>1123</v>
      </c>
      <c r="H91" s="544" t="s">
        <v>1233</v>
      </c>
      <c r="I91" s="527" t="s">
        <v>1377</v>
      </c>
      <c r="J91" s="544" t="s">
        <v>1125</v>
      </c>
      <c r="K91" s="527">
        <v>280.0</v>
      </c>
      <c r="L91" s="524" t="s">
        <v>1126</v>
      </c>
      <c r="M91" s="574">
        <v>46147.0</v>
      </c>
      <c r="N91" s="575">
        <v>46147.0</v>
      </c>
      <c r="O91" s="527" t="s">
        <v>402</v>
      </c>
      <c r="P91" s="527" t="s">
        <v>403</v>
      </c>
      <c r="Q91" s="544">
        <v>4.0</v>
      </c>
      <c r="R91" s="527" t="s">
        <v>1128</v>
      </c>
      <c r="S91" s="529" t="s">
        <v>976</v>
      </c>
      <c r="T91" s="529" t="s">
        <v>1281</v>
      </c>
      <c r="U91" s="529">
        <v>380.0</v>
      </c>
      <c r="V91" s="529">
        <v>29.0</v>
      </c>
      <c r="W91" s="529" t="s">
        <v>1074</v>
      </c>
      <c r="X91" s="529" t="s">
        <v>942</v>
      </c>
      <c r="Y91" s="544" t="s">
        <v>945</v>
      </c>
      <c r="Z91" s="576" t="s">
        <v>758</v>
      </c>
      <c r="AA91" s="486" t="s">
        <v>755</v>
      </c>
      <c r="AB91" s="575">
        <v>45511.0</v>
      </c>
      <c r="AC91" s="544" t="s">
        <v>1085</v>
      </c>
      <c r="AD91" s="544" t="s">
        <v>1133</v>
      </c>
      <c r="AE91" s="544" t="s">
        <v>1134</v>
      </c>
      <c r="AF91" s="544" t="s">
        <v>1135</v>
      </c>
      <c r="AG91" s="529" t="s">
        <v>1136</v>
      </c>
      <c r="AH91" s="529" t="s">
        <v>1072</v>
      </c>
      <c r="AI91" s="529" t="s">
        <v>1072</v>
      </c>
      <c r="AJ91" s="529" t="s">
        <v>945</v>
      </c>
      <c r="AK91" s="529">
        <v>24.0</v>
      </c>
      <c r="AL91" s="529" t="s">
        <v>1138</v>
      </c>
      <c r="AM91" s="529">
        <v>3.0</v>
      </c>
      <c r="AN91" s="530" t="s">
        <v>975</v>
      </c>
      <c r="AO91" s="530">
        <v>108.0</v>
      </c>
      <c r="AP91" s="544" t="s">
        <v>648</v>
      </c>
      <c r="AQ91" s="575">
        <v>46147.0</v>
      </c>
      <c r="AR91" s="575">
        <v>51626.0</v>
      </c>
      <c r="AS91" s="577">
        <v>47973.0</v>
      </c>
      <c r="AT91" s="577">
        <v>46358.0</v>
      </c>
      <c r="AU91" s="577">
        <v>46358.0</v>
      </c>
      <c r="AV91" s="525"/>
      <c r="AW91" s="544" t="s">
        <v>1141</v>
      </c>
      <c r="AX91" s="575">
        <v>46541.0</v>
      </c>
      <c r="AY91" s="527" t="s">
        <v>1391</v>
      </c>
      <c r="AZ91" s="544">
        <v>14.0</v>
      </c>
      <c r="BA91" s="578" t="s">
        <v>1112</v>
      </c>
      <c r="BB91" s="544">
        <v>2.0</v>
      </c>
      <c r="BC91" s="575">
        <v>46934.0</v>
      </c>
    </row>
    <row r="92">
      <c r="A92" s="579" t="s">
        <v>155</v>
      </c>
      <c r="B92" s="544" t="s">
        <v>1118</v>
      </c>
      <c r="C92" s="544" t="s">
        <v>179</v>
      </c>
      <c r="D92" s="544" t="s">
        <v>1044</v>
      </c>
      <c r="E92" s="544" t="s">
        <v>1045</v>
      </c>
      <c r="F92" s="544" t="s">
        <v>1122</v>
      </c>
      <c r="G92" s="544" t="s">
        <v>1123</v>
      </c>
      <c r="H92" s="544" t="s">
        <v>1233</v>
      </c>
      <c r="I92" s="544" t="s">
        <v>109</v>
      </c>
      <c r="J92" s="544" t="s">
        <v>1125</v>
      </c>
      <c r="K92" s="580">
        <v>281.0</v>
      </c>
      <c r="L92" s="544" t="s">
        <v>647</v>
      </c>
      <c r="M92" s="574">
        <v>46147.0</v>
      </c>
      <c r="N92" s="581">
        <v>46132.0</v>
      </c>
      <c r="O92" s="544" t="s">
        <v>653</v>
      </c>
      <c r="P92" s="544" t="s">
        <v>654</v>
      </c>
      <c r="Q92" s="544">
        <v>4.0</v>
      </c>
      <c r="R92" s="544" t="s">
        <v>1128</v>
      </c>
      <c r="S92" s="544" t="s">
        <v>976</v>
      </c>
      <c r="T92" s="544" t="s">
        <v>1240</v>
      </c>
      <c r="U92" s="544">
        <v>200.0</v>
      </c>
      <c r="V92" s="544">
        <v>13.0</v>
      </c>
      <c r="W92" s="544" t="s">
        <v>1234</v>
      </c>
      <c r="X92" s="544" t="s">
        <v>945</v>
      </c>
      <c r="Y92" s="544" t="s">
        <v>945</v>
      </c>
      <c r="Z92" s="544" t="s">
        <v>811</v>
      </c>
      <c r="AA92" s="544" t="s">
        <v>809</v>
      </c>
      <c r="AB92" s="581">
        <v>45877.0</v>
      </c>
      <c r="AC92" s="544" t="s">
        <v>1085</v>
      </c>
      <c r="AD92" s="544" t="s">
        <v>1133</v>
      </c>
      <c r="AE92" s="544" t="s">
        <v>1134</v>
      </c>
      <c r="AF92" s="544" t="s">
        <v>1135</v>
      </c>
      <c r="AG92" s="544" t="s">
        <v>1136</v>
      </c>
      <c r="AH92" s="544" t="s">
        <v>1072</v>
      </c>
      <c r="AI92" s="544" t="s">
        <v>1072</v>
      </c>
      <c r="AJ92" s="544" t="s">
        <v>945</v>
      </c>
      <c r="AK92" s="544">
        <v>24.0</v>
      </c>
      <c r="AL92" s="544" t="s">
        <v>1138</v>
      </c>
      <c r="AM92" s="544">
        <v>3.0</v>
      </c>
      <c r="AN92" s="544" t="s">
        <v>975</v>
      </c>
      <c r="AO92" s="544">
        <v>58.0</v>
      </c>
      <c r="AP92" s="544" t="s">
        <v>648</v>
      </c>
      <c r="AQ92" s="581">
        <v>46132.0</v>
      </c>
      <c r="AR92" s="581">
        <v>51611.0</v>
      </c>
      <c r="AS92" s="581">
        <v>47958.0</v>
      </c>
      <c r="AT92" s="581">
        <v>46319.0</v>
      </c>
      <c r="AU92" s="582"/>
      <c r="AV92" s="582"/>
      <c r="AW92" s="544" t="s">
        <v>1141</v>
      </c>
      <c r="AX92" s="581">
        <v>46476.0</v>
      </c>
      <c r="AY92" s="544">
        <v>3.260000003249E12</v>
      </c>
      <c r="AZ92" s="544">
        <v>14.0</v>
      </c>
      <c r="BA92" s="578" t="s">
        <v>1112</v>
      </c>
      <c r="BB92" s="544">
        <v>2.0</v>
      </c>
      <c r="BC92" s="583">
        <v>46160.0</v>
      </c>
    </row>
    <row r="93">
      <c r="A93" s="9" t="s">
        <v>1392</v>
      </c>
      <c r="B93" s="118" t="s">
        <v>76</v>
      </c>
      <c r="C93" s="9" t="s">
        <v>153</v>
      </c>
      <c r="D93" s="9">
        <v>24.0</v>
      </c>
      <c r="E93" s="24" t="s">
        <v>47</v>
      </c>
      <c r="F93" s="9">
        <v>2026.0</v>
      </c>
      <c r="G93" s="9">
        <v>2026.0</v>
      </c>
      <c r="H93" s="9" t="str">
        <f>$A$4-F93</f>
        <v>#VALUE!</v>
      </c>
      <c r="I93" s="117" t="s">
        <v>373</v>
      </c>
      <c r="J93" s="9">
        <v>6374.0</v>
      </c>
      <c r="K93" s="9" t="s">
        <v>266</v>
      </c>
      <c r="L93" s="9" t="s">
        <v>160</v>
      </c>
      <c r="M93" s="9" t="s">
        <v>161</v>
      </c>
      <c r="N93" s="9">
        <v>2026.0</v>
      </c>
      <c r="O93" s="9" t="str">
        <f>$A$4-N93</f>
        <v>#VALUE!</v>
      </c>
      <c r="P93" s="9" t="s">
        <v>162</v>
      </c>
      <c r="Q93" s="9" t="s">
        <v>270</v>
      </c>
      <c r="R93" s="24" t="s">
        <v>402</v>
      </c>
      <c r="S93" s="118" t="s">
        <v>403</v>
      </c>
      <c r="T93" s="53">
        <f>VLOOKUP(B93,'Data aplikasi'!$A$2:$M$85,5,0)</f>
        <v>47973</v>
      </c>
      <c r="U93" s="153" t="str">
        <f>IF(TODAY()&gt;=T93,"Habis",
 IF(TODAY()&gt;=T93-7,"Habis dalam 7-1 Hari",
 IF(TODAY()&gt;=T93-21,"Akan Habis",
 "Berlaku")))
</f>
        <v>Berlaku</v>
      </c>
      <c r="V93" s="53">
        <f>VLOOKUP(B93,'Data aplikasi'!$A$2:$M$85,6,0)</f>
        <v>46512</v>
      </c>
      <c r="W93" s="153" t="str">
        <f>IF(TODAY()&gt;=V93,"Habis",
 IF(TODAY()&gt;=V93-7,"Habis dalam 7-1 Hari",
 IF(TODAY()&gt;=V93-50,"Akan Habis",
 "Berlaku")))</f>
        <v>Berlaku</v>
      </c>
      <c r="X93" s="53">
        <f>VLOOKUP(B93,'Data aplikasi'!$A$2:$M$85,8,0)</f>
        <v>46358</v>
      </c>
      <c r="Y93" s="153" t="str">
        <f>IF(TODAY()&gt;=X93,"Habis",
 IF(TODAY()&gt;=X93-7,"Habis dalam 7-1 Hari",
 IF(TODAY()&gt;=X93-50,"Akan Habis",
 "Berlaku")))</f>
        <v>Berlaku</v>
      </c>
      <c r="Z93" s="53">
        <f>VLOOKUP(B93,'Data aplikasi'!$A$2:$M$85,9,0)</f>
        <v>46358</v>
      </c>
      <c r="AA93" s="153" t="str">
        <f>IF(TODAY()&gt;=Z93,"Habis",
 IF(TODAY()&gt;=Z93-7,"Habis dalam 7-1 Hari",
 IF(TODAY()&gt;=Z93-21,"Akan Habis",
 "Berlaku")))
</f>
        <v>Berlaku</v>
      </c>
      <c r="AB93" s="53">
        <f>VLOOKUP(B93,'Data aplikasi'!$A$2:$M$85,10,0)</f>
        <v>46914</v>
      </c>
      <c r="AC93" s="153" t="str">
        <f>IF(TODAY()&gt;=AB93,"Habis",
 IF(TODAY()&gt;=AB93-7,"Habis dalam 7-1 Hari",
 IF(TODAY()&gt;=AB93-65,"Akan Habis",
 "Berlaku")))</f>
        <v>Berlaku</v>
      </c>
      <c r="AD93" s="55">
        <f>VLOOKUP(B93,'Data aplikasi'!$A$2:$M$85,11,0)</f>
        <v>46395</v>
      </c>
      <c r="AE93" s="154" t="str">
        <f>IF(TODAY()&gt;=AD93,"Habis",
 IF(TODAY()&gt;=AD93-7,"Habis dalam 7-1 Hari",
 IF(TODAY()&gt;=AD93-21,"Akan Habis",
 "Berlaku")))
</f>
        <v>Berlaku</v>
      </c>
      <c r="AF93" s="155" t="s">
        <v>166</v>
      </c>
      <c r="AG93" s="155" t="s">
        <v>167</v>
      </c>
      <c r="AH93" s="24"/>
      <c r="AI93" s="584" t="s">
        <v>404</v>
      </c>
      <c r="AJ93" s="119"/>
      <c r="AK93" s="119"/>
      <c r="AL93" s="119"/>
      <c r="AM93" s="119"/>
      <c r="AN93" s="119"/>
      <c r="AO93" s="119"/>
      <c r="AP93" s="119"/>
      <c r="AQ93" s="157"/>
      <c r="AR93" s="157"/>
      <c r="AS93" s="119"/>
      <c r="AT93" s="146"/>
      <c r="AU93" s="146"/>
      <c r="AV93" s="146"/>
      <c r="AW93" s="146"/>
      <c r="AX93" s="146"/>
      <c r="AY93" s="524"/>
      <c r="AZ93" s="524"/>
      <c r="BA93" s="524"/>
      <c r="BB93" s="524"/>
      <c r="BC93" s="525"/>
    </row>
    <row r="94">
      <c r="A94" s="585"/>
      <c r="B94" s="585"/>
      <c r="C94" s="585"/>
      <c r="D94" s="585"/>
      <c r="E94" s="585"/>
      <c r="F94" s="585"/>
      <c r="G94" s="585"/>
      <c r="H94" s="585"/>
      <c r="I94" s="585"/>
      <c r="J94" s="585"/>
      <c r="K94" s="585"/>
      <c r="L94" s="585"/>
      <c r="M94" s="586"/>
      <c r="N94" s="586"/>
      <c r="O94" s="585"/>
      <c r="P94" s="585"/>
      <c r="Q94" s="585"/>
      <c r="R94" s="585"/>
      <c r="S94" s="585"/>
      <c r="T94" s="585"/>
      <c r="U94" s="585"/>
      <c r="V94" s="585"/>
      <c r="W94" s="585"/>
      <c r="X94" s="585"/>
      <c r="Y94" s="585"/>
      <c r="Z94" s="585"/>
      <c r="AA94" s="585"/>
      <c r="AB94" s="586"/>
      <c r="AC94" s="585"/>
      <c r="AD94" s="585"/>
      <c r="AE94" s="585"/>
      <c r="AF94" s="585"/>
      <c r="AG94" s="585"/>
      <c r="AH94" s="585"/>
      <c r="AI94" s="585"/>
      <c r="AJ94" s="585"/>
      <c r="AK94" s="585"/>
      <c r="AL94" s="585"/>
      <c r="AM94" s="585"/>
      <c r="AN94" s="585"/>
      <c r="AO94" s="585"/>
      <c r="AP94" s="585"/>
      <c r="AQ94" s="586"/>
      <c r="AR94" s="586"/>
      <c r="AS94" s="586"/>
      <c r="AT94" s="586"/>
      <c r="AU94" s="586"/>
      <c r="AV94" s="586"/>
      <c r="AW94" s="585"/>
      <c r="AX94" s="586"/>
      <c r="AY94" s="585"/>
      <c r="AZ94" s="585"/>
      <c r="BA94" s="585"/>
      <c r="BB94" s="585"/>
      <c r="BC94" s="586"/>
    </row>
    <row r="95">
      <c r="A95" s="585"/>
      <c r="B95" s="585"/>
      <c r="C95" s="585"/>
      <c r="D95" s="585"/>
      <c r="E95" s="585"/>
      <c r="F95" s="585"/>
      <c r="G95" s="585"/>
      <c r="H95" s="585"/>
      <c r="I95" s="585"/>
      <c r="J95" s="585"/>
      <c r="K95" s="585"/>
      <c r="L95" s="585"/>
      <c r="M95" s="586"/>
      <c r="N95" s="586"/>
      <c r="O95" s="585"/>
      <c r="P95" s="585"/>
      <c r="Q95" s="585"/>
      <c r="R95" s="585"/>
      <c r="S95" s="585"/>
      <c r="T95" s="585"/>
      <c r="U95" s="585"/>
      <c r="V95" s="585"/>
      <c r="W95" s="585"/>
      <c r="X95" s="585"/>
      <c r="Y95" s="585"/>
      <c r="Z95" s="585"/>
      <c r="AA95" s="585"/>
      <c r="AB95" s="586"/>
      <c r="AC95" s="585"/>
      <c r="AD95" s="585"/>
      <c r="AE95" s="585"/>
      <c r="AF95" s="585"/>
      <c r="AG95" s="585"/>
      <c r="AH95" s="585"/>
      <c r="AI95" s="585"/>
      <c r="AJ95" s="585"/>
      <c r="AK95" s="585"/>
      <c r="AL95" s="585"/>
      <c r="AM95" s="585"/>
      <c r="AN95" s="585"/>
      <c r="AO95" s="585"/>
      <c r="AP95" s="585"/>
      <c r="AQ95" s="586"/>
      <c r="AR95" s="586"/>
      <c r="AS95" s="586"/>
      <c r="AT95" s="586"/>
      <c r="AU95" s="586"/>
      <c r="AV95" s="586"/>
      <c r="AW95" s="585"/>
      <c r="AX95" s="586"/>
      <c r="AY95" s="585"/>
      <c r="AZ95" s="585"/>
      <c r="BA95" s="585"/>
      <c r="BB95" s="585"/>
      <c r="BC95" s="586"/>
    </row>
    <row r="96">
      <c r="A96" s="585"/>
      <c r="B96" s="585"/>
      <c r="C96" s="585"/>
      <c r="D96" s="585"/>
      <c r="E96" s="585"/>
      <c r="F96" s="585"/>
      <c r="G96" s="585"/>
      <c r="H96" s="585"/>
      <c r="I96" s="585"/>
      <c r="J96" s="585"/>
      <c r="K96" s="585"/>
      <c r="L96" s="585"/>
      <c r="M96" s="586"/>
      <c r="N96" s="586"/>
      <c r="O96" s="585"/>
      <c r="P96" s="585"/>
      <c r="Q96" s="585"/>
      <c r="R96" s="585"/>
      <c r="S96" s="585"/>
      <c r="T96" s="585"/>
      <c r="U96" s="585"/>
      <c r="V96" s="585"/>
      <c r="W96" s="585"/>
      <c r="X96" s="585"/>
      <c r="Y96" s="585"/>
      <c r="Z96" s="585"/>
      <c r="AA96" s="514" t="s">
        <v>757</v>
      </c>
      <c r="AC96" s="585"/>
      <c r="AD96" s="585"/>
      <c r="AE96" s="585"/>
      <c r="AF96" s="585"/>
      <c r="AG96" s="585"/>
      <c r="AH96" s="585"/>
      <c r="AI96" s="585"/>
      <c r="AJ96" s="585"/>
      <c r="AK96" s="585"/>
      <c r="AL96" s="585"/>
      <c r="AM96" s="585"/>
      <c r="AN96" s="585"/>
      <c r="AO96" s="585"/>
      <c r="AP96" s="585"/>
      <c r="AQ96" s="586"/>
      <c r="AR96" s="586"/>
      <c r="AS96" s="586"/>
      <c r="AT96" s="586"/>
      <c r="AU96" s="586"/>
      <c r="AV96" s="586"/>
      <c r="AW96" s="585"/>
      <c r="AX96" s="586"/>
      <c r="AY96" s="585"/>
      <c r="AZ96" s="585"/>
      <c r="BA96" s="585"/>
      <c r="BB96" s="585"/>
      <c r="BC96" s="586"/>
    </row>
    <row r="97">
      <c r="A97" s="585"/>
      <c r="B97" s="585"/>
      <c r="C97" s="585"/>
      <c r="D97" s="585"/>
      <c r="E97" s="585"/>
      <c r="F97" s="585"/>
      <c r="G97" s="585"/>
      <c r="H97" s="585"/>
      <c r="I97" s="585"/>
      <c r="J97" s="585"/>
      <c r="K97" s="585"/>
      <c r="L97" s="585"/>
      <c r="M97" s="586"/>
      <c r="N97" s="586"/>
      <c r="O97" s="585"/>
      <c r="P97" s="585"/>
      <c r="Q97" s="585"/>
      <c r="R97" s="585"/>
      <c r="S97" s="585"/>
      <c r="T97" s="585"/>
      <c r="U97" s="585"/>
      <c r="V97" s="585"/>
      <c r="W97" s="585"/>
      <c r="X97" s="585"/>
      <c r="Y97" s="585"/>
      <c r="Z97" s="585"/>
      <c r="AA97" s="585"/>
      <c r="AB97" s="586"/>
      <c r="AC97" s="585"/>
      <c r="AD97" s="585"/>
      <c r="AE97" s="585"/>
      <c r="AF97" s="585"/>
      <c r="AG97" s="585"/>
      <c r="AH97" s="585"/>
      <c r="AI97" s="585"/>
      <c r="AJ97" s="585"/>
      <c r="AK97" s="585"/>
      <c r="AL97" s="585"/>
      <c r="AM97" s="585"/>
      <c r="AN97" s="585"/>
      <c r="AO97" s="585"/>
      <c r="AP97" s="585"/>
      <c r="AQ97" s="586"/>
      <c r="AR97" s="586"/>
      <c r="AS97" s="586"/>
      <c r="AT97" s="586"/>
      <c r="AU97" s="586"/>
      <c r="AV97" s="586"/>
      <c r="AW97" s="585"/>
      <c r="AX97" s="586"/>
      <c r="AY97" s="585"/>
      <c r="AZ97" s="585"/>
      <c r="BA97" s="585"/>
      <c r="BB97" s="585"/>
      <c r="BC97" s="586"/>
    </row>
    <row r="98">
      <c r="A98" s="585"/>
      <c r="B98" s="585"/>
      <c r="C98" s="585"/>
      <c r="D98" s="585"/>
      <c r="E98" s="585"/>
      <c r="F98" s="585"/>
      <c r="G98" s="585"/>
      <c r="H98" s="585"/>
      <c r="I98" s="585"/>
      <c r="J98" s="585"/>
      <c r="K98" s="585"/>
      <c r="L98" s="585"/>
      <c r="M98" s="586"/>
      <c r="N98" s="586"/>
      <c r="O98" s="585"/>
      <c r="P98" s="585"/>
      <c r="Q98" s="585"/>
      <c r="R98" s="585"/>
      <c r="S98" s="585"/>
      <c r="T98" s="585"/>
      <c r="U98" s="585"/>
      <c r="V98" s="585"/>
      <c r="W98" s="585"/>
      <c r="X98" s="585"/>
      <c r="Y98" s="585"/>
      <c r="Z98" s="585"/>
      <c r="AA98" s="585"/>
      <c r="AB98" s="586"/>
      <c r="AC98" s="585"/>
      <c r="AD98" s="585"/>
      <c r="AE98" s="585"/>
      <c r="AF98" s="585"/>
      <c r="AG98" s="585"/>
      <c r="AH98" s="585"/>
      <c r="AI98" s="585"/>
      <c r="AJ98" s="585"/>
      <c r="AK98" s="585"/>
      <c r="AL98" s="585"/>
      <c r="AM98" s="585"/>
      <c r="AN98" s="585"/>
      <c r="AO98" s="585"/>
      <c r="AP98" s="585"/>
      <c r="AQ98" s="586"/>
      <c r="AR98" s="586"/>
      <c r="AS98" s="586"/>
      <c r="AT98" s="586"/>
      <c r="AU98" s="586"/>
      <c r="AV98" s="586"/>
      <c r="AW98" s="585"/>
      <c r="AX98" s="586"/>
      <c r="AY98" s="585"/>
      <c r="AZ98" s="585"/>
      <c r="BA98" s="585"/>
      <c r="BB98" s="585"/>
      <c r="BC98" s="586"/>
    </row>
    <row r="99">
      <c r="A99" s="585"/>
      <c r="B99" s="585"/>
      <c r="C99" s="585"/>
      <c r="D99" s="585"/>
      <c r="E99" s="585"/>
      <c r="F99" s="585"/>
      <c r="G99" s="585"/>
      <c r="H99" s="585"/>
      <c r="I99" s="585"/>
      <c r="J99" s="585"/>
      <c r="K99" s="585"/>
      <c r="L99" s="585"/>
      <c r="M99" s="586"/>
      <c r="N99" s="586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585"/>
      <c r="AA99" s="585"/>
      <c r="AB99" s="586"/>
      <c r="AC99" s="585"/>
      <c r="AD99" s="585"/>
      <c r="AE99" s="585"/>
      <c r="AF99" s="585"/>
      <c r="AG99" s="585"/>
      <c r="AH99" s="585"/>
      <c r="AI99" s="585"/>
      <c r="AJ99" s="585"/>
      <c r="AK99" s="585"/>
      <c r="AL99" s="585"/>
      <c r="AM99" s="585"/>
      <c r="AN99" s="585"/>
      <c r="AO99" s="585"/>
      <c r="AP99" s="585"/>
      <c r="AQ99" s="586"/>
      <c r="AR99" s="586"/>
      <c r="AS99" s="586"/>
      <c r="AT99" s="586"/>
      <c r="AU99" s="586"/>
      <c r="AV99" s="586"/>
      <c r="AW99" s="585"/>
      <c r="AX99" s="586"/>
      <c r="AY99" s="585"/>
      <c r="AZ99" s="585"/>
      <c r="BA99" s="585"/>
      <c r="BB99" s="585"/>
      <c r="BC99" s="586"/>
    </row>
    <row r="100">
      <c r="A100" s="585"/>
      <c r="B100" s="585"/>
      <c r="C100" s="585"/>
      <c r="D100" s="585"/>
      <c r="E100" s="585"/>
      <c r="F100" s="585"/>
      <c r="G100" s="585"/>
      <c r="H100" s="585"/>
      <c r="I100" s="585"/>
      <c r="J100" s="585"/>
      <c r="K100" s="585"/>
      <c r="L100" s="585"/>
      <c r="M100" s="586"/>
      <c r="N100" s="586"/>
      <c r="O100" s="585"/>
      <c r="P100" s="585"/>
      <c r="Q100" s="585"/>
      <c r="R100" s="585"/>
      <c r="S100" s="585"/>
      <c r="T100" s="585"/>
      <c r="U100" s="585"/>
      <c r="V100" s="585"/>
      <c r="W100" s="585"/>
      <c r="X100" s="585"/>
      <c r="Y100" s="585"/>
      <c r="Z100" s="585"/>
      <c r="AA100" s="585"/>
      <c r="AB100" s="586"/>
      <c r="AC100" s="585"/>
      <c r="AD100" s="585"/>
      <c r="AE100" s="585"/>
      <c r="AF100" s="585"/>
      <c r="AG100" s="585"/>
      <c r="AH100" s="585"/>
      <c r="AI100" s="585"/>
      <c r="AJ100" s="585"/>
      <c r="AK100" s="585"/>
      <c r="AL100" s="585"/>
      <c r="AM100" s="585"/>
      <c r="AN100" s="585"/>
      <c r="AO100" s="585"/>
      <c r="AP100" s="585"/>
      <c r="AQ100" s="586"/>
      <c r="AR100" s="586"/>
      <c r="AS100" s="586"/>
      <c r="AT100" s="586"/>
      <c r="AU100" s="586"/>
      <c r="AV100" s="586"/>
      <c r="AW100" s="585"/>
      <c r="AX100" s="586"/>
      <c r="AY100" s="585"/>
      <c r="AZ100" s="585"/>
      <c r="BA100" s="585"/>
      <c r="BB100" s="585"/>
      <c r="BC100" s="586"/>
    </row>
    <row r="101">
      <c r="A101" s="585"/>
      <c r="B101" s="585"/>
      <c r="C101" s="585"/>
      <c r="D101" s="585"/>
      <c r="E101" s="585"/>
      <c r="F101" s="585"/>
      <c r="G101" s="585"/>
      <c r="H101" s="585"/>
      <c r="I101" s="585"/>
      <c r="J101" s="585"/>
      <c r="K101" s="585"/>
      <c r="L101" s="585"/>
      <c r="M101" s="586"/>
      <c r="N101" s="586"/>
      <c r="O101" s="585"/>
      <c r="P101" s="585"/>
      <c r="Q101" s="585"/>
      <c r="R101" s="585"/>
      <c r="S101" s="585"/>
      <c r="T101" s="585"/>
      <c r="U101" s="585"/>
      <c r="V101" s="585"/>
      <c r="W101" s="585"/>
      <c r="X101" s="585"/>
      <c r="Y101" s="585"/>
      <c r="Z101" s="585"/>
      <c r="AA101" s="585"/>
      <c r="AB101" s="586"/>
      <c r="AC101" s="585"/>
      <c r="AD101" s="585"/>
      <c r="AE101" s="585"/>
      <c r="AF101" s="585"/>
      <c r="AG101" s="585"/>
      <c r="AH101" s="585"/>
      <c r="AI101" s="585"/>
      <c r="AJ101" s="585"/>
      <c r="AK101" s="585"/>
      <c r="AL101" s="585"/>
      <c r="AM101" s="585"/>
      <c r="AN101" s="585"/>
      <c r="AO101" s="585"/>
      <c r="AP101" s="585"/>
      <c r="AQ101" s="586"/>
      <c r="AR101" s="586"/>
      <c r="AS101" s="586"/>
      <c r="AT101" s="586"/>
      <c r="AU101" s="586"/>
      <c r="AV101" s="586"/>
      <c r="AW101" s="585"/>
      <c r="AX101" s="586"/>
      <c r="AY101" s="585"/>
      <c r="AZ101" s="585"/>
      <c r="BA101" s="585"/>
      <c r="BB101" s="585"/>
      <c r="BC101" s="586"/>
    </row>
    <row r="102">
      <c r="A102" s="585"/>
      <c r="B102" s="585"/>
      <c r="C102" s="585"/>
      <c r="D102" s="585"/>
      <c r="E102" s="585"/>
      <c r="F102" s="585"/>
      <c r="G102" s="585"/>
      <c r="H102" s="585"/>
      <c r="I102" s="585"/>
      <c r="J102" s="585"/>
      <c r="K102" s="585"/>
      <c r="L102" s="585"/>
      <c r="M102" s="586"/>
      <c r="N102" s="586"/>
      <c r="O102" s="585"/>
      <c r="P102" s="585"/>
      <c r="Q102" s="585"/>
      <c r="R102" s="585"/>
      <c r="S102" s="585"/>
      <c r="T102" s="585"/>
      <c r="U102" s="585"/>
      <c r="V102" s="585"/>
      <c r="W102" s="585"/>
      <c r="X102" s="585"/>
      <c r="Y102" s="585"/>
      <c r="Z102" s="585"/>
      <c r="AA102" s="585"/>
      <c r="AB102" s="586"/>
      <c r="AC102" s="585"/>
      <c r="AD102" s="585"/>
      <c r="AE102" s="585"/>
      <c r="AF102" s="585"/>
      <c r="AG102" s="585"/>
      <c r="AH102" s="585"/>
      <c r="AI102" s="585"/>
      <c r="AJ102" s="585"/>
      <c r="AK102" s="585"/>
      <c r="AL102" s="585"/>
      <c r="AM102" s="585"/>
      <c r="AN102" s="585"/>
      <c r="AO102" s="585"/>
      <c r="AP102" s="585"/>
      <c r="AQ102" s="586"/>
      <c r="AR102" s="586"/>
      <c r="AS102" s="586"/>
      <c r="AT102" s="586"/>
      <c r="AU102" s="586"/>
      <c r="AV102" s="586"/>
      <c r="AW102" s="585"/>
      <c r="AX102" s="586"/>
      <c r="AY102" s="585"/>
      <c r="AZ102" s="585"/>
      <c r="BA102" s="585"/>
      <c r="BB102" s="585"/>
      <c r="BC102" s="586"/>
    </row>
    <row r="103">
      <c r="A103" s="585"/>
      <c r="B103" s="585"/>
      <c r="C103" s="585"/>
      <c r="D103" s="585"/>
      <c r="E103" s="585"/>
      <c r="F103" s="585"/>
      <c r="G103" s="585"/>
      <c r="H103" s="585"/>
      <c r="I103" s="585"/>
      <c r="J103" s="585"/>
      <c r="K103" s="585"/>
      <c r="L103" s="585"/>
      <c r="M103" s="586"/>
      <c r="N103" s="586"/>
      <c r="O103" s="585"/>
      <c r="P103" s="585"/>
      <c r="Q103" s="585"/>
      <c r="R103" s="585"/>
      <c r="S103" s="585"/>
      <c r="T103" s="585"/>
      <c r="U103" s="585"/>
      <c r="V103" s="585"/>
      <c r="W103" s="585"/>
      <c r="X103" s="585"/>
      <c r="Y103" s="585"/>
      <c r="Z103" s="585"/>
      <c r="AA103" s="585"/>
      <c r="AB103" s="586"/>
      <c r="AC103" s="585"/>
      <c r="AD103" s="585"/>
      <c r="AE103" s="585"/>
      <c r="AF103" s="585"/>
      <c r="AG103" s="585"/>
      <c r="AH103" s="585"/>
      <c r="AI103" s="585"/>
      <c r="AJ103" s="585"/>
      <c r="AK103" s="585"/>
      <c r="AL103" s="585"/>
      <c r="AM103" s="585"/>
      <c r="AN103" s="585"/>
      <c r="AO103" s="585"/>
      <c r="AP103" s="585"/>
      <c r="AQ103" s="586"/>
      <c r="AR103" s="586"/>
      <c r="AS103" s="586"/>
      <c r="AT103" s="586"/>
      <c r="AU103" s="586"/>
      <c r="AV103" s="586"/>
      <c r="AW103" s="585"/>
      <c r="AX103" s="586"/>
      <c r="AY103" s="585"/>
      <c r="AZ103" s="585"/>
      <c r="BA103" s="585"/>
      <c r="BB103" s="585"/>
      <c r="BC103" s="586"/>
    </row>
    <row r="104">
      <c r="A104" s="585"/>
      <c r="B104" s="585"/>
      <c r="C104" s="585"/>
      <c r="D104" s="585"/>
      <c r="E104" s="585"/>
      <c r="F104" s="585"/>
      <c r="G104" s="585"/>
      <c r="H104" s="585"/>
      <c r="I104" s="585"/>
      <c r="J104" s="585"/>
      <c r="K104" s="585"/>
      <c r="L104" s="585"/>
      <c r="M104" s="586"/>
      <c r="N104" s="586"/>
      <c r="O104" s="585"/>
      <c r="P104" s="585"/>
      <c r="Q104" s="585"/>
      <c r="R104" s="585"/>
      <c r="S104" s="585"/>
      <c r="T104" s="585"/>
      <c r="U104" s="585"/>
      <c r="V104" s="585"/>
      <c r="W104" s="585"/>
      <c r="X104" s="585"/>
      <c r="Y104" s="585"/>
      <c r="Z104" s="585"/>
      <c r="AA104" s="585"/>
      <c r="AB104" s="586"/>
      <c r="AC104" s="585"/>
      <c r="AD104" s="585"/>
      <c r="AE104" s="585"/>
      <c r="AF104" s="585"/>
      <c r="AG104" s="585"/>
      <c r="AH104" s="585"/>
      <c r="AI104" s="585"/>
      <c r="AJ104" s="585"/>
      <c r="AK104" s="585"/>
      <c r="AL104" s="585"/>
      <c r="AM104" s="585"/>
      <c r="AN104" s="585"/>
      <c r="AO104" s="585"/>
      <c r="AP104" s="585"/>
      <c r="AQ104" s="586"/>
      <c r="AR104" s="586"/>
      <c r="AS104" s="586"/>
      <c r="AT104" s="586"/>
      <c r="AU104" s="586"/>
      <c r="AV104" s="586"/>
      <c r="AW104" s="585"/>
      <c r="AX104" s="586"/>
      <c r="AY104" s="585"/>
      <c r="AZ104" s="585"/>
      <c r="BA104" s="585"/>
      <c r="BB104" s="585"/>
      <c r="BC104" s="586"/>
    </row>
    <row r="105">
      <c r="A105" s="585"/>
      <c r="B105" s="585"/>
      <c r="C105" s="585"/>
      <c r="D105" s="585"/>
      <c r="E105" s="585"/>
      <c r="F105" s="585"/>
      <c r="G105" s="585"/>
      <c r="H105" s="585"/>
      <c r="I105" s="585"/>
      <c r="J105" s="585"/>
      <c r="K105" s="585"/>
      <c r="L105" s="585"/>
      <c r="M105" s="586"/>
      <c r="N105" s="586"/>
      <c r="O105" s="585"/>
      <c r="P105" s="585"/>
      <c r="Q105" s="585"/>
      <c r="R105" s="585"/>
      <c r="S105" s="585"/>
      <c r="T105" s="585"/>
      <c r="U105" s="585"/>
      <c r="V105" s="585"/>
      <c r="W105" s="585"/>
      <c r="X105" s="585"/>
      <c r="Y105" s="585"/>
      <c r="Z105" s="585"/>
      <c r="AA105" s="585"/>
      <c r="AB105" s="586"/>
      <c r="AC105" s="585"/>
      <c r="AD105" s="585"/>
      <c r="AE105" s="585"/>
      <c r="AF105" s="585"/>
      <c r="AG105" s="585"/>
      <c r="AH105" s="585"/>
      <c r="AI105" s="585"/>
      <c r="AJ105" s="585"/>
      <c r="AK105" s="585"/>
      <c r="AL105" s="585"/>
      <c r="AM105" s="585"/>
      <c r="AN105" s="585"/>
      <c r="AO105" s="585"/>
      <c r="AP105" s="585"/>
      <c r="AQ105" s="586"/>
      <c r="AR105" s="586"/>
      <c r="AS105" s="586"/>
      <c r="AT105" s="586"/>
      <c r="AU105" s="586"/>
      <c r="AV105" s="586"/>
      <c r="AW105" s="585"/>
      <c r="AX105" s="586"/>
      <c r="AY105" s="585"/>
      <c r="AZ105" s="585"/>
      <c r="BA105" s="585"/>
      <c r="BB105" s="585"/>
      <c r="BC105" s="586"/>
    </row>
    <row r="106">
      <c r="A106" s="585"/>
      <c r="B106" s="585"/>
      <c r="C106" s="585"/>
      <c r="D106" s="585"/>
      <c r="E106" s="585"/>
      <c r="F106" s="585"/>
      <c r="G106" s="585"/>
      <c r="H106" s="585"/>
      <c r="I106" s="585"/>
      <c r="J106" s="585"/>
      <c r="K106" s="585"/>
      <c r="L106" s="585"/>
      <c r="M106" s="586"/>
      <c r="N106" s="586"/>
      <c r="O106" s="585"/>
      <c r="P106" s="585"/>
      <c r="Q106" s="585"/>
      <c r="R106" s="585"/>
      <c r="S106" s="585"/>
      <c r="T106" s="585"/>
      <c r="U106" s="585"/>
      <c r="V106" s="585"/>
      <c r="W106" s="585"/>
      <c r="X106" s="585"/>
      <c r="Y106" s="585"/>
      <c r="Z106" s="585"/>
      <c r="AA106" s="585"/>
      <c r="AB106" s="586"/>
      <c r="AC106" s="585"/>
      <c r="AD106" s="585"/>
      <c r="AE106" s="585"/>
      <c r="AF106" s="585"/>
      <c r="AG106" s="585"/>
      <c r="AH106" s="585"/>
      <c r="AI106" s="585"/>
      <c r="AJ106" s="585"/>
      <c r="AK106" s="585"/>
      <c r="AL106" s="585"/>
      <c r="AM106" s="585"/>
      <c r="AN106" s="585"/>
      <c r="AO106" s="585"/>
      <c r="AP106" s="585"/>
      <c r="AQ106" s="586"/>
      <c r="AR106" s="586"/>
      <c r="AS106" s="586"/>
      <c r="AT106" s="586"/>
      <c r="AU106" s="586"/>
      <c r="AV106" s="586"/>
      <c r="AW106" s="585"/>
      <c r="AX106" s="586"/>
      <c r="AY106" s="585"/>
      <c r="AZ106" s="585"/>
      <c r="BA106" s="585"/>
      <c r="BB106" s="585"/>
      <c r="BC106" s="586"/>
    </row>
    <row r="107">
      <c r="A107" s="585"/>
      <c r="B107" s="585"/>
      <c r="C107" s="585"/>
      <c r="D107" s="585"/>
      <c r="E107" s="585"/>
      <c r="F107" s="585"/>
      <c r="G107" s="585"/>
      <c r="H107" s="585"/>
      <c r="I107" s="585"/>
      <c r="J107" s="585"/>
      <c r="K107" s="585"/>
      <c r="L107" s="585"/>
      <c r="M107" s="586"/>
      <c r="N107" s="586"/>
      <c r="O107" s="585"/>
      <c r="P107" s="585"/>
      <c r="Q107" s="585"/>
      <c r="R107" s="585"/>
      <c r="S107" s="585"/>
      <c r="T107" s="585"/>
      <c r="U107" s="585"/>
      <c r="V107" s="585"/>
      <c r="W107" s="585"/>
      <c r="X107" s="585"/>
      <c r="Y107" s="585"/>
      <c r="Z107" s="585"/>
      <c r="AA107" s="585"/>
      <c r="AB107" s="586"/>
      <c r="AC107" s="585"/>
      <c r="AD107" s="585"/>
      <c r="AE107" s="585"/>
      <c r="AF107" s="585"/>
      <c r="AG107" s="585"/>
      <c r="AH107" s="585"/>
      <c r="AI107" s="585"/>
      <c r="AJ107" s="585"/>
      <c r="AK107" s="585"/>
      <c r="AL107" s="585"/>
      <c r="AM107" s="585"/>
      <c r="AN107" s="585"/>
      <c r="AO107" s="585"/>
      <c r="AP107" s="585"/>
      <c r="AQ107" s="586"/>
      <c r="AR107" s="586"/>
      <c r="AS107" s="586"/>
      <c r="AT107" s="586"/>
      <c r="AU107" s="586"/>
      <c r="AV107" s="586"/>
      <c r="AW107" s="585"/>
      <c r="AX107" s="586"/>
      <c r="AY107" s="585"/>
      <c r="AZ107" s="585"/>
      <c r="BA107" s="585"/>
      <c r="BB107" s="585"/>
      <c r="BC107" s="586"/>
    </row>
    <row r="108">
      <c r="A108" s="585"/>
      <c r="B108" s="585"/>
      <c r="C108" s="585"/>
      <c r="D108" s="585"/>
      <c r="E108" s="585"/>
      <c r="F108" s="585"/>
      <c r="G108" s="585"/>
      <c r="H108" s="585"/>
      <c r="I108" s="585"/>
      <c r="J108" s="585"/>
      <c r="K108" s="585"/>
      <c r="L108" s="585"/>
      <c r="M108" s="586"/>
      <c r="N108" s="586"/>
      <c r="O108" s="585"/>
      <c r="P108" s="585"/>
      <c r="Q108" s="585"/>
      <c r="R108" s="585"/>
      <c r="S108" s="585"/>
      <c r="T108" s="585"/>
      <c r="U108" s="585"/>
      <c r="V108" s="585"/>
      <c r="W108" s="585"/>
      <c r="X108" s="585"/>
      <c r="Y108" s="585"/>
      <c r="Z108" s="585"/>
      <c r="AA108" s="585"/>
      <c r="AB108" s="586"/>
      <c r="AC108" s="585"/>
      <c r="AD108" s="585"/>
      <c r="AE108" s="585"/>
      <c r="AF108" s="585"/>
      <c r="AG108" s="585"/>
      <c r="AH108" s="585"/>
      <c r="AI108" s="585"/>
      <c r="AJ108" s="585"/>
      <c r="AK108" s="585"/>
      <c r="AL108" s="585"/>
      <c r="AM108" s="585"/>
      <c r="AN108" s="585"/>
      <c r="AO108" s="585"/>
      <c r="AP108" s="585"/>
      <c r="AQ108" s="586"/>
      <c r="AR108" s="586"/>
      <c r="AS108" s="586"/>
      <c r="AT108" s="586"/>
      <c r="AU108" s="586"/>
      <c r="AV108" s="586"/>
      <c r="AW108" s="585"/>
      <c r="AX108" s="586"/>
      <c r="AY108" s="585"/>
      <c r="AZ108" s="585"/>
      <c r="BA108" s="585"/>
      <c r="BB108" s="585"/>
      <c r="BC108" s="586"/>
    </row>
    <row r="109">
      <c r="A109" s="585"/>
      <c r="B109" s="585"/>
      <c r="C109" s="585"/>
      <c r="D109" s="585"/>
      <c r="E109" s="585"/>
      <c r="F109" s="585"/>
      <c r="G109" s="585"/>
      <c r="H109" s="585"/>
      <c r="I109" s="585"/>
      <c r="J109" s="585"/>
      <c r="K109" s="585"/>
      <c r="L109" s="585"/>
      <c r="M109" s="586"/>
      <c r="N109" s="586"/>
      <c r="O109" s="585"/>
      <c r="P109" s="585"/>
      <c r="Q109" s="585"/>
      <c r="R109" s="585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6"/>
      <c r="AC109" s="585"/>
      <c r="AD109" s="585"/>
      <c r="AE109" s="585"/>
      <c r="AF109" s="585"/>
      <c r="AG109" s="585"/>
      <c r="AH109" s="585"/>
      <c r="AI109" s="585"/>
      <c r="AJ109" s="585"/>
      <c r="AK109" s="585"/>
      <c r="AL109" s="585"/>
      <c r="AM109" s="585"/>
      <c r="AN109" s="585"/>
      <c r="AO109" s="585"/>
      <c r="AP109" s="585"/>
      <c r="AQ109" s="586"/>
      <c r="AR109" s="586"/>
      <c r="AS109" s="586"/>
      <c r="AT109" s="586"/>
      <c r="AU109" s="586"/>
      <c r="AV109" s="586"/>
      <c r="AW109" s="585"/>
      <c r="AX109" s="586"/>
      <c r="AY109" s="585"/>
      <c r="AZ109" s="585"/>
      <c r="BA109" s="585"/>
      <c r="BB109" s="585"/>
      <c r="BC109" s="586"/>
    </row>
    <row r="110">
      <c r="A110" s="585"/>
      <c r="B110" s="585"/>
      <c r="C110" s="585"/>
      <c r="D110" s="585"/>
      <c r="E110" s="585"/>
      <c r="F110" s="585"/>
      <c r="G110" s="585"/>
      <c r="H110" s="585"/>
      <c r="I110" s="585"/>
      <c r="J110" s="585"/>
      <c r="K110" s="585"/>
      <c r="L110" s="585"/>
      <c r="M110" s="586"/>
      <c r="N110" s="586"/>
      <c r="O110" s="585"/>
      <c r="P110" s="585"/>
      <c r="Q110" s="585"/>
      <c r="R110" s="585"/>
      <c r="S110" s="585"/>
      <c r="T110" s="585"/>
      <c r="U110" s="585"/>
      <c r="V110" s="585"/>
      <c r="W110" s="585"/>
      <c r="X110" s="585"/>
      <c r="Y110" s="585"/>
      <c r="Z110" s="585"/>
      <c r="AA110" s="585"/>
      <c r="AB110" s="586"/>
      <c r="AC110" s="585"/>
      <c r="AD110" s="585"/>
      <c r="AE110" s="585"/>
      <c r="AF110" s="585"/>
      <c r="AG110" s="585"/>
      <c r="AH110" s="585"/>
      <c r="AI110" s="585"/>
      <c r="AJ110" s="585"/>
      <c r="AK110" s="585"/>
      <c r="AL110" s="585"/>
      <c r="AM110" s="585"/>
      <c r="AN110" s="585"/>
      <c r="AO110" s="585"/>
      <c r="AP110" s="585"/>
      <c r="AQ110" s="586"/>
      <c r="AR110" s="586"/>
      <c r="AS110" s="586"/>
      <c r="AT110" s="586"/>
      <c r="AU110" s="586"/>
      <c r="AV110" s="586"/>
      <c r="AW110" s="585"/>
      <c r="AX110" s="586"/>
      <c r="AY110" s="585"/>
      <c r="AZ110" s="585"/>
      <c r="BA110" s="585"/>
      <c r="BB110" s="585"/>
      <c r="BC110" s="586"/>
    </row>
    <row r="111">
      <c r="A111" s="585"/>
      <c r="B111" s="585"/>
      <c r="C111" s="585"/>
      <c r="D111" s="585"/>
      <c r="E111" s="585"/>
      <c r="F111" s="585"/>
      <c r="G111" s="585"/>
      <c r="H111" s="585"/>
      <c r="I111" s="585"/>
      <c r="J111" s="585"/>
      <c r="K111" s="585"/>
      <c r="L111" s="585"/>
      <c r="M111" s="586"/>
      <c r="N111" s="586"/>
      <c r="O111" s="585"/>
      <c r="P111" s="585"/>
      <c r="Q111" s="585"/>
      <c r="R111" s="585"/>
      <c r="S111" s="585"/>
      <c r="T111" s="585"/>
      <c r="U111" s="585"/>
      <c r="V111" s="585"/>
      <c r="W111" s="585"/>
      <c r="X111" s="585"/>
      <c r="Y111" s="585"/>
      <c r="Z111" s="585"/>
      <c r="AA111" s="585"/>
      <c r="AB111" s="586"/>
      <c r="AC111" s="585"/>
      <c r="AD111" s="585"/>
      <c r="AE111" s="585"/>
      <c r="AF111" s="585"/>
      <c r="AG111" s="585"/>
      <c r="AH111" s="585"/>
      <c r="AI111" s="585"/>
      <c r="AJ111" s="585"/>
      <c r="AK111" s="585"/>
      <c r="AL111" s="585"/>
      <c r="AM111" s="585"/>
      <c r="AN111" s="585"/>
      <c r="AO111" s="585"/>
      <c r="AP111" s="585"/>
      <c r="AQ111" s="586"/>
      <c r="AR111" s="586"/>
      <c r="AS111" s="586"/>
      <c r="AT111" s="586"/>
      <c r="AU111" s="586"/>
      <c r="AV111" s="586"/>
      <c r="AW111" s="585"/>
      <c r="AX111" s="586"/>
      <c r="AY111" s="585"/>
      <c r="AZ111" s="585"/>
      <c r="BA111" s="585"/>
      <c r="BB111" s="585"/>
      <c r="BC111" s="586"/>
    </row>
    <row r="112">
      <c r="A112" s="585"/>
      <c r="B112" s="585"/>
      <c r="C112" s="585"/>
      <c r="D112" s="585"/>
      <c r="E112" s="585"/>
      <c r="F112" s="585"/>
      <c r="G112" s="585"/>
      <c r="H112" s="585"/>
      <c r="I112" s="585"/>
      <c r="J112" s="585"/>
      <c r="K112" s="585"/>
      <c r="L112" s="585"/>
      <c r="M112" s="586"/>
      <c r="N112" s="586"/>
      <c r="O112" s="585"/>
      <c r="P112" s="585"/>
      <c r="Q112" s="585"/>
      <c r="R112" s="585"/>
      <c r="S112" s="585"/>
      <c r="T112" s="585"/>
      <c r="U112" s="585"/>
      <c r="V112" s="585"/>
      <c r="W112" s="585"/>
      <c r="X112" s="585"/>
      <c r="Y112" s="585"/>
      <c r="Z112" s="585"/>
      <c r="AA112" s="585"/>
      <c r="AB112" s="586"/>
      <c r="AC112" s="585"/>
      <c r="AD112" s="585"/>
      <c r="AE112" s="585"/>
      <c r="AF112" s="585"/>
      <c r="AG112" s="585"/>
      <c r="AH112" s="585"/>
      <c r="AI112" s="585"/>
      <c r="AJ112" s="585"/>
      <c r="AK112" s="585"/>
      <c r="AL112" s="585"/>
      <c r="AM112" s="585"/>
      <c r="AN112" s="585"/>
      <c r="AO112" s="585"/>
      <c r="AP112" s="585"/>
      <c r="AQ112" s="586"/>
      <c r="AR112" s="586"/>
      <c r="AS112" s="586"/>
      <c r="AT112" s="586"/>
      <c r="AU112" s="586"/>
      <c r="AV112" s="586"/>
      <c r="AW112" s="585"/>
      <c r="AX112" s="586"/>
      <c r="AY112" s="585"/>
      <c r="AZ112" s="585"/>
      <c r="BA112" s="585"/>
      <c r="BB112" s="585"/>
      <c r="BC112" s="586"/>
    </row>
    <row r="113">
      <c r="A113" s="585"/>
      <c r="B113" s="585"/>
      <c r="C113" s="585"/>
      <c r="D113" s="585"/>
      <c r="E113" s="585"/>
      <c r="F113" s="585"/>
      <c r="G113" s="585"/>
      <c r="H113" s="585"/>
      <c r="I113" s="585"/>
      <c r="J113" s="585"/>
      <c r="K113" s="585"/>
      <c r="L113" s="585"/>
      <c r="M113" s="586"/>
      <c r="N113" s="586"/>
      <c r="O113" s="585"/>
      <c r="P113" s="585"/>
      <c r="Q113" s="585"/>
      <c r="R113" s="585"/>
      <c r="S113" s="585"/>
      <c r="T113" s="585"/>
      <c r="U113" s="585"/>
      <c r="V113" s="585"/>
      <c r="W113" s="585"/>
      <c r="X113" s="585"/>
      <c r="Y113" s="585"/>
      <c r="Z113" s="585"/>
      <c r="AA113" s="585"/>
      <c r="AB113" s="586"/>
      <c r="AC113" s="585"/>
      <c r="AD113" s="585"/>
      <c r="AE113" s="585"/>
      <c r="AF113" s="585"/>
      <c r="AG113" s="585"/>
      <c r="AH113" s="585"/>
      <c r="AI113" s="585"/>
      <c r="AJ113" s="585"/>
      <c r="AK113" s="585"/>
      <c r="AL113" s="585"/>
      <c r="AM113" s="585"/>
      <c r="AN113" s="585"/>
      <c r="AO113" s="585"/>
      <c r="AP113" s="585"/>
      <c r="AQ113" s="586"/>
      <c r="AR113" s="586"/>
      <c r="AS113" s="586"/>
      <c r="AT113" s="586"/>
      <c r="AU113" s="586"/>
      <c r="AV113" s="586"/>
      <c r="AW113" s="585"/>
      <c r="AX113" s="586"/>
      <c r="AY113" s="585"/>
      <c r="AZ113" s="585"/>
      <c r="BA113" s="585"/>
      <c r="BB113" s="585"/>
      <c r="BC113" s="586"/>
    </row>
    <row r="114">
      <c r="A114" s="585"/>
      <c r="B114" s="585"/>
      <c r="C114" s="585"/>
      <c r="D114" s="585"/>
      <c r="E114" s="585"/>
      <c r="F114" s="585"/>
      <c r="G114" s="585"/>
      <c r="H114" s="585"/>
      <c r="I114" s="585"/>
      <c r="J114" s="585"/>
      <c r="K114" s="585"/>
      <c r="L114" s="585"/>
      <c r="M114" s="586"/>
      <c r="N114" s="586"/>
      <c r="O114" s="585"/>
      <c r="P114" s="585"/>
      <c r="Q114" s="585"/>
      <c r="R114" s="585"/>
      <c r="S114" s="585"/>
      <c r="T114" s="585"/>
      <c r="U114" s="585"/>
      <c r="V114" s="585"/>
      <c r="W114" s="585"/>
      <c r="X114" s="585"/>
      <c r="Y114" s="585"/>
      <c r="Z114" s="585"/>
      <c r="AA114" s="585"/>
      <c r="AB114" s="586"/>
      <c r="AC114" s="585"/>
      <c r="AD114" s="585"/>
      <c r="AE114" s="585"/>
      <c r="AF114" s="585"/>
      <c r="AG114" s="585"/>
      <c r="AH114" s="585"/>
      <c r="AI114" s="585"/>
      <c r="AJ114" s="585"/>
      <c r="AK114" s="585"/>
      <c r="AL114" s="585"/>
      <c r="AM114" s="585"/>
      <c r="AN114" s="585"/>
      <c r="AO114" s="585"/>
      <c r="AP114" s="585"/>
      <c r="AQ114" s="586"/>
      <c r="AR114" s="586"/>
      <c r="AS114" s="586"/>
      <c r="AT114" s="586"/>
      <c r="AU114" s="586"/>
      <c r="AV114" s="586"/>
      <c r="AW114" s="585"/>
      <c r="AX114" s="586"/>
      <c r="AY114" s="585"/>
      <c r="AZ114" s="585"/>
      <c r="BA114" s="585"/>
      <c r="BB114" s="585"/>
      <c r="BC114" s="586"/>
    </row>
    <row r="115">
      <c r="A115" s="585"/>
      <c r="B115" s="585"/>
      <c r="C115" s="585"/>
      <c r="D115" s="585"/>
      <c r="E115" s="585"/>
      <c r="F115" s="585"/>
      <c r="G115" s="585"/>
      <c r="H115" s="585"/>
      <c r="I115" s="585"/>
      <c r="J115" s="585"/>
      <c r="K115" s="585"/>
      <c r="L115" s="585"/>
      <c r="M115" s="586"/>
      <c r="N115" s="586"/>
      <c r="O115" s="585"/>
      <c r="P115" s="585"/>
      <c r="Q115" s="585"/>
      <c r="R115" s="585"/>
      <c r="S115" s="585"/>
      <c r="T115" s="585"/>
      <c r="U115" s="585"/>
      <c r="V115" s="585"/>
      <c r="W115" s="585"/>
      <c r="X115" s="585"/>
      <c r="Y115" s="585"/>
      <c r="Z115" s="585"/>
      <c r="AA115" s="585"/>
      <c r="AB115" s="586"/>
      <c r="AC115" s="585"/>
      <c r="AD115" s="585"/>
      <c r="AE115" s="585"/>
      <c r="AF115" s="585"/>
      <c r="AG115" s="585"/>
      <c r="AH115" s="585"/>
      <c r="AI115" s="585"/>
      <c r="AJ115" s="585"/>
      <c r="AK115" s="585"/>
      <c r="AL115" s="585"/>
      <c r="AM115" s="585"/>
      <c r="AN115" s="585"/>
      <c r="AO115" s="585"/>
      <c r="AP115" s="585"/>
      <c r="AQ115" s="586"/>
      <c r="AR115" s="586"/>
      <c r="AS115" s="586"/>
      <c r="AT115" s="586"/>
      <c r="AU115" s="586"/>
      <c r="AV115" s="586"/>
      <c r="AW115" s="585"/>
      <c r="AX115" s="586"/>
      <c r="AY115" s="585"/>
      <c r="AZ115" s="585"/>
      <c r="BA115" s="585"/>
      <c r="BB115" s="585"/>
      <c r="BC115" s="586"/>
    </row>
    <row r="116">
      <c r="A116" s="585"/>
      <c r="B116" s="585"/>
      <c r="C116" s="585"/>
      <c r="D116" s="585"/>
      <c r="E116" s="585"/>
      <c r="F116" s="585"/>
      <c r="G116" s="585"/>
      <c r="H116" s="585"/>
      <c r="I116" s="585"/>
      <c r="J116" s="585"/>
      <c r="K116" s="585"/>
      <c r="L116" s="585"/>
      <c r="M116" s="586"/>
      <c r="N116" s="586"/>
      <c r="O116" s="585"/>
      <c r="P116" s="585"/>
      <c r="Q116" s="585"/>
      <c r="R116" s="585"/>
      <c r="S116" s="585"/>
      <c r="T116" s="585"/>
      <c r="U116" s="585"/>
      <c r="V116" s="585"/>
      <c r="W116" s="585"/>
      <c r="X116" s="585"/>
      <c r="Y116" s="585"/>
      <c r="Z116" s="585"/>
      <c r="AA116" s="585"/>
      <c r="AB116" s="586"/>
      <c r="AC116" s="585"/>
      <c r="AD116" s="585"/>
      <c r="AE116" s="585"/>
      <c r="AF116" s="585"/>
      <c r="AG116" s="585"/>
      <c r="AH116" s="585"/>
      <c r="AI116" s="585"/>
      <c r="AJ116" s="585"/>
      <c r="AK116" s="585"/>
      <c r="AL116" s="585"/>
      <c r="AM116" s="585"/>
      <c r="AN116" s="585"/>
      <c r="AO116" s="585"/>
      <c r="AP116" s="585"/>
      <c r="AQ116" s="586"/>
      <c r="AR116" s="586"/>
      <c r="AS116" s="586"/>
      <c r="AT116" s="586"/>
      <c r="AU116" s="586"/>
      <c r="AV116" s="586"/>
      <c r="AW116" s="585"/>
      <c r="AX116" s="586"/>
      <c r="AY116" s="585"/>
      <c r="AZ116" s="585"/>
      <c r="BA116" s="585"/>
      <c r="BB116" s="585"/>
      <c r="BC116" s="586"/>
    </row>
    <row r="117">
      <c r="A117" s="585"/>
      <c r="B117" s="585"/>
      <c r="C117" s="585"/>
      <c r="D117" s="585"/>
      <c r="E117" s="585"/>
      <c r="F117" s="585"/>
      <c r="G117" s="585"/>
      <c r="H117" s="585"/>
      <c r="I117" s="585"/>
      <c r="J117" s="585"/>
      <c r="K117" s="585"/>
      <c r="L117" s="585"/>
      <c r="M117" s="586"/>
      <c r="N117" s="586"/>
      <c r="O117" s="585"/>
      <c r="P117" s="585"/>
      <c r="Q117" s="585"/>
      <c r="R117" s="585"/>
      <c r="S117" s="585"/>
      <c r="T117" s="585"/>
      <c r="U117" s="585"/>
      <c r="V117" s="585"/>
      <c r="W117" s="585"/>
      <c r="X117" s="585"/>
      <c r="Y117" s="585"/>
      <c r="Z117" s="585"/>
      <c r="AA117" s="585"/>
      <c r="AB117" s="586"/>
      <c r="AC117" s="585"/>
      <c r="AD117" s="585"/>
      <c r="AE117" s="585"/>
      <c r="AF117" s="585"/>
      <c r="AG117" s="585"/>
      <c r="AH117" s="585"/>
      <c r="AI117" s="585"/>
      <c r="AJ117" s="585"/>
      <c r="AK117" s="585"/>
      <c r="AL117" s="585"/>
      <c r="AM117" s="585"/>
      <c r="AN117" s="585"/>
      <c r="AO117" s="585"/>
      <c r="AP117" s="585"/>
      <c r="AQ117" s="586"/>
      <c r="AR117" s="586"/>
      <c r="AS117" s="586"/>
      <c r="AT117" s="586"/>
      <c r="AU117" s="586"/>
      <c r="AV117" s="586"/>
      <c r="AW117" s="585"/>
      <c r="AX117" s="586"/>
      <c r="AY117" s="585"/>
      <c r="AZ117" s="585"/>
      <c r="BA117" s="585"/>
      <c r="BB117" s="585"/>
      <c r="BC117" s="586"/>
    </row>
    <row r="118">
      <c r="A118" s="585"/>
      <c r="B118" s="585"/>
      <c r="C118" s="585"/>
      <c r="D118" s="585"/>
      <c r="E118" s="585"/>
      <c r="F118" s="585"/>
      <c r="G118" s="585"/>
      <c r="H118" s="585"/>
      <c r="I118" s="585"/>
      <c r="J118" s="585"/>
      <c r="K118" s="585"/>
      <c r="L118" s="585"/>
      <c r="M118" s="586"/>
      <c r="N118" s="586"/>
      <c r="O118" s="585"/>
      <c r="P118" s="585"/>
      <c r="Q118" s="585"/>
      <c r="R118" s="585"/>
      <c r="S118" s="585"/>
      <c r="T118" s="585"/>
      <c r="U118" s="585"/>
      <c r="V118" s="585"/>
      <c r="W118" s="585"/>
      <c r="X118" s="585"/>
      <c r="Y118" s="585"/>
      <c r="Z118" s="585"/>
      <c r="AA118" s="585"/>
      <c r="AB118" s="586"/>
      <c r="AC118" s="585"/>
      <c r="AD118" s="585"/>
      <c r="AE118" s="585"/>
      <c r="AF118" s="585"/>
      <c r="AG118" s="585"/>
      <c r="AH118" s="585"/>
      <c r="AI118" s="585"/>
      <c r="AJ118" s="585"/>
      <c r="AK118" s="585"/>
      <c r="AL118" s="585"/>
      <c r="AM118" s="585"/>
      <c r="AN118" s="585"/>
      <c r="AO118" s="585"/>
      <c r="AP118" s="585"/>
      <c r="AQ118" s="586"/>
      <c r="AR118" s="586"/>
      <c r="AS118" s="586"/>
      <c r="AT118" s="586"/>
      <c r="AU118" s="586"/>
      <c r="AV118" s="586"/>
      <c r="AW118" s="585"/>
      <c r="AX118" s="586"/>
      <c r="AY118" s="585"/>
      <c r="AZ118" s="585"/>
      <c r="BA118" s="585"/>
      <c r="BB118" s="585"/>
      <c r="BC118" s="586"/>
    </row>
    <row r="119">
      <c r="A119" s="585"/>
      <c r="B119" s="585"/>
      <c r="C119" s="585"/>
      <c r="D119" s="585"/>
      <c r="E119" s="585"/>
      <c r="F119" s="585"/>
      <c r="G119" s="585"/>
      <c r="H119" s="585"/>
      <c r="I119" s="585"/>
      <c r="J119" s="585"/>
      <c r="K119" s="585"/>
      <c r="L119" s="585"/>
      <c r="M119" s="586"/>
      <c r="N119" s="586"/>
      <c r="O119" s="585"/>
      <c r="P119" s="585"/>
      <c r="Q119" s="585"/>
      <c r="R119" s="585"/>
      <c r="S119" s="585"/>
      <c r="T119" s="585"/>
      <c r="U119" s="585"/>
      <c r="V119" s="585"/>
      <c r="W119" s="585"/>
      <c r="X119" s="585"/>
      <c r="Y119" s="585"/>
      <c r="Z119" s="585"/>
      <c r="AA119" s="585"/>
      <c r="AB119" s="586"/>
      <c r="AC119" s="585"/>
      <c r="AD119" s="585"/>
      <c r="AE119" s="585"/>
      <c r="AF119" s="585"/>
      <c r="AG119" s="585"/>
      <c r="AH119" s="585"/>
      <c r="AI119" s="585"/>
      <c r="AJ119" s="585"/>
      <c r="AK119" s="585"/>
      <c r="AL119" s="585"/>
      <c r="AM119" s="585"/>
      <c r="AN119" s="585"/>
      <c r="AO119" s="585"/>
      <c r="AP119" s="585"/>
      <c r="AQ119" s="586"/>
      <c r="AR119" s="586"/>
      <c r="AS119" s="586"/>
      <c r="AT119" s="586"/>
      <c r="AU119" s="586"/>
      <c r="AV119" s="586"/>
      <c r="AW119" s="585"/>
      <c r="AX119" s="586"/>
      <c r="AY119" s="585"/>
      <c r="AZ119" s="585"/>
      <c r="BA119" s="585"/>
      <c r="BB119" s="585"/>
      <c r="BC119" s="586"/>
    </row>
    <row r="120">
      <c r="A120" s="585"/>
      <c r="B120" s="585"/>
      <c r="C120" s="585"/>
      <c r="D120" s="585"/>
      <c r="E120" s="585"/>
      <c r="F120" s="585"/>
      <c r="G120" s="585"/>
      <c r="H120" s="585"/>
      <c r="I120" s="585"/>
      <c r="J120" s="585"/>
      <c r="K120" s="585"/>
      <c r="L120" s="585"/>
      <c r="M120" s="586"/>
      <c r="N120" s="586"/>
      <c r="O120" s="585"/>
      <c r="P120" s="585"/>
      <c r="Q120" s="585"/>
      <c r="R120" s="585"/>
      <c r="S120" s="585"/>
      <c r="T120" s="585"/>
      <c r="U120" s="585"/>
      <c r="V120" s="585"/>
      <c r="W120" s="585"/>
      <c r="X120" s="585"/>
      <c r="Y120" s="585"/>
      <c r="Z120" s="585"/>
      <c r="AA120" s="585"/>
      <c r="AB120" s="586"/>
      <c r="AC120" s="585"/>
      <c r="AD120" s="585"/>
      <c r="AE120" s="585"/>
      <c r="AF120" s="585"/>
      <c r="AG120" s="585"/>
      <c r="AH120" s="585"/>
      <c r="AI120" s="585"/>
      <c r="AJ120" s="585"/>
      <c r="AK120" s="585"/>
      <c r="AL120" s="585"/>
      <c r="AM120" s="585"/>
      <c r="AN120" s="585"/>
      <c r="AO120" s="585"/>
      <c r="AP120" s="585"/>
      <c r="AQ120" s="586"/>
      <c r="AR120" s="586"/>
      <c r="AS120" s="586"/>
      <c r="AT120" s="586"/>
      <c r="AU120" s="586"/>
      <c r="AV120" s="586"/>
      <c r="AW120" s="585"/>
      <c r="AX120" s="586"/>
      <c r="AY120" s="585"/>
      <c r="AZ120" s="585"/>
      <c r="BA120" s="585"/>
      <c r="BB120" s="585"/>
      <c r="BC120" s="586"/>
    </row>
    <row r="121">
      <c r="A121" s="585"/>
      <c r="B121" s="585"/>
      <c r="C121" s="585"/>
      <c r="D121" s="585"/>
      <c r="E121" s="585"/>
      <c r="F121" s="585"/>
      <c r="G121" s="585"/>
      <c r="H121" s="585"/>
      <c r="I121" s="585"/>
      <c r="J121" s="585"/>
      <c r="K121" s="585"/>
      <c r="L121" s="585"/>
      <c r="M121" s="586"/>
      <c r="N121" s="586"/>
      <c r="O121" s="585"/>
      <c r="P121" s="585"/>
      <c r="Q121" s="585"/>
      <c r="R121" s="585"/>
      <c r="S121" s="585"/>
      <c r="T121" s="585"/>
      <c r="U121" s="585"/>
      <c r="V121" s="585"/>
      <c r="W121" s="585"/>
      <c r="X121" s="585"/>
      <c r="Y121" s="585"/>
      <c r="Z121" s="585"/>
      <c r="AA121" s="585"/>
      <c r="AB121" s="586"/>
      <c r="AC121" s="585"/>
      <c r="AD121" s="585"/>
      <c r="AE121" s="585"/>
      <c r="AF121" s="585"/>
      <c r="AG121" s="585"/>
      <c r="AH121" s="585"/>
      <c r="AI121" s="585"/>
      <c r="AJ121" s="585"/>
      <c r="AK121" s="585"/>
      <c r="AL121" s="585"/>
      <c r="AM121" s="585"/>
      <c r="AN121" s="585"/>
      <c r="AO121" s="585"/>
      <c r="AP121" s="585"/>
      <c r="AQ121" s="586"/>
      <c r="AR121" s="586"/>
      <c r="AS121" s="586"/>
      <c r="AT121" s="586"/>
      <c r="AU121" s="586"/>
      <c r="AV121" s="586"/>
      <c r="AW121" s="585"/>
      <c r="AX121" s="586"/>
      <c r="AY121" s="585"/>
      <c r="AZ121" s="585"/>
      <c r="BA121" s="585"/>
      <c r="BB121" s="585"/>
      <c r="BC121" s="586"/>
    </row>
    <row r="122">
      <c r="A122" s="585"/>
      <c r="B122" s="585"/>
      <c r="C122" s="585"/>
      <c r="D122" s="585"/>
      <c r="E122" s="585"/>
      <c r="F122" s="585"/>
      <c r="G122" s="585"/>
      <c r="H122" s="585"/>
      <c r="I122" s="585"/>
      <c r="J122" s="585"/>
      <c r="K122" s="585"/>
      <c r="L122" s="585"/>
      <c r="M122" s="586"/>
      <c r="N122" s="586"/>
      <c r="O122" s="585"/>
      <c r="P122" s="585"/>
      <c r="Q122" s="585"/>
      <c r="R122" s="585"/>
      <c r="S122" s="585"/>
      <c r="T122" s="585"/>
      <c r="U122" s="585"/>
      <c r="V122" s="585"/>
      <c r="W122" s="585"/>
      <c r="X122" s="585"/>
      <c r="Y122" s="585"/>
      <c r="Z122" s="585"/>
      <c r="AA122" s="585"/>
      <c r="AB122" s="586"/>
      <c r="AC122" s="585"/>
      <c r="AD122" s="585"/>
      <c r="AE122" s="585"/>
      <c r="AF122" s="585"/>
      <c r="AG122" s="585"/>
      <c r="AH122" s="585"/>
      <c r="AI122" s="585"/>
      <c r="AJ122" s="585"/>
      <c r="AK122" s="585"/>
      <c r="AL122" s="585"/>
      <c r="AM122" s="585"/>
      <c r="AN122" s="585"/>
      <c r="AO122" s="585"/>
      <c r="AP122" s="585"/>
      <c r="AQ122" s="586"/>
      <c r="AR122" s="586"/>
      <c r="AS122" s="586"/>
      <c r="AT122" s="586"/>
      <c r="AU122" s="586"/>
      <c r="AV122" s="586"/>
      <c r="AW122" s="585"/>
      <c r="AX122" s="586"/>
      <c r="AY122" s="585"/>
      <c r="AZ122" s="585"/>
      <c r="BA122" s="585"/>
      <c r="BB122" s="585"/>
      <c r="BC122" s="586"/>
    </row>
    <row r="123">
      <c r="A123" s="585"/>
      <c r="B123" s="585"/>
      <c r="C123" s="585"/>
      <c r="D123" s="585"/>
      <c r="E123" s="585"/>
      <c r="F123" s="585"/>
      <c r="G123" s="585"/>
      <c r="H123" s="585"/>
      <c r="I123" s="585"/>
      <c r="J123" s="585"/>
      <c r="K123" s="585"/>
      <c r="L123" s="585"/>
      <c r="M123" s="586"/>
      <c r="N123" s="586"/>
      <c r="O123" s="585"/>
      <c r="P123" s="585"/>
      <c r="Q123" s="585"/>
      <c r="R123" s="585"/>
      <c r="S123" s="585"/>
      <c r="T123" s="585"/>
      <c r="U123" s="585"/>
      <c r="V123" s="585"/>
      <c r="W123" s="585"/>
      <c r="X123" s="585"/>
      <c r="Y123" s="585"/>
      <c r="Z123" s="585"/>
      <c r="AA123" s="585"/>
      <c r="AB123" s="586"/>
      <c r="AC123" s="585"/>
      <c r="AD123" s="585"/>
      <c r="AE123" s="585"/>
      <c r="AF123" s="585"/>
      <c r="AG123" s="585"/>
      <c r="AH123" s="585"/>
      <c r="AI123" s="585"/>
      <c r="AJ123" s="585"/>
      <c r="AK123" s="585"/>
      <c r="AL123" s="585"/>
      <c r="AM123" s="585"/>
      <c r="AN123" s="585"/>
      <c r="AO123" s="585"/>
      <c r="AP123" s="585"/>
      <c r="AQ123" s="586"/>
      <c r="AR123" s="586"/>
      <c r="AS123" s="586"/>
      <c r="AT123" s="586"/>
      <c r="AU123" s="586"/>
      <c r="AV123" s="586"/>
      <c r="AW123" s="585"/>
      <c r="AX123" s="586"/>
      <c r="AY123" s="585"/>
      <c r="AZ123" s="585"/>
      <c r="BA123" s="585"/>
      <c r="BB123" s="585"/>
      <c r="BC123" s="586"/>
    </row>
    <row r="124">
      <c r="A124" s="585"/>
      <c r="B124" s="585"/>
      <c r="C124" s="585"/>
      <c r="D124" s="585"/>
      <c r="E124" s="585"/>
      <c r="F124" s="585"/>
      <c r="G124" s="585"/>
      <c r="H124" s="585"/>
      <c r="I124" s="585"/>
      <c r="J124" s="585"/>
      <c r="K124" s="585"/>
      <c r="L124" s="585"/>
      <c r="M124" s="586"/>
      <c r="N124" s="586"/>
      <c r="O124" s="585"/>
      <c r="P124" s="585"/>
      <c r="Q124" s="585"/>
      <c r="R124" s="585"/>
      <c r="S124" s="585"/>
      <c r="T124" s="585"/>
      <c r="U124" s="585"/>
      <c r="V124" s="585"/>
      <c r="W124" s="585"/>
      <c r="X124" s="585"/>
      <c r="Y124" s="585"/>
      <c r="Z124" s="585"/>
      <c r="AA124" s="585"/>
      <c r="AB124" s="586"/>
      <c r="AC124" s="585"/>
      <c r="AD124" s="585"/>
      <c r="AE124" s="585"/>
      <c r="AF124" s="585"/>
      <c r="AG124" s="585"/>
      <c r="AH124" s="585"/>
      <c r="AI124" s="585"/>
      <c r="AJ124" s="585"/>
      <c r="AK124" s="585"/>
      <c r="AL124" s="585"/>
      <c r="AM124" s="585"/>
      <c r="AN124" s="585"/>
      <c r="AO124" s="585"/>
      <c r="AP124" s="585"/>
      <c r="AQ124" s="586"/>
      <c r="AR124" s="586"/>
      <c r="AS124" s="586"/>
      <c r="AT124" s="586"/>
      <c r="AU124" s="586"/>
      <c r="AV124" s="586"/>
      <c r="AW124" s="585"/>
      <c r="AX124" s="586"/>
      <c r="AY124" s="585"/>
      <c r="AZ124" s="585"/>
      <c r="BA124" s="585"/>
      <c r="BB124" s="585"/>
      <c r="BC124" s="586"/>
    </row>
    <row r="125">
      <c r="A125" s="585"/>
      <c r="B125" s="585"/>
      <c r="C125" s="585"/>
      <c r="D125" s="585"/>
      <c r="E125" s="585"/>
      <c r="F125" s="585"/>
      <c r="G125" s="585"/>
      <c r="H125" s="585"/>
      <c r="I125" s="585"/>
      <c r="J125" s="585"/>
      <c r="K125" s="585"/>
      <c r="L125" s="585"/>
      <c r="M125" s="586"/>
      <c r="N125" s="586"/>
      <c r="O125" s="585"/>
      <c r="P125" s="585"/>
      <c r="Q125" s="585"/>
      <c r="R125" s="585"/>
      <c r="S125" s="585"/>
      <c r="T125" s="585"/>
      <c r="U125" s="585"/>
      <c r="V125" s="585"/>
      <c r="W125" s="585"/>
      <c r="X125" s="585"/>
      <c r="Y125" s="585"/>
      <c r="Z125" s="585"/>
      <c r="AA125" s="585"/>
      <c r="AB125" s="586"/>
      <c r="AC125" s="585"/>
      <c r="AD125" s="585"/>
      <c r="AE125" s="585"/>
      <c r="AF125" s="585"/>
      <c r="AG125" s="585"/>
      <c r="AH125" s="585"/>
      <c r="AI125" s="585"/>
      <c r="AJ125" s="585"/>
      <c r="AK125" s="585"/>
      <c r="AL125" s="585"/>
      <c r="AM125" s="585"/>
      <c r="AN125" s="585"/>
      <c r="AO125" s="585"/>
      <c r="AP125" s="585"/>
      <c r="AQ125" s="586"/>
      <c r="AR125" s="586"/>
      <c r="AS125" s="586"/>
      <c r="AT125" s="586"/>
      <c r="AU125" s="586"/>
      <c r="AV125" s="586"/>
      <c r="AW125" s="585"/>
      <c r="AX125" s="586"/>
      <c r="AY125" s="585"/>
      <c r="AZ125" s="585"/>
      <c r="BA125" s="585"/>
      <c r="BB125" s="585"/>
      <c r="BC125" s="586"/>
    </row>
    <row r="126">
      <c r="A126" s="585"/>
      <c r="B126" s="585"/>
      <c r="C126" s="585"/>
      <c r="D126" s="585"/>
      <c r="E126" s="585"/>
      <c r="F126" s="585"/>
      <c r="G126" s="585"/>
      <c r="H126" s="585"/>
      <c r="I126" s="585"/>
      <c r="J126" s="585"/>
      <c r="K126" s="585"/>
      <c r="L126" s="585"/>
      <c r="M126" s="586"/>
      <c r="N126" s="586"/>
      <c r="O126" s="585"/>
      <c r="P126" s="585"/>
      <c r="Q126" s="585"/>
      <c r="R126" s="585"/>
      <c r="S126" s="585"/>
      <c r="T126" s="585"/>
      <c r="U126" s="585"/>
      <c r="V126" s="585"/>
      <c r="W126" s="585"/>
      <c r="X126" s="585"/>
      <c r="Y126" s="585"/>
      <c r="Z126" s="585"/>
      <c r="AA126" s="585"/>
      <c r="AB126" s="586"/>
      <c r="AC126" s="585"/>
      <c r="AD126" s="585"/>
      <c r="AE126" s="585"/>
      <c r="AF126" s="585"/>
      <c r="AG126" s="585"/>
      <c r="AH126" s="585"/>
      <c r="AI126" s="585"/>
      <c r="AJ126" s="585"/>
      <c r="AK126" s="585"/>
      <c r="AL126" s="585"/>
      <c r="AM126" s="585"/>
      <c r="AN126" s="585"/>
      <c r="AO126" s="585"/>
      <c r="AP126" s="585"/>
      <c r="AQ126" s="586"/>
      <c r="AR126" s="586"/>
      <c r="AS126" s="586"/>
      <c r="AT126" s="586"/>
      <c r="AU126" s="586"/>
      <c r="AV126" s="586"/>
      <c r="AW126" s="585"/>
      <c r="AX126" s="586"/>
      <c r="AY126" s="585"/>
      <c r="AZ126" s="585"/>
      <c r="BA126" s="585"/>
      <c r="BB126" s="585"/>
      <c r="BC126" s="586"/>
    </row>
    <row r="127">
      <c r="A127" s="585"/>
      <c r="B127" s="585"/>
      <c r="C127" s="585"/>
      <c r="D127" s="585"/>
      <c r="E127" s="585"/>
      <c r="F127" s="585"/>
      <c r="G127" s="585"/>
      <c r="H127" s="585"/>
      <c r="I127" s="585"/>
      <c r="J127" s="585"/>
      <c r="K127" s="585"/>
      <c r="L127" s="585"/>
      <c r="M127" s="586"/>
      <c r="N127" s="586"/>
      <c r="O127" s="585"/>
      <c r="P127" s="585"/>
      <c r="Q127" s="585"/>
      <c r="R127" s="585"/>
      <c r="S127" s="585"/>
      <c r="T127" s="585"/>
      <c r="U127" s="585"/>
      <c r="V127" s="585"/>
      <c r="W127" s="585"/>
      <c r="X127" s="585"/>
      <c r="Y127" s="585"/>
      <c r="Z127" s="585"/>
      <c r="AA127" s="585"/>
      <c r="AB127" s="586"/>
      <c r="AC127" s="585"/>
      <c r="AD127" s="585"/>
      <c r="AE127" s="585"/>
      <c r="AF127" s="585"/>
      <c r="AG127" s="585"/>
      <c r="AH127" s="585"/>
      <c r="AI127" s="585"/>
      <c r="AJ127" s="585"/>
      <c r="AK127" s="585"/>
      <c r="AL127" s="585"/>
      <c r="AM127" s="585"/>
      <c r="AN127" s="585"/>
      <c r="AO127" s="585"/>
      <c r="AP127" s="585"/>
      <c r="AQ127" s="586"/>
      <c r="AR127" s="586"/>
      <c r="AS127" s="586"/>
      <c r="AT127" s="586"/>
      <c r="AU127" s="586"/>
      <c r="AV127" s="586"/>
      <c r="AW127" s="585"/>
      <c r="AX127" s="586"/>
      <c r="AY127" s="585"/>
      <c r="AZ127" s="585"/>
      <c r="BA127" s="585"/>
      <c r="BB127" s="585"/>
      <c r="BC127" s="586"/>
    </row>
    <row r="128">
      <c r="A128" s="585"/>
      <c r="B128" s="585"/>
      <c r="C128" s="585"/>
      <c r="D128" s="585"/>
      <c r="E128" s="585"/>
      <c r="F128" s="585"/>
      <c r="G128" s="585"/>
      <c r="H128" s="585"/>
      <c r="I128" s="585"/>
      <c r="J128" s="585"/>
      <c r="K128" s="585"/>
      <c r="L128" s="585"/>
      <c r="M128" s="586"/>
      <c r="N128" s="586"/>
      <c r="O128" s="585"/>
      <c r="P128" s="585"/>
      <c r="Q128" s="585"/>
      <c r="R128" s="585"/>
      <c r="S128" s="585"/>
      <c r="T128" s="585"/>
      <c r="U128" s="585"/>
      <c r="V128" s="585"/>
      <c r="W128" s="585"/>
      <c r="X128" s="585"/>
      <c r="Y128" s="585"/>
      <c r="Z128" s="585"/>
      <c r="AA128" s="585"/>
      <c r="AB128" s="586"/>
      <c r="AC128" s="585"/>
      <c r="AD128" s="585"/>
      <c r="AE128" s="585"/>
      <c r="AF128" s="585"/>
      <c r="AG128" s="585"/>
      <c r="AH128" s="585"/>
      <c r="AI128" s="585"/>
      <c r="AJ128" s="585"/>
      <c r="AK128" s="585"/>
      <c r="AL128" s="585"/>
      <c r="AM128" s="585"/>
      <c r="AN128" s="585"/>
      <c r="AO128" s="585"/>
      <c r="AP128" s="585"/>
      <c r="AQ128" s="586"/>
      <c r="AR128" s="586"/>
      <c r="AS128" s="586"/>
      <c r="AT128" s="586"/>
      <c r="AU128" s="586"/>
      <c r="AV128" s="586"/>
      <c r="AW128" s="585"/>
      <c r="AX128" s="586"/>
      <c r="AY128" s="585"/>
      <c r="AZ128" s="585"/>
      <c r="BA128" s="585"/>
      <c r="BB128" s="585"/>
      <c r="BC128" s="586"/>
    </row>
    <row r="129">
      <c r="A129" s="585"/>
      <c r="B129" s="585"/>
      <c r="C129" s="585"/>
      <c r="D129" s="585"/>
      <c r="E129" s="585"/>
      <c r="F129" s="585"/>
      <c r="G129" s="585"/>
      <c r="H129" s="585"/>
      <c r="I129" s="585"/>
      <c r="J129" s="585"/>
      <c r="K129" s="585"/>
      <c r="L129" s="585"/>
      <c r="M129" s="586"/>
      <c r="N129" s="586"/>
      <c r="O129" s="585"/>
      <c r="P129" s="585"/>
      <c r="Q129" s="585"/>
      <c r="R129" s="585"/>
      <c r="S129" s="585"/>
      <c r="T129" s="585"/>
      <c r="U129" s="585"/>
      <c r="V129" s="585"/>
      <c r="W129" s="585"/>
      <c r="X129" s="585"/>
      <c r="Y129" s="585"/>
      <c r="Z129" s="585"/>
      <c r="AA129" s="585"/>
      <c r="AB129" s="586"/>
      <c r="AC129" s="585"/>
      <c r="AD129" s="585"/>
      <c r="AE129" s="585"/>
      <c r="AF129" s="585"/>
      <c r="AG129" s="585"/>
      <c r="AH129" s="585"/>
      <c r="AI129" s="585"/>
      <c r="AJ129" s="585"/>
      <c r="AK129" s="585"/>
      <c r="AL129" s="585"/>
      <c r="AM129" s="585"/>
      <c r="AN129" s="585"/>
      <c r="AO129" s="585"/>
      <c r="AP129" s="585"/>
      <c r="AQ129" s="586"/>
      <c r="AR129" s="586"/>
      <c r="AS129" s="586"/>
      <c r="AT129" s="586"/>
      <c r="AU129" s="586"/>
      <c r="AV129" s="586"/>
      <c r="AW129" s="585"/>
      <c r="AX129" s="586"/>
      <c r="AY129" s="585"/>
      <c r="AZ129" s="585"/>
      <c r="BA129" s="585"/>
      <c r="BB129" s="585"/>
      <c r="BC129" s="586"/>
    </row>
    <row r="130">
      <c r="A130" s="585"/>
      <c r="B130" s="585"/>
      <c r="C130" s="585"/>
      <c r="D130" s="585"/>
      <c r="E130" s="585"/>
      <c r="F130" s="585"/>
      <c r="G130" s="585"/>
      <c r="H130" s="585"/>
      <c r="I130" s="585"/>
      <c r="J130" s="585"/>
      <c r="K130" s="585"/>
      <c r="L130" s="585"/>
      <c r="M130" s="586"/>
      <c r="N130" s="586"/>
      <c r="O130" s="585"/>
      <c r="P130" s="585"/>
      <c r="Q130" s="585"/>
      <c r="R130" s="585"/>
      <c r="S130" s="585"/>
      <c r="T130" s="585"/>
      <c r="U130" s="585"/>
      <c r="V130" s="585"/>
      <c r="W130" s="585"/>
      <c r="X130" s="585"/>
      <c r="Y130" s="585"/>
      <c r="Z130" s="585"/>
      <c r="AA130" s="585"/>
      <c r="AB130" s="586"/>
      <c r="AC130" s="585"/>
      <c r="AD130" s="585"/>
      <c r="AE130" s="585"/>
      <c r="AF130" s="585"/>
      <c r="AG130" s="585"/>
      <c r="AH130" s="585"/>
      <c r="AI130" s="585"/>
      <c r="AJ130" s="585"/>
      <c r="AK130" s="585"/>
      <c r="AL130" s="585"/>
      <c r="AM130" s="585"/>
      <c r="AN130" s="585"/>
      <c r="AO130" s="585"/>
      <c r="AP130" s="585"/>
      <c r="AQ130" s="586"/>
      <c r="AR130" s="586"/>
      <c r="AS130" s="586"/>
      <c r="AT130" s="586"/>
      <c r="AU130" s="586"/>
      <c r="AV130" s="586"/>
      <c r="AW130" s="585"/>
      <c r="AX130" s="586"/>
      <c r="AY130" s="585"/>
      <c r="AZ130" s="585"/>
      <c r="BA130" s="585"/>
      <c r="BB130" s="585"/>
      <c r="BC130" s="586"/>
    </row>
    <row r="131">
      <c r="A131" s="585"/>
      <c r="B131" s="585"/>
      <c r="C131" s="585"/>
      <c r="D131" s="585"/>
      <c r="E131" s="585"/>
      <c r="F131" s="585"/>
      <c r="G131" s="585"/>
      <c r="H131" s="585"/>
      <c r="I131" s="585"/>
      <c r="J131" s="585"/>
      <c r="K131" s="585"/>
      <c r="L131" s="585"/>
      <c r="M131" s="586"/>
      <c r="N131" s="586"/>
      <c r="O131" s="585"/>
      <c r="P131" s="585"/>
      <c r="Q131" s="585"/>
      <c r="R131" s="585"/>
      <c r="S131" s="585"/>
      <c r="T131" s="585"/>
      <c r="U131" s="585"/>
      <c r="V131" s="585"/>
      <c r="W131" s="585"/>
      <c r="X131" s="585"/>
      <c r="Y131" s="585"/>
      <c r="Z131" s="585"/>
      <c r="AA131" s="585"/>
      <c r="AB131" s="586"/>
      <c r="AC131" s="585"/>
      <c r="AD131" s="585"/>
      <c r="AE131" s="585"/>
      <c r="AF131" s="585"/>
      <c r="AG131" s="585"/>
      <c r="AH131" s="585"/>
      <c r="AI131" s="585"/>
      <c r="AJ131" s="585"/>
      <c r="AK131" s="585"/>
      <c r="AL131" s="585"/>
      <c r="AM131" s="585"/>
      <c r="AN131" s="585"/>
      <c r="AO131" s="585"/>
      <c r="AP131" s="585"/>
      <c r="AQ131" s="586"/>
      <c r="AR131" s="586"/>
      <c r="AS131" s="586"/>
      <c r="AT131" s="586"/>
      <c r="AU131" s="586"/>
      <c r="AV131" s="586"/>
      <c r="AW131" s="585"/>
      <c r="AX131" s="586"/>
      <c r="AY131" s="585"/>
      <c r="AZ131" s="585"/>
      <c r="BA131" s="585"/>
      <c r="BB131" s="585"/>
      <c r="BC131" s="586"/>
    </row>
    <row r="132">
      <c r="A132" s="585"/>
      <c r="B132" s="585"/>
      <c r="C132" s="585"/>
      <c r="D132" s="585"/>
      <c r="E132" s="585"/>
      <c r="F132" s="585"/>
      <c r="G132" s="585"/>
      <c r="H132" s="585"/>
      <c r="I132" s="585"/>
      <c r="J132" s="585"/>
      <c r="K132" s="585"/>
      <c r="L132" s="585"/>
      <c r="M132" s="586"/>
      <c r="N132" s="586"/>
      <c r="O132" s="585"/>
      <c r="P132" s="585"/>
      <c r="Q132" s="585"/>
      <c r="R132" s="585"/>
      <c r="S132" s="585"/>
      <c r="T132" s="585"/>
      <c r="U132" s="585"/>
      <c r="V132" s="585"/>
      <c r="W132" s="585"/>
      <c r="X132" s="585"/>
      <c r="Y132" s="585"/>
      <c r="Z132" s="585"/>
      <c r="AA132" s="585"/>
      <c r="AB132" s="586"/>
      <c r="AC132" s="585"/>
      <c r="AD132" s="585"/>
      <c r="AE132" s="585"/>
      <c r="AF132" s="585"/>
      <c r="AG132" s="585"/>
      <c r="AH132" s="585"/>
      <c r="AI132" s="585"/>
      <c r="AJ132" s="585"/>
      <c r="AK132" s="585"/>
      <c r="AL132" s="585"/>
      <c r="AM132" s="585"/>
      <c r="AN132" s="585"/>
      <c r="AO132" s="585"/>
      <c r="AP132" s="585"/>
      <c r="AQ132" s="586"/>
      <c r="AR132" s="586"/>
      <c r="AS132" s="586"/>
      <c r="AT132" s="586"/>
      <c r="AU132" s="586"/>
      <c r="AV132" s="586"/>
      <c r="AW132" s="585"/>
      <c r="AX132" s="586"/>
      <c r="AY132" s="585"/>
      <c r="AZ132" s="585"/>
      <c r="BA132" s="585"/>
      <c r="BB132" s="585"/>
      <c r="BC132" s="586"/>
    </row>
    <row r="133">
      <c r="A133" s="585"/>
      <c r="B133" s="585"/>
      <c r="C133" s="585"/>
      <c r="D133" s="585"/>
      <c r="E133" s="585"/>
      <c r="F133" s="585"/>
      <c r="G133" s="585"/>
      <c r="H133" s="585"/>
      <c r="I133" s="585"/>
      <c r="J133" s="585"/>
      <c r="K133" s="585"/>
      <c r="L133" s="585"/>
      <c r="M133" s="586"/>
      <c r="N133" s="586"/>
      <c r="O133" s="585"/>
      <c r="P133" s="585"/>
      <c r="Q133" s="585"/>
      <c r="R133" s="585"/>
      <c r="S133" s="585"/>
      <c r="T133" s="585"/>
      <c r="U133" s="585"/>
      <c r="V133" s="585"/>
      <c r="W133" s="585"/>
      <c r="X133" s="585"/>
      <c r="Y133" s="585"/>
      <c r="Z133" s="585"/>
      <c r="AA133" s="585"/>
      <c r="AB133" s="586"/>
      <c r="AC133" s="585"/>
      <c r="AD133" s="585"/>
      <c r="AE133" s="585"/>
      <c r="AF133" s="585"/>
      <c r="AG133" s="585"/>
      <c r="AH133" s="585"/>
      <c r="AI133" s="585"/>
      <c r="AJ133" s="585"/>
      <c r="AK133" s="585"/>
      <c r="AL133" s="585"/>
      <c r="AM133" s="585"/>
      <c r="AN133" s="585"/>
      <c r="AO133" s="585"/>
      <c r="AP133" s="585"/>
      <c r="AQ133" s="586"/>
      <c r="AR133" s="586"/>
      <c r="AS133" s="586"/>
      <c r="AT133" s="586"/>
      <c r="AU133" s="586"/>
      <c r="AV133" s="586"/>
      <c r="AW133" s="585"/>
      <c r="AX133" s="586"/>
      <c r="AY133" s="585"/>
      <c r="AZ133" s="585"/>
      <c r="BA133" s="585"/>
      <c r="BB133" s="585"/>
      <c r="BC133" s="586"/>
    </row>
    <row r="134">
      <c r="A134" s="585"/>
      <c r="B134" s="585"/>
      <c r="C134" s="585"/>
      <c r="D134" s="585"/>
      <c r="E134" s="585"/>
      <c r="F134" s="585"/>
      <c r="G134" s="585"/>
      <c r="H134" s="585"/>
      <c r="I134" s="585"/>
      <c r="J134" s="585"/>
      <c r="K134" s="585"/>
      <c r="L134" s="585"/>
      <c r="M134" s="586"/>
      <c r="N134" s="586"/>
      <c r="O134" s="585"/>
      <c r="P134" s="585"/>
      <c r="Q134" s="585"/>
      <c r="R134" s="585"/>
      <c r="S134" s="585"/>
      <c r="T134" s="585"/>
      <c r="U134" s="585"/>
      <c r="V134" s="585"/>
      <c r="W134" s="585"/>
      <c r="X134" s="585"/>
      <c r="Y134" s="585"/>
      <c r="Z134" s="585"/>
      <c r="AA134" s="585"/>
      <c r="AB134" s="586"/>
      <c r="AC134" s="585"/>
      <c r="AD134" s="585"/>
      <c r="AE134" s="585"/>
      <c r="AF134" s="585"/>
      <c r="AG134" s="585"/>
      <c r="AH134" s="585"/>
      <c r="AI134" s="585"/>
      <c r="AJ134" s="585"/>
      <c r="AK134" s="585"/>
      <c r="AL134" s="585"/>
      <c r="AM134" s="585"/>
      <c r="AN134" s="585"/>
      <c r="AO134" s="585"/>
      <c r="AP134" s="585"/>
      <c r="AQ134" s="586"/>
      <c r="AR134" s="586"/>
      <c r="AS134" s="586"/>
      <c r="AT134" s="586"/>
      <c r="AU134" s="586"/>
      <c r="AV134" s="586"/>
      <c r="AW134" s="585"/>
      <c r="AX134" s="586"/>
      <c r="AY134" s="585"/>
      <c r="AZ134" s="585"/>
      <c r="BA134" s="585"/>
      <c r="BB134" s="585"/>
      <c r="BC134" s="586"/>
    </row>
    <row r="135">
      <c r="A135" s="585"/>
      <c r="B135" s="585"/>
      <c r="C135" s="585"/>
      <c r="D135" s="585"/>
      <c r="E135" s="585"/>
      <c r="F135" s="585"/>
      <c r="G135" s="585"/>
      <c r="H135" s="585"/>
      <c r="I135" s="585"/>
      <c r="J135" s="585"/>
      <c r="K135" s="585"/>
      <c r="L135" s="585"/>
      <c r="M135" s="586"/>
      <c r="N135" s="586"/>
      <c r="O135" s="585"/>
      <c r="P135" s="585"/>
      <c r="Q135" s="585"/>
      <c r="R135" s="585"/>
      <c r="S135" s="585"/>
      <c r="T135" s="585"/>
      <c r="U135" s="585"/>
      <c r="V135" s="585"/>
      <c r="W135" s="585"/>
      <c r="X135" s="585"/>
      <c r="Y135" s="585"/>
      <c r="Z135" s="585"/>
      <c r="AA135" s="585"/>
      <c r="AB135" s="586"/>
      <c r="AC135" s="585"/>
      <c r="AD135" s="585"/>
      <c r="AE135" s="585"/>
      <c r="AF135" s="585"/>
      <c r="AG135" s="585"/>
      <c r="AH135" s="585"/>
      <c r="AI135" s="585"/>
      <c r="AJ135" s="585"/>
      <c r="AK135" s="585"/>
      <c r="AL135" s="585"/>
      <c r="AM135" s="585"/>
      <c r="AN135" s="585"/>
      <c r="AO135" s="585"/>
      <c r="AP135" s="585"/>
      <c r="AQ135" s="586"/>
      <c r="AR135" s="586"/>
      <c r="AS135" s="586"/>
      <c r="AT135" s="586"/>
      <c r="AU135" s="586"/>
      <c r="AV135" s="586"/>
      <c r="AW135" s="585"/>
      <c r="AX135" s="586"/>
      <c r="AY135" s="585"/>
      <c r="AZ135" s="585"/>
      <c r="BA135" s="585"/>
      <c r="BB135" s="585"/>
      <c r="BC135" s="586"/>
    </row>
    <row r="136">
      <c r="A136" s="585"/>
      <c r="B136" s="585"/>
      <c r="C136" s="585"/>
      <c r="D136" s="585"/>
      <c r="E136" s="585"/>
      <c r="F136" s="585"/>
      <c r="G136" s="585"/>
      <c r="H136" s="585"/>
      <c r="I136" s="585"/>
      <c r="J136" s="585"/>
      <c r="K136" s="585"/>
      <c r="L136" s="585"/>
      <c r="M136" s="586"/>
      <c r="N136" s="586"/>
      <c r="O136" s="585"/>
      <c r="P136" s="585"/>
      <c r="Q136" s="585"/>
      <c r="R136" s="585"/>
      <c r="S136" s="585"/>
      <c r="T136" s="585"/>
      <c r="U136" s="585"/>
      <c r="V136" s="585"/>
      <c r="W136" s="585"/>
      <c r="X136" s="585"/>
      <c r="Y136" s="585"/>
      <c r="Z136" s="585"/>
      <c r="AA136" s="585"/>
      <c r="AB136" s="586"/>
      <c r="AC136" s="585"/>
      <c r="AD136" s="585"/>
      <c r="AE136" s="585"/>
      <c r="AF136" s="585"/>
      <c r="AG136" s="585"/>
      <c r="AH136" s="585"/>
      <c r="AI136" s="585"/>
      <c r="AJ136" s="585"/>
      <c r="AK136" s="585"/>
      <c r="AL136" s="585"/>
      <c r="AM136" s="585"/>
      <c r="AN136" s="585"/>
      <c r="AO136" s="585"/>
      <c r="AP136" s="585"/>
      <c r="AQ136" s="586"/>
      <c r="AR136" s="586"/>
      <c r="AS136" s="586"/>
      <c r="AT136" s="586"/>
      <c r="AU136" s="586"/>
      <c r="AV136" s="586"/>
      <c r="AW136" s="585"/>
      <c r="AX136" s="586"/>
      <c r="AY136" s="585"/>
      <c r="AZ136" s="585"/>
      <c r="BA136" s="585"/>
      <c r="BB136" s="585"/>
      <c r="BC136" s="586"/>
    </row>
    <row r="137">
      <c r="A137" s="585"/>
      <c r="B137" s="585"/>
      <c r="C137" s="585"/>
      <c r="D137" s="585"/>
      <c r="E137" s="585"/>
      <c r="F137" s="585"/>
      <c r="G137" s="585"/>
      <c r="H137" s="585"/>
      <c r="I137" s="585"/>
      <c r="J137" s="585"/>
      <c r="K137" s="585"/>
      <c r="L137" s="585"/>
      <c r="M137" s="586"/>
      <c r="N137" s="586"/>
      <c r="O137" s="585"/>
      <c r="P137" s="585"/>
      <c r="Q137" s="585"/>
      <c r="R137" s="585"/>
      <c r="S137" s="585"/>
      <c r="T137" s="585"/>
      <c r="U137" s="585"/>
      <c r="V137" s="585"/>
      <c r="W137" s="585"/>
      <c r="X137" s="585"/>
      <c r="Y137" s="585"/>
      <c r="Z137" s="585"/>
      <c r="AA137" s="585"/>
      <c r="AB137" s="586"/>
      <c r="AC137" s="585"/>
      <c r="AD137" s="585"/>
      <c r="AE137" s="585"/>
      <c r="AF137" s="585"/>
      <c r="AG137" s="585"/>
      <c r="AH137" s="585"/>
      <c r="AI137" s="585"/>
      <c r="AJ137" s="585"/>
      <c r="AK137" s="585"/>
      <c r="AL137" s="585"/>
      <c r="AM137" s="585"/>
      <c r="AN137" s="585"/>
      <c r="AO137" s="585"/>
      <c r="AP137" s="585"/>
      <c r="AQ137" s="586"/>
      <c r="AR137" s="586"/>
      <c r="AS137" s="586"/>
      <c r="AT137" s="586"/>
      <c r="AU137" s="586"/>
      <c r="AV137" s="586"/>
      <c r="AW137" s="585"/>
      <c r="AX137" s="586"/>
      <c r="AY137" s="585"/>
      <c r="AZ137" s="585"/>
      <c r="BA137" s="585"/>
      <c r="BB137" s="585"/>
      <c r="BC137" s="586"/>
    </row>
    <row r="138">
      <c r="A138" s="585"/>
      <c r="B138" s="585"/>
      <c r="C138" s="585"/>
      <c r="D138" s="585"/>
      <c r="E138" s="585"/>
      <c r="F138" s="585"/>
      <c r="G138" s="585"/>
      <c r="H138" s="585"/>
      <c r="I138" s="585"/>
      <c r="J138" s="585"/>
      <c r="K138" s="585"/>
      <c r="L138" s="585"/>
      <c r="M138" s="586"/>
      <c r="N138" s="586"/>
      <c r="O138" s="585"/>
      <c r="P138" s="585"/>
      <c r="Q138" s="585"/>
      <c r="R138" s="585"/>
      <c r="S138" s="585"/>
      <c r="T138" s="585"/>
      <c r="U138" s="585"/>
      <c r="V138" s="585"/>
      <c r="W138" s="585"/>
      <c r="X138" s="585"/>
      <c r="Y138" s="585"/>
      <c r="Z138" s="585"/>
      <c r="AA138" s="585"/>
      <c r="AB138" s="586"/>
      <c r="AC138" s="585"/>
      <c r="AD138" s="585"/>
      <c r="AE138" s="585"/>
      <c r="AF138" s="585"/>
      <c r="AG138" s="585"/>
      <c r="AH138" s="585"/>
      <c r="AI138" s="585"/>
      <c r="AJ138" s="585"/>
      <c r="AK138" s="585"/>
      <c r="AL138" s="585"/>
      <c r="AM138" s="585"/>
      <c r="AN138" s="585"/>
      <c r="AO138" s="585"/>
      <c r="AP138" s="585"/>
      <c r="AQ138" s="586"/>
      <c r="AR138" s="586"/>
      <c r="AS138" s="586"/>
      <c r="AT138" s="586"/>
      <c r="AU138" s="586"/>
      <c r="AV138" s="586"/>
      <c r="AW138" s="585"/>
      <c r="AX138" s="586"/>
      <c r="AY138" s="585"/>
      <c r="AZ138" s="585"/>
      <c r="BA138" s="585"/>
      <c r="BB138" s="585"/>
      <c r="BC138" s="586"/>
    </row>
    <row r="139">
      <c r="A139" s="585"/>
      <c r="B139" s="585"/>
      <c r="C139" s="585"/>
      <c r="D139" s="585"/>
      <c r="E139" s="585"/>
      <c r="F139" s="585"/>
      <c r="G139" s="585"/>
      <c r="H139" s="585"/>
      <c r="I139" s="585"/>
      <c r="J139" s="585"/>
      <c r="K139" s="585"/>
      <c r="L139" s="585"/>
      <c r="M139" s="586"/>
      <c r="N139" s="586"/>
      <c r="O139" s="585"/>
      <c r="P139" s="585"/>
      <c r="Q139" s="585"/>
      <c r="R139" s="585"/>
      <c r="S139" s="585"/>
      <c r="T139" s="585"/>
      <c r="U139" s="585"/>
      <c r="V139" s="585"/>
      <c r="W139" s="585"/>
      <c r="X139" s="585"/>
      <c r="Y139" s="585"/>
      <c r="Z139" s="585"/>
      <c r="AA139" s="585"/>
      <c r="AB139" s="586"/>
      <c r="AC139" s="585"/>
      <c r="AD139" s="585"/>
      <c r="AE139" s="585"/>
      <c r="AF139" s="585"/>
      <c r="AG139" s="585"/>
      <c r="AH139" s="585"/>
      <c r="AI139" s="585"/>
      <c r="AJ139" s="585"/>
      <c r="AK139" s="585"/>
      <c r="AL139" s="585"/>
      <c r="AM139" s="585"/>
      <c r="AN139" s="585"/>
      <c r="AO139" s="585"/>
      <c r="AP139" s="585"/>
      <c r="AQ139" s="586"/>
      <c r="AR139" s="586"/>
      <c r="AS139" s="586"/>
      <c r="AT139" s="586"/>
      <c r="AU139" s="586"/>
      <c r="AV139" s="586"/>
      <c r="AW139" s="585"/>
      <c r="AX139" s="586"/>
      <c r="AY139" s="585"/>
      <c r="AZ139" s="585"/>
      <c r="BA139" s="585"/>
      <c r="BB139" s="585"/>
      <c r="BC139" s="586"/>
    </row>
    <row r="140">
      <c r="A140" s="585"/>
      <c r="B140" s="585"/>
      <c r="C140" s="585"/>
      <c r="D140" s="585"/>
      <c r="E140" s="585"/>
      <c r="F140" s="585"/>
      <c r="G140" s="585"/>
      <c r="H140" s="585"/>
      <c r="I140" s="585"/>
      <c r="J140" s="585"/>
      <c r="K140" s="585"/>
      <c r="L140" s="585"/>
      <c r="M140" s="586"/>
      <c r="N140" s="586"/>
      <c r="O140" s="585"/>
      <c r="P140" s="585"/>
      <c r="Q140" s="585"/>
      <c r="R140" s="585"/>
      <c r="S140" s="585"/>
      <c r="T140" s="585"/>
      <c r="U140" s="585"/>
      <c r="V140" s="585"/>
      <c r="W140" s="585"/>
      <c r="X140" s="585"/>
      <c r="Y140" s="585"/>
      <c r="Z140" s="585"/>
      <c r="AA140" s="585"/>
      <c r="AB140" s="586"/>
      <c r="AC140" s="585"/>
      <c r="AD140" s="585"/>
      <c r="AE140" s="585"/>
      <c r="AF140" s="585"/>
      <c r="AG140" s="585"/>
      <c r="AH140" s="585"/>
      <c r="AI140" s="585"/>
      <c r="AJ140" s="585"/>
      <c r="AK140" s="585"/>
      <c r="AL140" s="585"/>
      <c r="AM140" s="585"/>
      <c r="AN140" s="585"/>
      <c r="AO140" s="585"/>
      <c r="AP140" s="585"/>
      <c r="AQ140" s="586"/>
      <c r="AR140" s="586"/>
      <c r="AS140" s="586"/>
      <c r="AT140" s="586"/>
      <c r="AU140" s="586"/>
      <c r="AV140" s="586"/>
      <c r="AW140" s="585"/>
      <c r="AX140" s="586"/>
      <c r="AY140" s="585"/>
      <c r="AZ140" s="585"/>
      <c r="BA140" s="585"/>
      <c r="BB140" s="585"/>
      <c r="BC140" s="586"/>
    </row>
    <row r="141">
      <c r="A141" s="585"/>
      <c r="B141" s="585"/>
      <c r="C141" s="585"/>
      <c r="D141" s="585"/>
      <c r="E141" s="585"/>
      <c r="F141" s="585"/>
      <c r="G141" s="585"/>
      <c r="H141" s="585"/>
      <c r="I141" s="585"/>
      <c r="J141" s="585"/>
      <c r="K141" s="585"/>
      <c r="L141" s="585"/>
      <c r="M141" s="586"/>
      <c r="N141" s="586"/>
      <c r="O141" s="585"/>
      <c r="P141" s="585"/>
      <c r="Q141" s="585"/>
      <c r="R141" s="585"/>
      <c r="S141" s="585"/>
      <c r="T141" s="585"/>
      <c r="U141" s="585"/>
      <c r="V141" s="585"/>
      <c r="W141" s="585"/>
      <c r="X141" s="585"/>
      <c r="Y141" s="585"/>
      <c r="Z141" s="585"/>
      <c r="AA141" s="585"/>
      <c r="AB141" s="586"/>
      <c r="AC141" s="585"/>
      <c r="AD141" s="585"/>
      <c r="AE141" s="585"/>
      <c r="AF141" s="585"/>
      <c r="AG141" s="585"/>
      <c r="AH141" s="585"/>
      <c r="AI141" s="585"/>
      <c r="AJ141" s="585"/>
      <c r="AK141" s="585"/>
      <c r="AL141" s="585"/>
      <c r="AM141" s="585"/>
      <c r="AN141" s="585"/>
      <c r="AO141" s="585"/>
      <c r="AP141" s="585"/>
      <c r="AQ141" s="586"/>
      <c r="AR141" s="586"/>
      <c r="AS141" s="586"/>
      <c r="AT141" s="586"/>
      <c r="AU141" s="586"/>
      <c r="AV141" s="586"/>
      <c r="AW141" s="585"/>
      <c r="AX141" s="586"/>
      <c r="AY141" s="585"/>
      <c r="AZ141" s="585"/>
      <c r="BA141" s="585"/>
      <c r="BB141" s="585"/>
      <c r="BC141" s="586"/>
    </row>
    <row r="142">
      <c r="A142" s="585"/>
      <c r="B142" s="585"/>
      <c r="C142" s="585"/>
      <c r="D142" s="585"/>
      <c r="E142" s="585"/>
      <c r="F142" s="585"/>
      <c r="G142" s="585"/>
      <c r="H142" s="585"/>
      <c r="I142" s="585"/>
      <c r="J142" s="585"/>
      <c r="K142" s="585"/>
      <c r="L142" s="585"/>
      <c r="M142" s="586"/>
      <c r="N142" s="586"/>
      <c r="O142" s="585"/>
      <c r="P142" s="585"/>
      <c r="Q142" s="585"/>
      <c r="R142" s="585"/>
      <c r="S142" s="585"/>
      <c r="T142" s="585"/>
      <c r="U142" s="585"/>
      <c r="V142" s="585"/>
      <c r="W142" s="585"/>
      <c r="X142" s="585"/>
      <c r="Y142" s="585"/>
      <c r="Z142" s="585"/>
      <c r="AA142" s="585"/>
      <c r="AB142" s="586"/>
      <c r="AC142" s="585"/>
      <c r="AD142" s="585"/>
      <c r="AE142" s="585"/>
      <c r="AF142" s="585"/>
      <c r="AG142" s="585"/>
      <c r="AH142" s="585"/>
      <c r="AI142" s="585"/>
      <c r="AJ142" s="585"/>
      <c r="AK142" s="585"/>
      <c r="AL142" s="585"/>
      <c r="AM142" s="585"/>
      <c r="AN142" s="585"/>
      <c r="AO142" s="585"/>
      <c r="AP142" s="585"/>
      <c r="AQ142" s="586"/>
      <c r="AR142" s="586"/>
      <c r="AS142" s="586"/>
      <c r="AT142" s="586"/>
      <c r="AU142" s="586"/>
      <c r="AV142" s="586"/>
      <c r="AW142" s="585"/>
      <c r="AX142" s="586"/>
      <c r="AY142" s="585"/>
      <c r="AZ142" s="585"/>
      <c r="BA142" s="585"/>
      <c r="BB142" s="585"/>
      <c r="BC142" s="586"/>
    </row>
    <row r="143">
      <c r="A143" s="585"/>
      <c r="B143" s="585"/>
      <c r="C143" s="585"/>
      <c r="D143" s="585"/>
      <c r="E143" s="585"/>
      <c r="F143" s="585"/>
      <c r="G143" s="585"/>
      <c r="H143" s="585"/>
      <c r="I143" s="585"/>
      <c r="J143" s="585"/>
      <c r="K143" s="585"/>
      <c r="L143" s="585"/>
      <c r="M143" s="586"/>
      <c r="N143" s="586"/>
      <c r="O143" s="585"/>
      <c r="P143" s="585"/>
      <c r="Q143" s="585"/>
      <c r="R143" s="585"/>
      <c r="S143" s="585"/>
      <c r="T143" s="585"/>
      <c r="U143" s="585"/>
      <c r="V143" s="585"/>
      <c r="W143" s="585"/>
      <c r="X143" s="585"/>
      <c r="Y143" s="585"/>
      <c r="Z143" s="585"/>
      <c r="AA143" s="585"/>
      <c r="AB143" s="586"/>
      <c r="AC143" s="585"/>
      <c r="AD143" s="585"/>
      <c r="AE143" s="585"/>
      <c r="AF143" s="585"/>
      <c r="AG143" s="585"/>
      <c r="AH143" s="585"/>
      <c r="AI143" s="585"/>
      <c r="AJ143" s="585"/>
      <c r="AK143" s="585"/>
      <c r="AL143" s="585"/>
      <c r="AM143" s="585"/>
      <c r="AN143" s="585"/>
      <c r="AO143" s="585"/>
      <c r="AP143" s="585"/>
      <c r="AQ143" s="586"/>
      <c r="AR143" s="586"/>
      <c r="AS143" s="586"/>
      <c r="AT143" s="586"/>
      <c r="AU143" s="586"/>
      <c r="AV143" s="586"/>
      <c r="AW143" s="585"/>
      <c r="AX143" s="586"/>
      <c r="AY143" s="585"/>
      <c r="AZ143" s="585"/>
      <c r="BA143" s="585"/>
      <c r="BB143" s="585"/>
      <c r="BC143" s="586"/>
    </row>
    <row r="144">
      <c r="A144" s="585"/>
      <c r="B144" s="585"/>
      <c r="C144" s="585"/>
      <c r="D144" s="585"/>
      <c r="E144" s="585"/>
      <c r="F144" s="585"/>
      <c r="G144" s="585"/>
      <c r="H144" s="585"/>
      <c r="I144" s="585"/>
      <c r="J144" s="585"/>
      <c r="K144" s="585"/>
      <c r="L144" s="585"/>
      <c r="M144" s="586"/>
      <c r="N144" s="586"/>
      <c r="O144" s="585"/>
      <c r="P144" s="585"/>
      <c r="Q144" s="585"/>
      <c r="R144" s="585"/>
      <c r="S144" s="585"/>
      <c r="T144" s="585"/>
      <c r="U144" s="585"/>
      <c r="V144" s="585"/>
      <c r="W144" s="585"/>
      <c r="X144" s="585"/>
      <c r="Y144" s="585"/>
      <c r="Z144" s="585"/>
      <c r="AA144" s="585"/>
      <c r="AB144" s="586"/>
      <c r="AC144" s="585"/>
      <c r="AD144" s="585"/>
      <c r="AE144" s="585"/>
      <c r="AF144" s="585"/>
      <c r="AG144" s="585"/>
      <c r="AH144" s="585"/>
      <c r="AI144" s="585"/>
      <c r="AJ144" s="585"/>
      <c r="AK144" s="585"/>
      <c r="AL144" s="585"/>
      <c r="AM144" s="585"/>
      <c r="AN144" s="585"/>
      <c r="AO144" s="585"/>
      <c r="AP144" s="585"/>
      <c r="AQ144" s="586"/>
      <c r="AR144" s="586"/>
      <c r="AS144" s="586"/>
      <c r="AT144" s="586"/>
      <c r="AU144" s="586"/>
      <c r="AV144" s="586"/>
      <c r="AW144" s="585"/>
      <c r="AX144" s="586"/>
      <c r="AY144" s="585"/>
      <c r="AZ144" s="585"/>
      <c r="BA144" s="585"/>
      <c r="BB144" s="585"/>
      <c r="BC144" s="586"/>
    </row>
    <row r="145">
      <c r="A145" s="585"/>
      <c r="B145" s="585"/>
      <c r="C145" s="585"/>
      <c r="D145" s="585"/>
      <c r="E145" s="585"/>
      <c r="F145" s="585"/>
      <c r="G145" s="585"/>
      <c r="H145" s="585"/>
      <c r="I145" s="585"/>
      <c r="J145" s="585"/>
      <c r="K145" s="585"/>
      <c r="L145" s="585"/>
      <c r="M145" s="586"/>
      <c r="N145" s="586"/>
      <c r="O145" s="585"/>
      <c r="P145" s="585"/>
      <c r="Q145" s="585"/>
      <c r="R145" s="585"/>
      <c r="S145" s="585"/>
      <c r="T145" s="585"/>
      <c r="U145" s="585"/>
      <c r="V145" s="585"/>
      <c r="W145" s="585"/>
      <c r="X145" s="585"/>
      <c r="Y145" s="585"/>
      <c r="Z145" s="585"/>
      <c r="AA145" s="585"/>
      <c r="AB145" s="586"/>
      <c r="AC145" s="585"/>
      <c r="AD145" s="585"/>
      <c r="AE145" s="585"/>
      <c r="AF145" s="585"/>
      <c r="AG145" s="585"/>
      <c r="AH145" s="585"/>
      <c r="AI145" s="585"/>
      <c r="AJ145" s="585"/>
      <c r="AK145" s="585"/>
      <c r="AL145" s="585"/>
      <c r="AM145" s="585"/>
      <c r="AN145" s="585"/>
      <c r="AO145" s="585"/>
      <c r="AP145" s="585"/>
      <c r="AQ145" s="586"/>
      <c r="AR145" s="586"/>
      <c r="AS145" s="586"/>
      <c r="AT145" s="586"/>
      <c r="AU145" s="586"/>
      <c r="AV145" s="586"/>
      <c r="AW145" s="585"/>
      <c r="AX145" s="586"/>
      <c r="AY145" s="585"/>
      <c r="AZ145" s="585"/>
      <c r="BA145" s="585"/>
      <c r="BB145" s="585"/>
      <c r="BC145" s="586"/>
    </row>
    <row r="146">
      <c r="A146" s="585"/>
      <c r="B146" s="585"/>
      <c r="C146" s="585"/>
      <c r="D146" s="585"/>
      <c r="E146" s="585"/>
      <c r="F146" s="585"/>
      <c r="G146" s="585"/>
      <c r="H146" s="585"/>
      <c r="I146" s="585"/>
      <c r="J146" s="585"/>
      <c r="K146" s="585"/>
      <c r="L146" s="585"/>
      <c r="M146" s="586"/>
      <c r="N146" s="586"/>
      <c r="O146" s="585"/>
      <c r="P146" s="585"/>
      <c r="Q146" s="585"/>
      <c r="R146" s="585"/>
      <c r="S146" s="585"/>
      <c r="T146" s="585"/>
      <c r="U146" s="585"/>
      <c r="V146" s="585"/>
      <c r="W146" s="585"/>
      <c r="X146" s="585"/>
      <c r="Y146" s="585"/>
      <c r="Z146" s="585"/>
      <c r="AA146" s="585"/>
      <c r="AB146" s="586"/>
      <c r="AC146" s="585"/>
      <c r="AD146" s="585"/>
      <c r="AE146" s="585"/>
      <c r="AF146" s="585"/>
      <c r="AG146" s="585"/>
      <c r="AH146" s="585"/>
      <c r="AI146" s="585"/>
      <c r="AJ146" s="585"/>
      <c r="AK146" s="585"/>
      <c r="AL146" s="585"/>
      <c r="AM146" s="585"/>
      <c r="AN146" s="585"/>
      <c r="AO146" s="585"/>
      <c r="AP146" s="585"/>
      <c r="AQ146" s="586"/>
      <c r="AR146" s="586"/>
      <c r="AS146" s="586"/>
      <c r="AT146" s="586"/>
      <c r="AU146" s="586"/>
      <c r="AV146" s="586"/>
      <c r="AW146" s="585"/>
      <c r="AX146" s="586"/>
      <c r="AY146" s="585"/>
      <c r="AZ146" s="585"/>
      <c r="BA146" s="585"/>
      <c r="BB146" s="585"/>
      <c r="BC146" s="586"/>
    </row>
    <row r="147">
      <c r="A147" s="585"/>
      <c r="B147" s="585"/>
      <c r="C147" s="585"/>
      <c r="D147" s="585"/>
      <c r="E147" s="585"/>
      <c r="F147" s="585"/>
      <c r="G147" s="585"/>
      <c r="H147" s="585"/>
      <c r="I147" s="585"/>
      <c r="J147" s="585"/>
      <c r="K147" s="585"/>
      <c r="L147" s="585"/>
      <c r="M147" s="586"/>
      <c r="N147" s="586"/>
      <c r="O147" s="585"/>
      <c r="P147" s="585"/>
      <c r="Q147" s="585"/>
      <c r="R147" s="585"/>
      <c r="S147" s="585"/>
      <c r="T147" s="585"/>
      <c r="U147" s="585"/>
      <c r="V147" s="585"/>
      <c r="W147" s="585"/>
      <c r="X147" s="585"/>
      <c r="Y147" s="585"/>
      <c r="Z147" s="585"/>
      <c r="AA147" s="585"/>
      <c r="AB147" s="586"/>
      <c r="AC147" s="585"/>
      <c r="AD147" s="585"/>
      <c r="AE147" s="585"/>
      <c r="AF147" s="585"/>
      <c r="AG147" s="585"/>
      <c r="AH147" s="585"/>
      <c r="AI147" s="585"/>
      <c r="AJ147" s="585"/>
      <c r="AK147" s="585"/>
      <c r="AL147" s="585"/>
      <c r="AM147" s="585"/>
      <c r="AN147" s="585"/>
      <c r="AO147" s="585"/>
      <c r="AP147" s="585"/>
      <c r="AQ147" s="586"/>
      <c r="AR147" s="586"/>
      <c r="AS147" s="586"/>
      <c r="AT147" s="586"/>
      <c r="AU147" s="586"/>
      <c r="AV147" s="586"/>
      <c r="AW147" s="585"/>
      <c r="AX147" s="586"/>
      <c r="AY147" s="585"/>
      <c r="AZ147" s="585"/>
      <c r="BA147" s="585"/>
      <c r="BB147" s="585"/>
      <c r="BC147" s="586"/>
    </row>
    <row r="148">
      <c r="A148" s="585"/>
      <c r="B148" s="585"/>
      <c r="C148" s="585"/>
      <c r="D148" s="585"/>
      <c r="E148" s="585"/>
      <c r="F148" s="585"/>
      <c r="G148" s="585"/>
      <c r="H148" s="585"/>
      <c r="I148" s="585"/>
      <c r="J148" s="585"/>
      <c r="K148" s="585"/>
      <c r="L148" s="585"/>
      <c r="M148" s="586"/>
      <c r="N148" s="586"/>
      <c r="O148" s="585"/>
      <c r="P148" s="585"/>
      <c r="Q148" s="585"/>
      <c r="R148" s="585"/>
      <c r="S148" s="585"/>
      <c r="T148" s="585"/>
      <c r="U148" s="585"/>
      <c r="V148" s="585"/>
      <c r="W148" s="585"/>
      <c r="X148" s="585"/>
      <c r="Y148" s="585"/>
      <c r="Z148" s="585"/>
      <c r="AA148" s="585"/>
      <c r="AB148" s="586"/>
      <c r="AC148" s="585"/>
      <c r="AD148" s="585"/>
      <c r="AE148" s="585"/>
      <c r="AF148" s="585"/>
      <c r="AG148" s="585"/>
      <c r="AH148" s="585"/>
      <c r="AI148" s="585"/>
      <c r="AJ148" s="585"/>
      <c r="AK148" s="585"/>
      <c r="AL148" s="585"/>
      <c r="AM148" s="585"/>
      <c r="AN148" s="585"/>
      <c r="AO148" s="585"/>
      <c r="AP148" s="585"/>
      <c r="AQ148" s="586"/>
      <c r="AR148" s="586"/>
      <c r="AS148" s="586"/>
      <c r="AT148" s="586"/>
      <c r="AU148" s="586"/>
      <c r="AV148" s="586"/>
      <c r="AW148" s="585"/>
      <c r="AX148" s="586"/>
      <c r="AY148" s="585"/>
      <c r="AZ148" s="585"/>
      <c r="BA148" s="585"/>
      <c r="BB148" s="585"/>
      <c r="BC148" s="586"/>
    </row>
    <row r="149">
      <c r="A149" s="585"/>
      <c r="B149" s="585"/>
      <c r="C149" s="585"/>
      <c r="D149" s="585"/>
      <c r="E149" s="585"/>
      <c r="F149" s="585"/>
      <c r="G149" s="585"/>
      <c r="H149" s="585"/>
      <c r="I149" s="585"/>
      <c r="J149" s="585"/>
      <c r="K149" s="585"/>
      <c r="L149" s="585"/>
      <c r="M149" s="586"/>
      <c r="N149" s="586"/>
      <c r="O149" s="585"/>
      <c r="P149" s="585"/>
      <c r="Q149" s="585"/>
      <c r="R149" s="585"/>
      <c r="S149" s="585"/>
      <c r="T149" s="585"/>
      <c r="U149" s="585"/>
      <c r="V149" s="585"/>
      <c r="W149" s="585"/>
      <c r="X149" s="585"/>
      <c r="Y149" s="585"/>
      <c r="Z149" s="585"/>
      <c r="AA149" s="585"/>
      <c r="AB149" s="586"/>
      <c r="AC149" s="585"/>
      <c r="AD149" s="585"/>
      <c r="AE149" s="585"/>
      <c r="AF149" s="585"/>
      <c r="AG149" s="585"/>
      <c r="AH149" s="585"/>
      <c r="AI149" s="585"/>
      <c r="AJ149" s="585"/>
      <c r="AK149" s="585"/>
      <c r="AL149" s="585"/>
      <c r="AM149" s="585"/>
      <c r="AN149" s="585"/>
      <c r="AO149" s="585"/>
      <c r="AP149" s="585"/>
      <c r="AQ149" s="586"/>
      <c r="AR149" s="586"/>
      <c r="AS149" s="586"/>
      <c r="AT149" s="586"/>
      <c r="AU149" s="586"/>
      <c r="AV149" s="586"/>
      <c r="AW149" s="585"/>
      <c r="AX149" s="586"/>
      <c r="AY149" s="585"/>
      <c r="AZ149" s="585"/>
      <c r="BA149" s="585"/>
      <c r="BB149" s="585"/>
      <c r="BC149" s="586"/>
    </row>
    <row r="150">
      <c r="A150" s="585"/>
      <c r="B150" s="585"/>
      <c r="C150" s="585"/>
      <c r="D150" s="585"/>
      <c r="E150" s="585"/>
      <c r="F150" s="585"/>
      <c r="G150" s="585"/>
      <c r="H150" s="585"/>
      <c r="I150" s="585"/>
      <c r="J150" s="585"/>
      <c r="K150" s="585"/>
      <c r="L150" s="585"/>
      <c r="M150" s="586"/>
      <c r="N150" s="586"/>
      <c r="O150" s="585"/>
      <c r="P150" s="585"/>
      <c r="Q150" s="585"/>
      <c r="R150" s="585"/>
      <c r="S150" s="585"/>
      <c r="T150" s="585"/>
      <c r="U150" s="585"/>
      <c r="V150" s="585"/>
      <c r="W150" s="585"/>
      <c r="X150" s="585"/>
      <c r="Y150" s="585"/>
      <c r="Z150" s="585"/>
      <c r="AA150" s="585"/>
      <c r="AB150" s="586"/>
      <c r="AC150" s="585"/>
      <c r="AD150" s="585"/>
      <c r="AE150" s="585"/>
      <c r="AF150" s="585"/>
      <c r="AG150" s="585"/>
      <c r="AH150" s="585"/>
      <c r="AI150" s="585"/>
      <c r="AJ150" s="585"/>
      <c r="AK150" s="585"/>
      <c r="AL150" s="585"/>
      <c r="AM150" s="585"/>
      <c r="AN150" s="585"/>
      <c r="AO150" s="585"/>
      <c r="AP150" s="585"/>
      <c r="AQ150" s="586"/>
      <c r="AR150" s="586"/>
      <c r="AS150" s="586"/>
      <c r="AT150" s="586"/>
      <c r="AU150" s="586"/>
      <c r="AV150" s="586"/>
      <c r="AW150" s="585"/>
      <c r="AX150" s="586"/>
      <c r="AY150" s="585"/>
      <c r="AZ150" s="585"/>
      <c r="BA150" s="585"/>
      <c r="BB150" s="585"/>
      <c r="BC150" s="586"/>
    </row>
    <row r="151">
      <c r="A151" s="585"/>
      <c r="B151" s="585"/>
      <c r="C151" s="585"/>
      <c r="D151" s="585"/>
      <c r="E151" s="585"/>
      <c r="F151" s="585"/>
      <c r="G151" s="585"/>
      <c r="H151" s="585"/>
      <c r="I151" s="585"/>
      <c r="J151" s="585"/>
      <c r="K151" s="585"/>
      <c r="L151" s="585"/>
      <c r="M151" s="586"/>
      <c r="N151" s="586"/>
      <c r="O151" s="585"/>
      <c r="P151" s="585"/>
      <c r="Q151" s="585"/>
      <c r="R151" s="585"/>
      <c r="S151" s="585"/>
      <c r="T151" s="585"/>
      <c r="U151" s="585"/>
      <c r="V151" s="585"/>
      <c r="W151" s="585"/>
      <c r="X151" s="585"/>
      <c r="Y151" s="585"/>
      <c r="Z151" s="585"/>
      <c r="AA151" s="585"/>
      <c r="AB151" s="586"/>
      <c r="AC151" s="585"/>
      <c r="AD151" s="585"/>
      <c r="AE151" s="585"/>
      <c r="AF151" s="585"/>
      <c r="AG151" s="585"/>
      <c r="AH151" s="585"/>
      <c r="AI151" s="585"/>
      <c r="AJ151" s="585"/>
      <c r="AK151" s="585"/>
      <c r="AL151" s="585"/>
      <c r="AM151" s="585"/>
      <c r="AN151" s="585"/>
      <c r="AO151" s="585"/>
      <c r="AP151" s="585"/>
      <c r="AQ151" s="586"/>
      <c r="AR151" s="586"/>
      <c r="AS151" s="586"/>
      <c r="AT151" s="586"/>
      <c r="AU151" s="586"/>
      <c r="AV151" s="586"/>
      <c r="AW151" s="585"/>
      <c r="AX151" s="586"/>
      <c r="AY151" s="585"/>
      <c r="AZ151" s="585"/>
      <c r="BA151" s="585"/>
      <c r="BB151" s="585"/>
      <c r="BC151" s="586"/>
    </row>
    <row r="152">
      <c r="A152" s="585"/>
      <c r="B152" s="585"/>
      <c r="C152" s="585"/>
      <c r="D152" s="585"/>
      <c r="E152" s="585"/>
      <c r="F152" s="585"/>
      <c r="G152" s="585"/>
      <c r="H152" s="585"/>
      <c r="I152" s="585"/>
      <c r="J152" s="585"/>
      <c r="K152" s="585"/>
      <c r="L152" s="585"/>
      <c r="M152" s="586"/>
      <c r="N152" s="586"/>
      <c r="O152" s="585"/>
      <c r="P152" s="585"/>
      <c r="Q152" s="585"/>
      <c r="R152" s="585"/>
      <c r="S152" s="585"/>
      <c r="T152" s="585"/>
      <c r="U152" s="585"/>
      <c r="V152" s="585"/>
      <c r="W152" s="585"/>
      <c r="X152" s="585"/>
      <c r="Y152" s="585"/>
      <c r="Z152" s="585"/>
      <c r="AA152" s="585"/>
      <c r="AB152" s="586"/>
      <c r="AC152" s="585"/>
      <c r="AD152" s="585"/>
      <c r="AE152" s="585"/>
      <c r="AF152" s="585"/>
      <c r="AG152" s="585"/>
      <c r="AH152" s="585"/>
      <c r="AI152" s="585"/>
      <c r="AJ152" s="585"/>
      <c r="AK152" s="585"/>
      <c r="AL152" s="585"/>
      <c r="AM152" s="585"/>
      <c r="AN152" s="585"/>
      <c r="AO152" s="585"/>
      <c r="AP152" s="585"/>
      <c r="AQ152" s="586"/>
      <c r="AR152" s="586"/>
      <c r="AS152" s="586"/>
      <c r="AT152" s="586"/>
      <c r="AU152" s="586"/>
      <c r="AV152" s="586"/>
      <c r="AW152" s="585"/>
      <c r="AX152" s="586"/>
      <c r="AY152" s="585"/>
      <c r="AZ152" s="585"/>
      <c r="BA152" s="585"/>
      <c r="BB152" s="585"/>
      <c r="BC152" s="586"/>
    </row>
    <row r="153">
      <c r="A153" s="585"/>
      <c r="B153" s="585"/>
      <c r="C153" s="585"/>
      <c r="D153" s="585"/>
      <c r="E153" s="585"/>
      <c r="F153" s="585"/>
      <c r="G153" s="585"/>
      <c r="H153" s="585"/>
      <c r="I153" s="585"/>
      <c r="J153" s="585"/>
      <c r="K153" s="585"/>
      <c r="L153" s="585"/>
      <c r="M153" s="586"/>
      <c r="N153" s="586"/>
      <c r="O153" s="585"/>
      <c r="P153" s="585"/>
      <c r="Q153" s="585"/>
      <c r="R153" s="585"/>
      <c r="S153" s="585"/>
      <c r="T153" s="585"/>
      <c r="U153" s="585"/>
      <c r="V153" s="585"/>
      <c r="W153" s="585"/>
      <c r="X153" s="585"/>
      <c r="Y153" s="585"/>
      <c r="Z153" s="585"/>
      <c r="AA153" s="585"/>
      <c r="AB153" s="586"/>
      <c r="AC153" s="585"/>
      <c r="AD153" s="585"/>
      <c r="AE153" s="585"/>
      <c r="AF153" s="585"/>
      <c r="AG153" s="585"/>
      <c r="AH153" s="585"/>
      <c r="AI153" s="585"/>
      <c r="AJ153" s="585"/>
      <c r="AK153" s="585"/>
      <c r="AL153" s="585"/>
      <c r="AM153" s="585"/>
      <c r="AN153" s="585"/>
      <c r="AO153" s="585"/>
      <c r="AP153" s="585"/>
      <c r="AQ153" s="586"/>
      <c r="AR153" s="586"/>
      <c r="AS153" s="586"/>
      <c r="AT153" s="586"/>
      <c r="AU153" s="586"/>
      <c r="AV153" s="586"/>
      <c r="AW153" s="585"/>
      <c r="AX153" s="586"/>
      <c r="AY153" s="585"/>
      <c r="AZ153" s="585"/>
      <c r="BA153" s="585"/>
      <c r="BB153" s="585"/>
      <c r="BC153" s="586"/>
    </row>
    <row r="154">
      <c r="A154" s="585"/>
      <c r="B154" s="585"/>
      <c r="C154" s="585"/>
      <c r="D154" s="585"/>
      <c r="E154" s="585"/>
      <c r="F154" s="585"/>
      <c r="G154" s="585"/>
      <c r="H154" s="585"/>
      <c r="I154" s="585"/>
      <c r="J154" s="585"/>
      <c r="K154" s="585"/>
      <c r="L154" s="585"/>
      <c r="M154" s="586"/>
      <c r="N154" s="586"/>
      <c r="O154" s="585"/>
      <c r="P154" s="585"/>
      <c r="Q154" s="585"/>
      <c r="R154" s="585"/>
      <c r="S154" s="585"/>
      <c r="T154" s="585"/>
      <c r="U154" s="585"/>
      <c r="V154" s="585"/>
      <c r="W154" s="585"/>
      <c r="X154" s="585"/>
      <c r="Y154" s="585"/>
      <c r="Z154" s="585"/>
      <c r="AA154" s="585"/>
      <c r="AB154" s="586"/>
      <c r="AC154" s="585"/>
      <c r="AD154" s="585"/>
      <c r="AE154" s="585"/>
      <c r="AF154" s="585"/>
      <c r="AG154" s="585"/>
      <c r="AH154" s="585"/>
      <c r="AI154" s="585"/>
      <c r="AJ154" s="585"/>
      <c r="AK154" s="585"/>
      <c r="AL154" s="585"/>
      <c r="AM154" s="585"/>
      <c r="AN154" s="585"/>
      <c r="AO154" s="585"/>
      <c r="AP154" s="585"/>
      <c r="AQ154" s="586"/>
      <c r="AR154" s="586"/>
      <c r="AS154" s="586"/>
      <c r="AT154" s="586"/>
      <c r="AU154" s="586"/>
      <c r="AV154" s="586"/>
      <c r="AW154" s="585"/>
      <c r="AX154" s="586"/>
      <c r="AY154" s="585"/>
      <c r="AZ154" s="585"/>
      <c r="BA154" s="585"/>
      <c r="BB154" s="585"/>
      <c r="BC154" s="586"/>
    </row>
    <row r="155">
      <c r="A155" s="585"/>
      <c r="B155" s="585"/>
      <c r="C155" s="585"/>
      <c r="D155" s="585"/>
      <c r="E155" s="585"/>
      <c r="F155" s="585"/>
      <c r="G155" s="585"/>
      <c r="H155" s="585"/>
      <c r="I155" s="585"/>
      <c r="J155" s="585"/>
      <c r="K155" s="585"/>
      <c r="L155" s="585"/>
      <c r="M155" s="586"/>
      <c r="N155" s="586"/>
      <c r="O155" s="585"/>
      <c r="P155" s="585"/>
      <c r="Q155" s="585"/>
      <c r="R155" s="585"/>
      <c r="S155" s="585"/>
      <c r="T155" s="585"/>
      <c r="U155" s="585"/>
      <c r="V155" s="585"/>
      <c r="W155" s="585"/>
      <c r="X155" s="585"/>
      <c r="Y155" s="585"/>
      <c r="Z155" s="585"/>
      <c r="AA155" s="585"/>
      <c r="AB155" s="586"/>
      <c r="AC155" s="585"/>
      <c r="AD155" s="585"/>
      <c r="AE155" s="585"/>
      <c r="AF155" s="585"/>
      <c r="AG155" s="585"/>
      <c r="AH155" s="585"/>
      <c r="AI155" s="585"/>
      <c r="AJ155" s="585"/>
      <c r="AK155" s="585"/>
      <c r="AL155" s="585"/>
      <c r="AM155" s="585"/>
      <c r="AN155" s="585"/>
      <c r="AO155" s="585"/>
      <c r="AP155" s="585"/>
      <c r="AQ155" s="586"/>
      <c r="AR155" s="586"/>
      <c r="AS155" s="586"/>
      <c r="AT155" s="586"/>
      <c r="AU155" s="586"/>
      <c r="AV155" s="586"/>
      <c r="AW155" s="585"/>
      <c r="AX155" s="586"/>
      <c r="AY155" s="585"/>
      <c r="AZ155" s="585"/>
      <c r="BA155" s="585"/>
      <c r="BB155" s="585"/>
      <c r="BC155" s="586"/>
    </row>
    <row r="156">
      <c r="A156" s="585"/>
      <c r="B156" s="585"/>
      <c r="C156" s="585"/>
      <c r="D156" s="585"/>
      <c r="E156" s="585"/>
      <c r="F156" s="585"/>
      <c r="G156" s="585"/>
      <c r="H156" s="585"/>
      <c r="I156" s="585"/>
      <c r="J156" s="585"/>
      <c r="K156" s="585"/>
      <c r="L156" s="585"/>
      <c r="M156" s="586"/>
      <c r="N156" s="586"/>
      <c r="O156" s="585"/>
      <c r="P156" s="585"/>
      <c r="Q156" s="585"/>
      <c r="R156" s="585"/>
      <c r="S156" s="585"/>
      <c r="T156" s="585"/>
      <c r="U156" s="585"/>
      <c r="V156" s="585"/>
      <c r="W156" s="585"/>
      <c r="X156" s="585"/>
      <c r="Y156" s="585"/>
      <c r="Z156" s="585"/>
      <c r="AA156" s="585"/>
      <c r="AB156" s="586"/>
      <c r="AC156" s="585"/>
      <c r="AD156" s="585"/>
      <c r="AE156" s="585"/>
      <c r="AF156" s="585"/>
      <c r="AG156" s="585"/>
      <c r="AH156" s="585"/>
      <c r="AI156" s="585"/>
      <c r="AJ156" s="585"/>
      <c r="AK156" s="585"/>
      <c r="AL156" s="585"/>
      <c r="AM156" s="585"/>
      <c r="AN156" s="585"/>
      <c r="AO156" s="585"/>
      <c r="AP156" s="585"/>
      <c r="AQ156" s="586"/>
      <c r="AR156" s="586"/>
      <c r="AS156" s="586"/>
      <c r="AT156" s="586"/>
      <c r="AU156" s="586"/>
      <c r="AV156" s="586"/>
      <c r="AW156" s="585"/>
      <c r="AX156" s="586"/>
      <c r="AY156" s="585"/>
      <c r="AZ156" s="585"/>
      <c r="BA156" s="585"/>
      <c r="BB156" s="585"/>
      <c r="BC156" s="586"/>
    </row>
    <row r="157">
      <c r="A157" s="585"/>
      <c r="B157" s="585"/>
      <c r="C157" s="585"/>
      <c r="D157" s="585"/>
      <c r="E157" s="585"/>
      <c r="F157" s="585"/>
      <c r="G157" s="585"/>
      <c r="H157" s="585"/>
      <c r="I157" s="585"/>
      <c r="J157" s="585"/>
      <c r="K157" s="585"/>
      <c r="L157" s="585"/>
      <c r="M157" s="586"/>
      <c r="N157" s="586"/>
      <c r="O157" s="585"/>
      <c r="P157" s="585"/>
      <c r="Q157" s="585"/>
      <c r="R157" s="585"/>
      <c r="S157" s="585"/>
      <c r="T157" s="585"/>
      <c r="U157" s="585"/>
      <c r="V157" s="585"/>
      <c r="W157" s="585"/>
      <c r="X157" s="585"/>
      <c r="Y157" s="585"/>
      <c r="Z157" s="585"/>
      <c r="AA157" s="585"/>
      <c r="AB157" s="586"/>
      <c r="AC157" s="585"/>
      <c r="AD157" s="585"/>
      <c r="AE157" s="585"/>
      <c r="AF157" s="585"/>
      <c r="AG157" s="585"/>
      <c r="AH157" s="585"/>
      <c r="AI157" s="585"/>
      <c r="AJ157" s="585"/>
      <c r="AK157" s="585"/>
      <c r="AL157" s="585"/>
      <c r="AM157" s="585"/>
      <c r="AN157" s="585"/>
      <c r="AO157" s="585"/>
      <c r="AP157" s="585"/>
      <c r="AQ157" s="586"/>
      <c r="AR157" s="586"/>
      <c r="AS157" s="586"/>
      <c r="AT157" s="586"/>
      <c r="AU157" s="586"/>
      <c r="AV157" s="586"/>
      <c r="AW157" s="585"/>
      <c r="AX157" s="586"/>
      <c r="AY157" s="585"/>
      <c r="AZ157" s="585"/>
      <c r="BA157" s="585"/>
      <c r="BB157" s="585"/>
      <c r="BC157" s="586"/>
    </row>
    <row r="158">
      <c r="A158" s="585"/>
      <c r="B158" s="585"/>
      <c r="C158" s="585"/>
      <c r="D158" s="585"/>
      <c r="E158" s="585"/>
      <c r="F158" s="585"/>
      <c r="G158" s="585"/>
      <c r="H158" s="585"/>
      <c r="I158" s="585"/>
      <c r="J158" s="585"/>
      <c r="K158" s="585"/>
      <c r="L158" s="585"/>
      <c r="M158" s="586"/>
      <c r="N158" s="586"/>
      <c r="O158" s="585"/>
      <c r="P158" s="585"/>
      <c r="Q158" s="585"/>
      <c r="R158" s="585"/>
      <c r="S158" s="585"/>
      <c r="T158" s="585"/>
      <c r="U158" s="585"/>
      <c r="V158" s="585"/>
      <c r="W158" s="585"/>
      <c r="X158" s="585"/>
      <c r="Y158" s="585"/>
      <c r="Z158" s="585"/>
      <c r="AA158" s="585"/>
      <c r="AB158" s="586"/>
      <c r="AC158" s="585"/>
      <c r="AD158" s="585"/>
      <c r="AE158" s="585"/>
      <c r="AF158" s="585"/>
      <c r="AG158" s="585"/>
      <c r="AH158" s="585"/>
      <c r="AI158" s="585"/>
      <c r="AJ158" s="585"/>
      <c r="AK158" s="585"/>
      <c r="AL158" s="585"/>
      <c r="AM158" s="585"/>
      <c r="AN158" s="585"/>
      <c r="AO158" s="585"/>
      <c r="AP158" s="585"/>
      <c r="AQ158" s="586"/>
      <c r="AR158" s="586"/>
      <c r="AS158" s="586"/>
      <c r="AT158" s="586"/>
      <c r="AU158" s="586"/>
      <c r="AV158" s="586"/>
      <c r="AW158" s="585"/>
      <c r="AX158" s="586"/>
      <c r="AY158" s="585"/>
      <c r="AZ158" s="585"/>
      <c r="BA158" s="585"/>
      <c r="BB158" s="585"/>
      <c r="BC158" s="586"/>
    </row>
    <row r="159">
      <c r="A159" s="585"/>
      <c r="B159" s="585"/>
      <c r="C159" s="585"/>
      <c r="D159" s="585"/>
      <c r="E159" s="585"/>
      <c r="F159" s="585"/>
      <c r="G159" s="585"/>
      <c r="H159" s="585"/>
      <c r="I159" s="585"/>
      <c r="J159" s="585"/>
      <c r="K159" s="585"/>
      <c r="L159" s="585"/>
      <c r="M159" s="586"/>
      <c r="N159" s="586"/>
      <c r="O159" s="585"/>
      <c r="P159" s="585"/>
      <c r="Q159" s="585"/>
      <c r="R159" s="585"/>
      <c r="S159" s="585"/>
      <c r="T159" s="585"/>
      <c r="U159" s="585"/>
      <c r="V159" s="585"/>
      <c r="W159" s="585"/>
      <c r="X159" s="585"/>
      <c r="Y159" s="585"/>
      <c r="Z159" s="585"/>
      <c r="AA159" s="585"/>
      <c r="AB159" s="586"/>
      <c r="AC159" s="585"/>
      <c r="AD159" s="585"/>
      <c r="AE159" s="585"/>
      <c r="AF159" s="585"/>
      <c r="AG159" s="585"/>
      <c r="AH159" s="585"/>
      <c r="AI159" s="585"/>
      <c r="AJ159" s="585"/>
      <c r="AK159" s="585"/>
      <c r="AL159" s="585"/>
      <c r="AM159" s="585"/>
      <c r="AN159" s="585"/>
      <c r="AO159" s="585"/>
      <c r="AP159" s="585"/>
      <c r="AQ159" s="586"/>
      <c r="AR159" s="586"/>
      <c r="AS159" s="586"/>
      <c r="AT159" s="586"/>
      <c r="AU159" s="586"/>
      <c r="AV159" s="586"/>
      <c r="AW159" s="585"/>
      <c r="AX159" s="586"/>
      <c r="AY159" s="585"/>
      <c r="AZ159" s="585"/>
      <c r="BA159" s="585"/>
      <c r="BB159" s="585"/>
      <c r="BC159" s="586"/>
    </row>
    <row r="160">
      <c r="A160" s="585"/>
      <c r="B160" s="585"/>
      <c r="C160" s="585"/>
      <c r="D160" s="585"/>
      <c r="E160" s="585"/>
      <c r="F160" s="585"/>
      <c r="G160" s="585"/>
      <c r="H160" s="585"/>
      <c r="I160" s="585"/>
      <c r="J160" s="585"/>
      <c r="K160" s="585"/>
      <c r="L160" s="585"/>
      <c r="M160" s="586"/>
      <c r="N160" s="586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  <c r="AA160" s="585"/>
      <c r="AB160" s="586"/>
      <c r="AC160" s="585"/>
      <c r="AD160" s="585"/>
      <c r="AE160" s="585"/>
      <c r="AF160" s="585"/>
      <c r="AG160" s="585"/>
      <c r="AH160" s="585"/>
      <c r="AI160" s="585"/>
      <c r="AJ160" s="585"/>
      <c r="AK160" s="585"/>
      <c r="AL160" s="585"/>
      <c r="AM160" s="585"/>
      <c r="AN160" s="585"/>
      <c r="AO160" s="585"/>
      <c r="AP160" s="585"/>
      <c r="AQ160" s="586"/>
      <c r="AR160" s="586"/>
      <c r="AS160" s="586"/>
      <c r="AT160" s="586"/>
      <c r="AU160" s="586"/>
      <c r="AV160" s="586"/>
      <c r="AW160" s="585"/>
      <c r="AX160" s="586"/>
      <c r="AY160" s="585"/>
      <c r="AZ160" s="585"/>
      <c r="BA160" s="585"/>
      <c r="BB160" s="585"/>
      <c r="BC160" s="586"/>
    </row>
    <row r="161">
      <c r="A161" s="585"/>
      <c r="B161" s="585"/>
      <c r="C161" s="585"/>
      <c r="D161" s="585"/>
      <c r="E161" s="585"/>
      <c r="F161" s="585"/>
      <c r="G161" s="585"/>
      <c r="H161" s="585"/>
      <c r="I161" s="585"/>
      <c r="J161" s="585"/>
      <c r="K161" s="585"/>
      <c r="L161" s="585"/>
      <c r="M161" s="586"/>
      <c r="N161" s="586"/>
      <c r="O161" s="585"/>
      <c r="P161" s="585"/>
      <c r="Q161" s="585"/>
      <c r="R161" s="585"/>
      <c r="S161" s="585"/>
      <c r="T161" s="585"/>
      <c r="U161" s="585"/>
      <c r="V161" s="585"/>
      <c r="W161" s="585"/>
      <c r="X161" s="585"/>
      <c r="Y161" s="585"/>
      <c r="Z161" s="585"/>
      <c r="AA161" s="585"/>
      <c r="AB161" s="586"/>
      <c r="AC161" s="585"/>
      <c r="AD161" s="585"/>
      <c r="AE161" s="585"/>
      <c r="AF161" s="585"/>
      <c r="AG161" s="585"/>
      <c r="AH161" s="585"/>
      <c r="AI161" s="585"/>
      <c r="AJ161" s="585"/>
      <c r="AK161" s="585"/>
      <c r="AL161" s="585"/>
      <c r="AM161" s="585"/>
      <c r="AN161" s="585"/>
      <c r="AO161" s="585"/>
      <c r="AP161" s="585"/>
      <c r="AQ161" s="586"/>
      <c r="AR161" s="586"/>
      <c r="AS161" s="586"/>
      <c r="AT161" s="586"/>
      <c r="AU161" s="586"/>
      <c r="AV161" s="586"/>
      <c r="AW161" s="585"/>
      <c r="AX161" s="586"/>
      <c r="AY161" s="585"/>
      <c r="AZ161" s="585"/>
      <c r="BA161" s="585"/>
      <c r="BB161" s="585"/>
      <c r="BC161" s="586"/>
    </row>
    <row r="162">
      <c r="A162" s="585"/>
      <c r="B162" s="585"/>
      <c r="C162" s="585"/>
      <c r="D162" s="585"/>
      <c r="E162" s="585"/>
      <c r="F162" s="585"/>
      <c r="G162" s="585"/>
      <c r="H162" s="585"/>
      <c r="I162" s="585"/>
      <c r="J162" s="585"/>
      <c r="K162" s="585"/>
      <c r="L162" s="585"/>
      <c r="M162" s="586"/>
      <c r="N162" s="586"/>
      <c r="O162" s="585"/>
      <c r="P162" s="585"/>
      <c r="Q162" s="585"/>
      <c r="R162" s="585"/>
      <c r="S162" s="585"/>
      <c r="T162" s="585"/>
      <c r="U162" s="585"/>
      <c r="V162" s="585"/>
      <c r="W162" s="585"/>
      <c r="X162" s="585"/>
      <c r="Y162" s="585"/>
      <c r="Z162" s="585"/>
      <c r="AA162" s="585"/>
      <c r="AB162" s="586"/>
      <c r="AC162" s="585"/>
      <c r="AD162" s="585"/>
      <c r="AE162" s="585"/>
      <c r="AF162" s="585"/>
      <c r="AG162" s="585"/>
      <c r="AH162" s="585"/>
      <c r="AI162" s="585"/>
      <c r="AJ162" s="585"/>
      <c r="AK162" s="585"/>
      <c r="AL162" s="585"/>
      <c r="AM162" s="585"/>
      <c r="AN162" s="585"/>
      <c r="AO162" s="585"/>
      <c r="AP162" s="585"/>
      <c r="AQ162" s="586"/>
      <c r="AR162" s="586"/>
      <c r="AS162" s="586"/>
      <c r="AT162" s="586"/>
      <c r="AU162" s="586"/>
      <c r="AV162" s="586"/>
      <c r="AW162" s="585"/>
      <c r="AX162" s="586"/>
      <c r="AY162" s="585"/>
      <c r="AZ162" s="585"/>
      <c r="BA162" s="585"/>
      <c r="BB162" s="585"/>
      <c r="BC162" s="586"/>
    </row>
    <row r="163">
      <c r="A163" s="585"/>
      <c r="B163" s="585"/>
      <c r="C163" s="585"/>
      <c r="D163" s="585"/>
      <c r="E163" s="585"/>
      <c r="F163" s="585"/>
      <c r="G163" s="585"/>
      <c r="H163" s="585"/>
      <c r="I163" s="585"/>
      <c r="J163" s="585"/>
      <c r="K163" s="585"/>
      <c r="L163" s="585"/>
      <c r="M163" s="586"/>
      <c r="N163" s="586"/>
      <c r="O163" s="585"/>
      <c r="P163" s="585"/>
      <c r="Q163" s="585"/>
      <c r="R163" s="585"/>
      <c r="S163" s="585"/>
      <c r="T163" s="585"/>
      <c r="U163" s="585"/>
      <c r="V163" s="585"/>
      <c r="W163" s="585"/>
      <c r="X163" s="585"/>
      <c r="Y163" s="585"/>
      <c r="Z163" s="585"/>
      <c r="AA163" s="585"/>
      <c r="AB163" s="586"/>
      <c r="AC163" s="585"/>
      <c r="AD163" s="585"/>
      <c r="AE163" s="585"/>
      <c r="AF163" s="585"/>
      <c r="AG163" s="585"/>
      <c r="AH163" s="585"/>
      <c r="AI163" s="585"/>
      <c r="AJ163" s="585"/>
      <c r="AK163" s="585"/>
      <c r="AL163" s="585"/>
      <c r="AM163" s="585"/>
      <c r="AN163" s="585"/>
      <c r="AO163" s="585"/>
      <c r="AP163" s="585"/>
      <c r="AQ163" s="586"/>
      <c r="AR163" s="586"/>
      <c r="AS163" s="586"/>
      <c r="AT163" s="586"/>
      <c r="AU163" s="586"/>
      <c r="AV163" s="586"/>
      <c r="AW163" s="585"/>
      <c r="AX163" s="586"/>
      <c r="AY163" s="585"/>
      <c r="AZ163" s="585"/>
      <c r="BA163" s="585"/>
      <c r="BB163" s="585"/>
      <c r="BC163" s="586"/>
    </row>
    <row r="164">
      <c r="A164" s="585"/>
      <c r="B164" s="585"/>
      <c r="C164" s="585"/>
      <c r="D164" s="585"/>
      <c r="E164" s="585"/>
      <c r="F164" s="585"/>
      <c r="G164" s="585"/>
      <c r="H164" s="585"/>
      <c r="I164" s="585"/>
      <c r="J164" s="585"/>
      <c r="K164" s="585"/>
      <c r="L164" s="585"/>
      <c r="M164" s="586"/>
      <c r="N164" s="586"/>
      <c r="O164" s="585"/>
      <c r="P164" s="585"/>
      <c r="Q164" s="585"/>
      <c r="R164" s="585"/>
      <c r="S164" s="585"/>
      <c r="T164" s="585"/>
      <c r="U164" s="585"/>
      <c r="V164" s="585"/>
      <c r="W164" s="585"/>
      <c r="X164" s="585"/>
      <c r="Y164" s="585"/>
      <c r="Z164" s="585"/>
      <c r="AA164" s="585"/>
      <c r="AB164" s="586"/>
      <c r="AC164" s="585"/>
      <c r="AD164" s="585"/>
      <c r="AE164" s="585"/>
      <c r="AF164" s="585"/>
      <c r="AG164" s="585"/>
      <c r="AH164" s="585"/>
      <c r="AI164" s="585"/>
      <c r="AJ164" s="585"/>
      <c r="AK164" s="585"/>
      <c r="AL164" s="585"/>
      <c r="AM164" s="585"/>
      <c r="AN164" s="585"/>
      <c r="AO164" s="585"/>
      <c r="AP164" s="585"/>
      <c r="AQ164" s="586"/>
      <c r="AR164" s="586"/>
      <c r="AS164" s="586"/>
      <c r="AT164" s="586"/>
      <c r="AU164" s="586"/>
      <c r="AV164" s="586"/>
      <c r="AW164" s="585"/>
      <c r="AX164" s="586"/>
      <c r="AY164" s="585"/>
      <c r="AZ164" s="585"/>
      <c r="BA164" s="585"/>
      <c r="BB164" s="585"/>
      <c r="BC164" s="586"/>
    </row>
    <row r="165">
      <c r="A165" s="585"/>
      <c r="B165" s="585"/>
      <c r="C165" s="585"/>
      <c r="D165" s="585"/>
      <c r="E165" s="585"/>
      <c r="F165" s="585"/>
      <c r="G165" s="585"/>
      <c r="H165" s="585"/>
      <c r="I165" s="585"/>
      <c r="J165" s="585"/>
      <c r="K165" s="585"/>
      <c r="L165" s="585"/>
      <c r="M165" s="586"/>
      <c r="N165" s="586"/>
      <c r="O165" s="585"/>
      <c r="P165" s="585"/>
      <c r="Q165" s="585"/>
      <c r="R165" s="585"/>
      <c r="S165" s="585"/>
      <c r="T165" s="585"/>
      <c r="U165" s="585"/>
      <c r="V165" s="585"/>
      <c r="W165" s="585"/>
      <c r="X165" s="585"/>
      <c r="Y165" s="585"/>
      <c r="Z165" s="585"/>
      <c r="AA165" s="585"/>
      <c r="AB165" s="586"/>
      <c r="AC165" s="585"/>
      <c r="AD165" s="585"/>
      <c r="AE165" s="585"/>
      <c r="AF165" s="585"/>
      <c r="AG165" s="585"/>
      <c r="AH165" s="585"/>
      <c r="AI165" s="585"/>
      <c r="AJ165" s="585"/>
      <c r="AK165" s="585"/>
      <c r="AL165" s="585"/>
      <c r="AM165" s="585"/>
      <c r="AN165" s="585"/>
      <c r="AO165" s="585"/>
      <c r="AP165" s="585"/>
      <c r="AQ165" s="586"/>
      <c r="AR165" s="586"/>
      <c r="AS165" s="586"/>
      <c r="AT165" s="586"/>
      <c r="AU165" s="586"/>
      <c r="AV165" s="586"/>
      <c r="AW165" s="585"/>
      <c r="AX165" s="586"/>
      <c r="AY165" s="585"/>
      <c r="AZ165" s="585"/>
      <c r="BA165" s="585"/>
      <c r="BB165" s="585"/>
      <c r="BC165" s="586"/>
    </row>
    <row r="166">
      <c r="A166" s="585"/>
      <c r="B166" s="585"/>
      <c r="C166" s="585"/>
      <c r="D166" s="585"/>
      <c r="E166" s="585"/>
      <c r="F166" s="585"/>
      <c r="G166" s="585"/>
      <c r="H166" s="585"/>
      <c r="I166" s="585"/>
      <c r="J166" s="585"/>
      <c r="K166" s="585"/>
      <c r="L166" s="585"/>
      <c r="M166" s="586"/>
      <c r="N166" s="586"/>
      <c r="O166" s="585"/>
      <c r="P166" s="585"/>
      <c r="Q166" s="585"/>
      <c r="R166" s="585"/>
      <c r="S166" s="585"/>
      <c r="T166" s="585"/>
      <c r="U166" s="585"/>
      <c r="V166" s="585"/>
      <c r="W166" s="585"/>
      <c r="X166" s="585"/>
      <c r="Y166" s="585"/>
      <c r="Z166" s="585"/>
      <c r="AA166" s="585"/>
      <c r="AB166" s="586"/>
      <c r="AC166" s="585"/>
      <c r="AD166" s="585"/>
      <c r="AE166" s="585"/>
      <c r="AF166" s="585"/>
      <c r="AG166" s="585"/>
      <c r="AH166" s="585"/>
      <c r="AI166" s="585"/>
      <c r="AJ166" s="585"/>
      <c r="AK166" s="585"/>
      <c r="AL166" s="585"/>
      <c r="AM166" s="585"/>
      <c r="AN166" s="585"/>
      <c r="AO166" s="585"/>
      <c r="AP166" s="585"/>
      <c r="AQ166" s="586"/>
      <c r="AR166" s="586"/>
      <c r="AS166" s="586"/>
      <c r="AT166" s="586"/>
      <c r="AU166" s="586"/>
      <c r="AV166" s="586"/>
      <c r="AW166" s="585"/>
      <c r="AX166" s="586"/>
      <c r="AY166" s="585"/>
      <c r="AZ166" s="585"/>
      <c r="BA166" s="585"/>
      <c r="BB166" s="585"/>
      <c r="BC166" s="586"/>
    </row>
    <row r="167">
      <c r="A167" s="585"/>
      <c r="B167" s="585"/>
      <c r="C167" s="585"/>
      <c r="D167" s="585"/>
      <c r="E167" s="585"/>
      <c r="F167" s="585"/>
      <c r="G167" s="585"/>
      <c r="H167" s="585"/>
      <c r="I167" s="585"/>
      <c r="J167" s="585"/>
      <c r="K167" s="585"/>
      <c r="L167" s="585"/>
      <c r="M167" s="586"/>
      <c r="N167" s="586"/>
      <c r="O167" s="585"/>
      <c r="P167" s="585"/>
      <c r="Q167" s="585"/>
      <c r="R167" s="585"/>
      <c r="S167" s="585"/>
      <c r="T167" s="585"/>
      <c r="U167" s="585"/>
      <c r="V167" s="585"/>
      <c r="W167" s="585"/>
      <c r="X167" s="585"/>
      <c r="Y167" s="585"/>
      <c r="Z167" s="585"/>
      <c r="AA167" s="585"/>
      <c r="AB167" s="586"/>
      <c r="AC167" s="585"/>
      <c r="AD167" s="585"/>
      <c r="AE167" s="585"/>
      <c r="AF167" s="585"/>
      <c r="AG167" s="585"/>
      <c r="AH167" s="585"/>
      <c r="AI167" s="585"/>
      <c r="AJ167" s="585"/>
      <c r="AK167" s="585"/>
      <c r="AL167" s="585"/>
      <c r="AM167" s="585"/>
      <c r="AN167" s="585"/>
      <c r="AO167" s="585"/>
      <c r="AP167" s="585"/>
      <c r="AQ167" s="586"/>
      <c r="AR167" s="586"/>
      <c r="AS167" s="586"/>
      <c r="AT167" s="586"/>
      <c r="AU167" s="586"/>
      <c r="AV167" s="586"/>
      <c r="AW167" s="585"/>
      <c r="AX167" s="586"/>
      <c r="AY167" s="585"/>
      <c r="AZ167" s="585"/>
      <c r="BA167" s="585"/>
      <c r="BB167" s="585"/>
      <c r="BC167" s="586"/>
    </row>
    <row r="168">
      <c r="A168" s="585"/>
      <c r="B168" s="585"/>
      <c r="C168" s="585"/>
      <c r="D168" s="585"/>
      <c r="E168" s="585"/>
      <c r="F168" s="585"/>
      <c r="G168" s="585"/>
      <c r="H168" s="585"/>
      <c r="I168" s="585"/>
      <c r="J168" s="585"/>
      <c r="K168" s="585"/>
      <c r="L168" s="585"/>
      <c r="M168" s="586"/>
      <c r="N168" s="586"/>
      <c r="O168" s="585"/>
      <c r="P168" s="585"/>
      <c r="Q168" s="585"/>
      <c r="R168" s="585"/>
      <c r="S168" s="585"/>
      <c r="T168" s="585"/>
      <c r="U168" s="585"/>
      <c r="V168" s="585"/>
      <c r="W168" s="585"/>
      <c r="X168" s="585"/>
      <c r="Y168" s="585"/>
      <c r="Z168" s="585"/>
      <c r="AA168" s="585"/>
      <c r="AB168" s="586"/>
      <c r="AC168" s="585"/>
      <c r="AD168" s="585"/>
      <c r="AE168" s="585"/>
      <c r="AF168" s="585"/>
      <c r="AG168" s="585"/>
      <c r="AH168" s="585"/>
      <c r="AI168" s="585"/>
      <c r="AJ168" s="585"/>
      <c r="AK168" s="585"/>
      <c r="AL168" s="585"/>
      <c r="AM168" s="585"/>
      <c r="AN168" s="585"/>
      <c r="AO168" s="585"/>
      <c r="AP168" s="585"/>
      <c r="AQ168" s="586"/>
      <c r="AR168" s="586"/>
      <c r="AS168" s="586"/>
      <c r="AT168" s="586"/>
      <c r="AU168" s="586"/>
      <c r="AV168" s="586"/>
      <c r="AW168" s="585"/>
      <c r="AX168" s="586"/>
      <c r="AY168" s="585"/>
      <c r="AZ168" s="585"/>
      <c r="BA168" s="585"/>
      <c r="BB168" s="585"/>
      <c r="BC168" s="586"/>
    </row>
    <row r="169">
      <c r="A169" s="585"/>
      <c r="B169" s="585"/>
      <c r="C169" s="585"/>
      <c r="D169" s="585"/>
      <c r="E169" s="585"/>
      <c r="F169" s="585"/>
      <c r="G169" s="585"/>
      <c r="H169" s="585"/>
      <c r="I169" s="585"/>
      <c r="J169" s="585"/>
      <c r="K169" s="585"/>
      <c r="L169" s="585"/>
      <c r="M169" s="586"/>
      <c r="N169" s="586"/>
      <c r="O169" s="585"/>
      <c r="P169" s="585"/>
      <c r="Q169" s="585"/>
      <c r="R169" s="585"/>
      <c r="S169" s="585"/>
      <c r="T169" s="585"/>
      <c r="U169" s="585"/>
      <c r="V169" s="585"/>
      <c r="W169" s="585"/>
      <c r="X169" s="585"/>
      <c r="Y169" s="585"/>
      <c r="Z169" s="585"/>
      <c r="AA169" s="585"/>
      <c r="AB169" s="586"/>
      <c r="AC169" s="585"/>
      <c r="AD169" s="585"/>
      <c r="AE169" s="585"/>
      <c r="AF169" s="585"/>
      <c r="AG169" s="585"/>
      <c r="AH169" s="585"/>
      <c r="AI169" s="585"/>
      <c r="AJ169" s="585"/>
      <c r="AK169" s="585"/>
      <c r="AL169" s="585"/>
      <c r="AM169" s="585"/>
      <c r="AN169" s="585"/>
      <c r="AO169" s="585"/>
      <c r="AP169" s="585"/>
      <c r="AQ169" s="586"/>
      <c r="AR169" s="586"/>
      <c r="AS169" s="586"/>
      <c r="AT169" s="586"/>
      <c r="AU169" s="586"/>
      <c r="AV169" s="586"/>
      <c r="AW169" s="585"/>
      <c r="AX169" s="586"/>
      <c r="AY169" s="585"/>
      <c r="AZ169" s="585"/>
      <c r="BA169" s="585"/>
      <c r="BB169" s="585"/>
      <c r="BC169" s="586"/>
    </row>
    <row r="170">
      <c r="A170" s="585"/>
      <c r="B170" s="585"/>
      <c r="C170" s="585"/>
      <c r="D170" s="585"/>
      <c r="E170" s="585"/>
      <c r="F170" s="585"/>
      <c r="G170" s="585"/>
      <c r="H170" s="585"/>
      <c r="I170" s="585"/>
      <c r="J170" s="585"/>
      <c r="K170" s="585"/>
      <c r="L170" s="585"/>
      <c r="M170" s="586"/>
      <c r="N170" s="586"/>
      <c r="O170" s="585"/>
      <c r="P170" s="585"/>
      <c r="Q170" s="585"/>
      <c r="R170" s="585"/>
      <c r="S170" s="585"/>
      <c r="T170" s="585"/>
      <c r="U170" s="585"/>
      <c r="V170" s="585"/>
      <c r="W170" s="585"/>
      <c r="X170" s="585"/>
      <c r="Y170" s="585"/>
      <c r="Z170" s="585"/>
      <c r="AA170" s="585"/>
      <c r="AB170" s="586"/>
      <c r="AC170" s="585"/>
      <c r="AD170" s="585"/>
      <c r="AE170" s="585"/>
      <c r="AF170" s="585"/>
      <c r="AG170" s="585"/>
      <c r="AH170" s="585"/>
      <c r="AI170" s="585"/>
      <c r="AJ170" s="585"/>
      <c r="AK170" s="585"/>
      <c r="AL170" s="585"/>
      <c r="AM170" s="585"/>
      <c r="AN170" s="585"/>
      <c r="AO170" s="585"/>
      <c r="AP170" s="585"/>
      <c r="AQ170" s="586"/>
      <c r="AR170" s="586"/>
      <c r="AS170" s="586"/>
      <c r="AT170" s="586"/>
      <c r="AU170" s="586"/>
      <c r="AV170" s="586"/>
      <c r="AW170" s="585"/>
      <c r="AX170" s="586"/>
      <c r="AY170" s="585"/>
      <c r="AZ170" s="585"/>
      <c r="BA170" s="585"/>
      <c r="BB170" s="585"/>
      <c r="BC170" s="586"/>
    </row>
    <row r="171">
      <c r="A171" s="585"/>
      <c r="B171" s="585"/>
      <c r="C171" s="585"/>
      <c r="D171" s="585"/>
      <c r="E171" s="585"/>
      <c r="F171" s="585"/>
      <c r="G171" s="585"/>
      <c r="H171" s="585"/>
      <c r="I171" s="585"/>
      <c r="J171" s="585"/>
      <c r="K171" s="585"/>
      <c r="L171" s="585"/>
      <c r="M171" s="586"/>
      <c r="N171" s="586"/>
      <c r="O171" s="585"/>
      <c r="P171" s="585"/>
      <c r="Q171" s="585"/>
      <c r="R171" s="585"/>
      <c r="S171" s="585"/>
      <c r="T171" s="585"/>
      <c r="U171" s="585"/>
      <c r="V171" s="585"/>
      <c r="W171" s="585"/>
      <c r="X171" s="585"/>
      <c r="Y171" s="585"/>
      <c r="Z171" s="585"/>
      <c r="AA171" s="585"/>
      <c r="AB171" s="586"/>
      <c r="AC171" s="585"/>
      <c r="AD171" s="585"/>
      <c r="AE171" s="585"/>
      <c r="AF171" s="585"/>
      <c r="AG171" s="585"/>
      <c r="AH171" s="585"/>
      <c r="AI171" s="585"/>
      <c r="AJ171" s="585"/>
      <c r="AK171" s="585"/>
      <c r="AL171" s="585"/>
      <c r="AM171" s="585"/>
      <c r="AN171" s="585"/>
      <c r="AO171" s="585"/>
      <c r="AP171" s="585"/>
      <c r="AQ171" s="586"/>
      <c r="AR171" s="586"/>
      <c r="AS171" s="586"/>
      <c r="AT171" s="586"/>
      <c r="AU171" s="586"/>
      <c r="AV171" s="586"/>
      <c r="AW171" s="585"/>
      <c r="AX171" s="586"/>
      <c r="AY171" s="585"/>
      <c r="AZ171" s="585"/>
      <c r="BA171" s="585"/>
      <c r="BB171" s="585"/>
      <c r="BC171" s="586"/>
    </row>
    <row r="172">
      <c r="A172" s="585"/>
      <c r="B172" s="585"/>
      <c r="C172" s="585"/>
      <c r="D172" s="585"/>
      <c r="E172" s="585"/>
      <c r="F172" s="585"/>
      <c r="G172" s="585"/>
      <c r="H172" s="585"/>
      <c r="I172" s="585"/>
      <c r="J172" s="585"/>
      <c r="K172" s="585"/>
      <c r="L172" s="585"/>
      <c r="M172" s="586"/>
      <c r="N172" s="586"/>
      <c r="O172" s="585"/>
      <c r="P172" s="585"/>
      <c r="Q172" s="585"/>
      <c r="R172" s="585"/>
      <c r="S172" s="585"/>
      <c r="T172" s="585"/>
      <c r="U172" s="585"/>
      <c r="V172" s="585"/>
      <c r="W172" s="585"/>
      <c r="X172" s="585"/>
      <c r="Y172" s="585"/>
      <c r="Z172" s="585"/>
      <c r="AA172" s="585"/>
      <c r="AB172" s="586"/>
      <c r="AC172" s="585"/>
      <c r="AD172" s="585"/>
      <c r="AE172" s="585"/>
      <c r="AF172" s="585"/>
      <c r="AG172" s="585"/>
      <c r="AH172" s="585"/>
      <c r="AI172" s="585"/>
      <c r="AJ172" s="585"/>
      <c r="AK172" s="585"/>
      <c r="AL172" s="585"/>
      <c r="AM172" s="585"/>
      <c r="AN172" s="585"/>
      <c r="AO172" s="585"/>
      <c r="AP172" s="585"/>
      <c r="AQ172" s="586"/>
      <c r="AR172" s="586"/>
      <c r="AS172" s="586"/>
      <c r="AT172" s="586"/>
      <c r="AU172" s="586"/>
      <c r="AV172" s="586"/>
      <c r="AW172" s="585"/>
      <c r="AX172" s="586"/>
      <c r="AY172" s="585"/>
      <c r="AZ172" s="585"/>
      <c r="BA172" s="585"/>
      <c r="BB172" s="585"/>
      <c r="BC172" s="586"/>
    </row>
    <row r="173">
      <c r="A173" s="585"/>
      <c r="B173" s="585"/>
      <c r="C173" s="585"/>
      <c r="D173" s="585"/>
      <c r="E173" s="585"/>
      <c r="F173" s="585"/>
      <c r="G173" s="585"/>
      <c r="H173" s="585"/>
      <c r="I173" s="585"/>
      <c r="J173" s="585"/>
      <c r="K173" s="585"/>
      <c r="L173" s="585"/>
      <c r="M173" s="586"/>
      <c r="N173" s="586"/>
      <c r="O173" s="585"/>
      <c r="P173" s="585"/>
      <c r="Q173" s="585"/>
      <c r="R173" s="585"/>
      <c r="S173" s="585"/>
      <c r="T173" s="585"/>
      <c r="U173" s="585"/>
      <c r="V173" s="585"/>
      <c r="W173" s="585"/>
      <c r="X173" s="585"/>
      <c r="Y173" s="585"/>
      <c r="Z173" s="585"/>
      <c r="AA173" s="585"/>
      <c r="AB173" s="586"/>
      <c r="AC173" s="585"/>
      <c r="AD173" s="585"/>
      <c r="AE173" s="585"/>
      <c r="AF173" s="585"/>
      <c r="AG173" s="585"/>
      <c r="AH173" s="585"/>
      <c r="AI173" s="585"/>
      <c r="AJ173" s="585"/>
      <c r="AK173" s="585"/>
      <c r="AL173" s="585"/>
      <c r="AM173" s="585"/>
      <c r="AN173" s="585"/>
      <c r="AO173" s="585"/>
      <c r="AP173" s="585"/>
      <c r="AQ173" s="586"/>
      <c r="AR173" s="586"/>
      <c r="AS173" s="586"/>
      <c r="AT173" s="586"/>
      <c r="AU173" s="586"/>
      <c r="AV173" s="586"/>
      <c r="AW173" s="585"/>
      <c r="AX173" s="586"/>
      <c r="AY173" s="585"/>
      <c r="AZ173" s="585"/>
      <c r="BA173" s="585"/>
      <c r="BB173" s="585"/>
      <c r="BC173" s="586"/>
    </row>
    <row r="174">
      <c r="A174" s="585"/>
      <c r="B174" s="585"/>
      <c r="C174" s="585"/>
      <c r="D174" s="585"/>
      <c r="E174" s="585"/>
      <c r="F174" s="585"/>
      <c r="G174" s="585"/>
      <c r="H174" s="585"/>
      <c r="I174" s="585"/>
      <c r="J174" s="585"/>
      <c r="K174" s="585"/>
      <c r="L174" s="585"/>
      <c r="M174" s="586"/>
      <c r="N174" s="586"/>
      <c r="O174" s="585"/>
      <c r="P174" s="585"/>
      <c r="Q174" s="585"/>
      <c r="R174" s="585"/>
      <c r="S174" s="585"/>
      <c r="T174" s="585"/>
      <c r="U174" s="585"/>
      <c r="V174" s="585"/>
      <c r="W174" s="585"/>
      <c r="X174" s="585"/>
      <c r="Y174" s="585"/>
      <c r="Z174" s="585"/>
      <c r="AA174" s="585"/>
      <c r="AB174" s="586"/>
      <c r="AC174" s="585"/>
      <c r="AD174" s="585"/>
      <c r="AE174" s="585"/>
      <c r="AF174" s="585"/>
      <c r="AG174" s="585"/>
      <c r="AH174" s="585"/>
      <c r="AI174" s="585"/>
      <c r="AJ174" s="585"/>
      <c r="AK174" s="585"/>
      <c r="AL174" s="585"/>
      <c r="AM174" s="585"/>
      <c r="AN174" s="585"/>
      <c r="AO174" s="585"/>
      <c r="AP174" s="585"/>
      <c r="AQ174" s="586"/>
      <c r="AR174" s="586"/>
      <c r="AS174" s="586"/>
      <c r="AT174" s="586"/>
      <c r="AU174" s="586"/>
      <c r="AV174" s="586"/>
      <c r="AW174" s="585"/>
      <c r="AX174" s="586"/>
      <c r="AY174" s="585"/>
      <c r="AZ174" s="585"/>
      <c r="BA174" s="585"/>
      <c r="BB174" s="585"/>
      <c r="BC174" s="586"/>
    </row>
    <row r="175">
      <c r="A175" s="585"/>
      <c r="B175" s="585"/>
      <c r="C175" s="585"/>
      <c r="D175" s="585"/>
      <c r="E175" s="585"/>
      <c r="F175" s="585"/>
      <c r="G175" s="585"/>
      <c r="H175" s="585"/>
      <c r="I175" s="585"/>
      <c r="J175" s="585"/>
      <c r="K175" s="585"/>
      <c r="L175" s="585"/>
      <c r="M175" s="586"/>
      <c r="N175" s="586"/>
      <c r="O175" s="585"/>
      <c r="P175" s="585"/>
      <c r="Q175" s="585"/>
      <c r="R175" s="585"/>
      <c r="S175" s="585"/>
      <c r="T175" s="585"/>
      <c r="U175" s="585"/>
      <c r="V175" s="585"/>
      <c r="W175" s="585"/>
      <c r="X175" s="585"/>
      <c r="Y175" s="585"/>
      <c r="Z175" s="585"/>
      <c r="AA175" s="585"/>
      <c r="AB175" s="586"/>
      <c r="AC175" s="585"/>
      <c r="AD175" s="585"/>
      <c r="AE175" s="585"/>
      <c r="AF175" s="585"/>
      <c r="AG175" s="585"/>
      <c r="AH175" s="585"/>
      <c r="AI175" s="585"/>
      <c r="AJ175" s="585"/>
      <c r="AK175" s="585"/>
      <c r="AL175" s="585"/>
      <c r="AM175" s="585"/>
      <c r="AN175" s="585"/>
      <c r="AO175" s="585"/>
      <c r="AP175" s="585"/>
      <c r="AQ175" s="586"/>
      <c r="AR175" s="586"/>
      <c r="AS175" s="586"/>
      <c r="AT175" s="586"/>
      <c r="AU175" s="586"/>
      <c r="AV175" s="586"/>
      <c r="AW175" s="585"/>
      <c r="AX175" s="586"/>
      <c r="AY175" s="585"/>
      <c r="AZ175" s="585"/>
      <c r="BA175" s="585"/>
      <c r="BB175" s="585"/>
      <c r="BC175" s="586"/>
    </row>
    <row r="176">
      <c r="A176" s="585"/>
      <c r="B176" s="585"/>
      <c r="C176" s="585"/>
      <c r="D176" s="585"/>
      <c r="E176" s="585"/>
      <c r="F176" s="585"/>
      <c r="G176" s="585"/>
      <c r="H176" s="585"/>
      <c r="I176" s="585"/>
      <c r="J176" s="585"/>
      <c r="K176" s="585"/>
      <c r="L176" s="585"/>
      <c r="M176" s="586"/>
      <c r="N176" s="586"/>
      <c r="O176" s="585"/>
      <c r="P176" s="585"/>
      <c r="Q176" s="585"/>
      <c r="R176" s="585"/>
      <c r="S176" s="585"/>
      <c r="T176" s="585"/>
      <c r="U176" s="585"/>
      <c r="V176" s="585"/>
      <c r="W176" s="585"/>
      <c r="X176" s="585"/>
      <c r="Y176" s="585"/>
      <c r="Z176" s="585"/>
      <c r="AA176" s="585"/>
      <c r="AB176" s="586"/>
      <c r="AC176" s="585"/>
      <c r="AD176" s="585"/>
      <c r="AE176" s="585"/>
      <c r="AF176" s="585"/>
      <c r="AG176" s="585"/>
      <c r="AH176" s="585"/>
      <c r="AI176" s="585"/>
      <c r="AJ176" s="585"/>
      <c r="AK176" s="585"/>
      <c r="AL176" s="585"/>
      <c r="AM176" s="585"/>
      <c r="AN176" s="585"/>
      <c r="AO176" s="585"/>
      <c r="AP176" s="585"/>
      <c r="AQ176" s="586"/>
      <c r="AR176" s="586"/>
      <c r="AS176" s="586"/>
      <c r="AT176" s="586"/>
      <c r="AU176" s="586"/>
      <c r="AV176" s="586"/>
      <c r="AW176" s="585"/>
      <c r="AX176" s="586"/>
      <c r="AY176" s="585"/>
      <c r="AZ176" s="585"/>
      <c r="BA176" s="585"/>
      <c r="BB176" s="585"/>
      <c r="BC176" s="586"/>
    </row>
    <row r="177">
      <c r="A177" s="585"/>
      <c r="B177" s="585"/>
      <c r="C177" s="585"/>
      <c r="D177" s="585"/>
      <c r="E177" s="585"/>
      <c r="F177" s="585"/>
      <c r="G177" s="585"/>
      <c r="H177" s="585"/>
      <c r="I177" s="585"/>
      <c r="J177" s="585"/>
      <c r="K177" s="585"/>
      <c r="L177" s="585"/>
      <c r="M177" s="586"/>
      <c r="N177" s="586"/>
      <c r="O177" s="585"/>
      <c r="P177" s="585"/>
      <c r="Q177" s="585"/>
      <c r="R177" s="585"/>
      <c r="S177" s="585"/>
      <c r="T177" s="585"/>
      <c r="U177" s="585"/>
      <c r="V177" s="585"/>
      <c r="W177" s="585"/>
      <c r="X177" s="585"/>
      <c r="Y177" s="585"/>
      <c r="Z177" s="585"/>
      <c r="AA177" s="585"/>
      <c r="AB177" s="586"/>
      <c r="AC177" s="585"/>
      <c r="AD177" s="585"/>
      <c r="AE177" s="585"/>
      <c r="AF177" s="585"/>
      <c r="AG177" s="585"/>
      <c r="AH177" s="585"/>
      <c r="AI177" s="585"/>
      <c r="AJ177" s="585"/>
      <c r="AK177" s="585"/>
      <c r="AL177" s="585"/>
      <c r="AM177" s="585"/>
      <c r="AN177" s="585"/>
      <c r="AO177" s="585"/>
      <c r="AP177" s="585"/>
      <c r="AQ177" s="586"/>
      <c r="AR177" s="586"/>
      <c r="AS177" s="586"/>
      <c r="AT177" s="586"/>
      <c r="AU177" s="586"/>
      <c r="AV177" s="586"/>
      <c r="AW177" s="585"/>
      <c r="AX177" s="586"/>
      <c r="AY177" s="585"/>
      <c r="AZ177" s="585"/>
      <c r="BA177" s="585"/>
      <c r="BB177" s="585"/>
      <c r="BC177" s="586"/>
    </row>
    <row r="178">
      <c r="A178" s="585"/>
      <c r="B178" s="585"/>
      <c r="C178" s="585"/>
      <c r="D178" s="585"/>
      <c r="E178" s="585"/>
      <c r="F178" s="585"/>
      <c r="G178" s="585"/>
      <c r="H178" s="585"/>
      <c r="I178" s="585"/>
      <c r="J178" s="585"/>
      <c r="K178" s="585"/>
      <c r="L178" s="585"/>
      <c r="M178" s="586"/>
      <c r="N178" s="586"/>
      <c r="O178" s="585"/>
      <c r="P178" s="585"/>
      <c r="Q178" s="585"/>
      <c r="R178" s="585"/>
      <c r="S178" s="585"/>
      <c r="T178" s="585"/>
      <c r="U178" s="585"/>
      <c r="V178" s="585"/>
      <c r="W178" s="585"/>
      <c r="X178" s="585"/>
      <c r="Y178" s="585"/>
      <c r="Z178" s="585"/>
      <c r="AA178" s="585"/>
      <c r="AB178" s="586"/>
      <c r="AC178" s="585"/>
      <c r="AD178" s="585"/>
      <c r="AE178" s="585"/>
      <c r="AF178" s="585"/>
      <c r="AG178" s="585"/>
      <c r="AH178" s="585"/>
      <c r="AI178" s="585"/>
      <c r="AJ178" s="585"/>
      <c r="AK178" s="585"/>
      <c r="AL178" s="585"/>
      <c r="AM178" s="585"/>
      <c r="AN178" s="585"/>
      <c r="AO178" s="585"/>
      <c r="AP178" s="585"/>
      <c r="AQ178" s="586"/>
      <c r="AR178" s="586"/>
      <c r="AS178" s="586"/>
      <c r="AT178" s="586"/>
      <c r="AU178" s="586"/>
      <c r="AV178" s="586"/>
      <c r="AW178" s="585"/>
      <c r="AX178" s="586"/>
      <c r="AY178" s="585"/>
      <c r="AZ178" s="585"/>
      <c r="BA178" s="585"/>
      <c r="BB178" s="585"/>
      <c r="BC178" s="586"/>
    </row>
    <row r="179">
      <c r="A179" s="585"/>
      <c r="B179" s="585"/>
      <c r="C179" s="585"/>
      <c r="D179" s="585"/>
      <c r="E179" s="585"/>
      <c r="F179" s="585"/>
      <c r="G179" s="585"/>
      <c r="H179" s="585"/>
      <c r="I179" s="585"/>
      <c r="J179" s="585"/>
      <c r="K179" s="585"/>
      <c r="L179" s="585"/>
      <c r="M179" s="586"/>
      <c r="N179" s="586"/>
      <c r="O179" s="585"/>
      <c r="P179" s="585"/>
      <c r="Q179" s="585"/>
      <c r="R179" s="585"/>
      <c r="S179" s="585"/>
      <c r="T179" s="585"/>
      <c r="U179" s="585"/>
      <c r="V179" s="585"/>
      <c r="W179" s="585"/>
      <c r="X179" s="585"/>
      <c r="Y179" s="585"/>
      <c r="Z179" s="585"/>
      <c r="AA179" s="585"/>
      <c r="AB179" s="586"/>
      <c r="AC179" s="585"/>
      <c r="AD179" s="585"/>
      <c r="AE179" s="585"/>
      <c r="AF179" s="585"/>
      <c r="AG179" s="585"/>
      <c r="AH179" s="585"/>
      <c r="AI179" s="585"/>
      <c r="AJ179" s="585"/>
      <c r="AK179" s="585"/>
      <c r="AL179" s="585"/>
      <c r="AM179" s="585"/>
      <c r="AN179" s="585"/>
      <c r="AO179" s="585"/>
      <c r="AP179" s="585"/>
      <c r="AQ179" s="586"/>
      <c r="AR179" s="586"/>
      <c r="AS179" s="586"/>
      <c r="AT179" s="586"/>
      <c r="AU179" s="586"/>
      <c r="AV179" s="586"/>
      <c r="AW179" s="585"/>
      <c r="AX179" s="586"/>
      <c r="AY179" s="585"/>
      <c r="AZ179" s="585"/>
      <c r="BA179" s="585"/>
      <c r="BB179" s="585"/>
      <c r="BC179" s="586"/>
    </row>
    <row r="180">
      <c r="A180" s="585"/>
      <c r="B180" s="585"/>
      <c r="C180" s="585"/>
      <c r="D180" s="585"/>
      <c r="E180" s="585"/>
      <c r="F180" s="585"/>
      <c r="G180" s="585"/>
      <c r="H180" s="585"/>
      <c r="I180" s="585"/>
      <c r="J180" s="585"/>
      <c r="K180" s="585"/>
      <c r="L180" s="585"/>
      <c r="M180" s="586"/>
      <c r="N180" s="586"/>
      <c r="O180" s="585"/>
      <c r="P180" s="585"/>
      <c r="Q180" s="585"/>
      <c r="R180" s="585"/>
      <c r="S180" s="585"/>
      <c r="T180" s="585"/>
      <c r="U180" s="585"/>
      <c r="V180" s="585"/>
      <c r="W180" s="585"/>
      <c r="X180" s="585"/>
      <c r="Y180" s="585"/>
      <c r="Z180" s="585"/>
      <c r="AA180" s="585"/>
      <c r="AB180" s="586"/>
      <c r="AC180" s="585"/>
      <c r="AD180" s="585"/>
      <c r="AE180" s="585"/>
      <c r="AF180" s="585"/>
      <c r="AG180" s="585"/>
      <c r="AH180" s="585"/>
      <c r="AI180" s="585"/>
      <c r="AJ180" s="585"/>
      <c r="AK180" s="585"/>
      <c r="AL180" s="585"/>
      <c r="AM180" s="585"/>
      <c r="AN180" s="585"/>
      <c r="AO180" s="585"/>
      <c r="AP180" s="585"/>
      <c r="AQ180" s="586"/>
      <c r="AR180" s="586"/>
      <c r="AS180" s="586"/>
      <c r="AT180" s="586"/>
      <c r="AU180" s="586"/>
      <c r="AV180" s="586"/>
      <c r="AW180" s="585"/>
      <c r="AX180" s="586"/>
      <c r="AY180" s="585"/>
      <c r="AZ180" s="585"/>
      <c r="BA180" s="585"/>
      <c r="BB180" s="585"/>
      <c r="BC180" s="586"/>
    </row>
    <row r="181">
      <c r="A181" s="585"/>
      <c r="B181" s="585"/>
      <c r="C181" s="585"/>
      <c r="D181" s="585"/>
      <c r="E181" s="585"/>
      <c r="F181" s="585"/>
      <c r="G181" s="585"/>
      <c r="H181" s="585"/>
      <c r="I181" s="585"/>
      <c r="J181" s="585"/>
      <c r="K181" s="585"/>
      <c r="L181" s="585"/>
      <c r="M181" s="586"/>
      <c r="N181" s="586"/>
      <c r="O181" s="585"/>
      <c r="P181" s="585"/>
      <c r="Q181" s="585"/>
      <c r="R181" s="585"/>
      <c r="S181" s="585"/>
      <c r="T181" s="585"/>
      <c r="U181" s="585"/>
      <c r="V181" s="585"/>
      <c r="W181" s="585"/>
      <c r="X181" s="585"/>
      <c r="Y181" s="585"/>
      <c r="Z181" s="585"/>
      <c r="AA181" s="585"/>
      <c r="AB181" s="586"/>
      <c r="AC181" s="585"/>
      <c r="AD181" s="585"/>
      <c r="AE181" s="585"/>
      <c r="AF181" s="585"/>
      <c r="AG181" s="585"/>
      <c r="AH181" s="585"/>
      <c r="AI181" s="585"/>
      <c r="AJ181" s="585"/>
      <c r="AK181" s="585"/>
      <c r="AL181" s="585"/>
      <c r="AM181" s="585"/>
      <c r="AN181" s="585"/>
      <c r="AO181" s="585"/>
      <c r="AP181" s="585"/>
      <c r="AQ181" s="586"/>
      <c r="AR181" s="586"/>
      <c r="AS181" s="586"/>
      <c r="AT181" s="586"/>
      <c r="AU181" s="586"/>
      <c r="AV181" s="586"/>
      <c r="AW181" s="585"/>
      <c r="AX181" s="586"/>
      <c r="AY181" s="585"/>
      <c r="AZ181" s="585"/>
      <c r="BA181" s="585"/>
      <c r="BB181" s="585"/>
      <c r="BC181" s="586"/>
    </row>
    <row r="182">
      <c r="A182" s="585"/>
      <c r="B182" s="585"/>
      <c r="C182" s="585"/>
      <c r="D182" s="585"/>
      <c r="E182" s="585"/>
      <c r="F182" s="585"/>
      <c r="G182" s="585"/>
      <c r="H182" s="585"/>
      <c r="I182" s="585"/>
      <c r="J182" s="585"/>
      <c r="K182" s="585"/>
      <c r="L182" s="585"/>
      <c r="M182" s="586"/>
      <c r="N182" s="586"/>
      <c r="O182" s="585"/>
      <c r="P182" s="585"/>
      <c r="Q182" s="585"/>
      <c r="R182" s="585"/>
      <c r="S182" s="585"/>
      <c r="T182" s="585"/>
      <c r="U182" s="585"/>
      <c r="V182" s="585"/>
      <c r="W182" s="585"/>
      <c r="X182" s="585"/>
      <c r="Y182" s="585"/>
      <c r="Z182" s="585"/>
      <c r="AA182" s="585"/>
      <c r="AB182" s="586"/>
      <c r="AC182" s="585"/>
      <c r="AD182" s="585"/>
      <c r="AE182" s="585"/>
      <c r="AF182" s="585"/>
      <c r="AG182" s="585"/>
      <c r="AH182" s="585"/>
      <c r="AI182" s="585"/>
      <c r="AJ182" s="585"/>
      <c r="AK182" s="585"/>
      <c r="AL182" s="585"/>
      <c r="AM182" s="585"/>
      <c r="AN182" s="585"/>
      <c r="AO182" s="585"/>
      <c r="AP182" s="585"/>
      <c r="AQ182" s="586"/>
      <c r="AR182" s="586"/>
      <c r="AS182" s="586"/>
      <c r="AT182" s="586"/>
      <c r="AU182" s="586"/>
      <c r="AV182" s="586"/>
      <c r="AW182" s="585"/>
      <c r="AX182" s="586"/>
      <c r="AY182" s="585"/>
      <c r="AZ182" s="585"/>
      <c r="BA182" s="585"/>
      <c r="BB182" s="585"/>
      <c r="BC182" s="586"/>
    </row>
    <row r="183">
      <c r="A183" s="585"/>
      <c r="B183" s="585"/>
      <c r="C183" s="585"/>
      <c r="D183" s="585"/>
      <c r="E183" s="585"/>
      <c r="F183" s="585"/>
      <c r="G183" s="585"/>
      <c r="H183" s="585"/>
      <c r="I183" s="585"/>
      <c r="J183" s="585"/>
      <c r="K183" s="585"/>
      <c r="L183" s="585"/>
      <c r="M183" s="586"/>
      <c r="N183" s="586"/>
      <c r="O183" s="585"/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  <c r="AA183" s="585"/>
      <c r="AB183" s="586"/>
      <c r="AC183" s="585"/>
      <c r="AD183" s="585"/>
      <c r="AE183" s="585"/>
      <c r="AF183" s="585"/>
      <c r="AG183" s="585"/>
      <c r="AH183" s="585"/>
      <c r="AI183" s="585"/>
      <c r="AJ183" s="585"/>
      <c r="AK183" s="585"/>
      <c r="AL183" s="585"/>
      <c r="AM183" s="585"/>
      <c r="AN183" s="585"/>
      <c r="AO183" s="585"/>
      <c r="AP183" s="585"/>
      <c r="AQ183" s="586"/>
      <c r="AR183" s="586"/>
      <c r="AS183" s="586"/>
      <c r="AT183" s="586"/>
      <c r="AU183" s="586"/>
      <c r="AV183" s="586"/>
      <c r="AW183" s="585"/>
      <c r="AX183" s="586"/>
      <c r="AY183" s="585"/>
      <c r="AZ183" s="585"/>
      <c r="BA183" s="585"/>
      <c r="BB183" s="585"/>
      <c r="BC183" s="586"/>
    </row>
    <row r="184">
      <c r="A184" s="585"/>
      <c r="B184" s="585"/>
      <c r="C184" s="585"/>
      <c r="D184" s="585"/>
      <c r="E184" s="585"/>
      <c r="F184" s="585"/>
      <c r="G184" s="585"/>
      <c r="H184" s="585"/>
      <c r="I184" s="585"/>
      <c r="J184" s="585"/>
      <c r="K184" s="585"/>
      <c r="L184" s="585"/>
      <c r="M184" s="586"/>
      <c r="N184" s="586"/>
      <c r="O184" s="585"/>
      <c r="P184" s="585"/>
      <c r="Q184" s="585"/>
      <c r="R184" s="585"/>
      <c r="S184" s="585"/>
      <c r="T184" s="585"/>
      <c r="U184" s="585"/>
      <c r="V184" s="585"/>
      <c r="W184" s="585"/>
      <c r="X184" s="585"/>
      <c r="Y184" s="585"/>
      <c r="Z184" s="585"/>
      <c r="AA184" s="585"/>
      <c r="AB184" s="586"/>
      <c r="AC184" s="585"/>
      <c r="AD184" s="585"/>
      <c r="AE184" s="585"/>
      <c r="AF184" s="585"/>
      <c r="AG184" s="585"/>
      <c r="AH184" s="585"/>
      <c r="AI184" s="585"/>
      <c r="AJ184" s="585"/>
      <c r="AK184" s="585"/>
      <c r="AL184" s="585"/>
      <c r="AM184" s="585"/>
      <c r="AN184" s="585"/>
      <c r="AO184" s="585"/>
      <c r="AP184" s="585"/>
      <c r="AQ184" s="586"/>
      <c r="AR184" s="586"/>
      <c r="AS184" s="586"/>
      <c r="AT184" s="586"/>
      <c r="AU184" s="586"/>
      <c r="AV184" s="586"/>
      <c r="AW184" s="585"/>
      <c r="AX184" s="586"/>
      <c r="AY184" s="585"/>
      <c r="AZ184" s="585"/>
      <c r="BA184" s="585"/>
      <c r="BB184" s="585"/>
      <c r="BC184" s="586"/>
    </row>
    <row r="185">
      <c r="A185" s="585"/>
      <c r="B185" s="585"/>
      <c r="C185" s="585"/>
      <c r="D185" s="585"/>
      <c r="E185" s="585"/>
      <c r="F185" s="585"/>
      <c r="G185" s="585"/>
      <c r="H185" s="585"/>
      <c r="I185" s="585"/>
      <c r="J185" s="585"/>
      <c r="K185" s="585"/>
      <c r="L185" s="585"/>
      <c r="M185" s="586"/>
      <c r="N185" s="586"/>
      <c r="O185" s="585"/>
      <c r="P185" s="585"/>
      <c r="Q185" s="585"/>
      <c r="R185" s="585"/>
      <c r="S185" s="585"/>
      <c r="T185" s="585"/>
      <c r="U185" s="585"/>
      <c r="V185" s="585"/>
      <c r="W185" s="585"/>
      <c r="X185" s="585"/>
      <c r="Y185" s="585"/>
      <c r="Z185" s="585"/>
      <c r="AA185" s="585"/>
      <c r="AB185" s="586"/>
      <c r="AC185" s="585"/>
      <c r="AD185" s="585"/>
      <c r="AE185" s="585"/>
      <c r="AF185" s="585"/>
      <c r="AG185" s="585"/>
      <c r="AH185" s="585"/>
      <c r="AI185" s="585"/>
      <c r="AJ185" s="585"/>
      <c r="AK185" s="585"/>
      <c r="AL185" s="585"/>
      <c r="AM185" s="585"/>
      <c r="AN185" s="585"/>
      <c r="AO185" s="585"/>
      <c r="AP185" s="585"/>
      <c r="AQ185" s="586"/>
      <c r="AR185" s="586"/>
      <c r="AS185" s="586"/>
      <c r="AT185" s="586"/>
      <c r="AU185" s="586"/>
      <c r="AV185" s="586"/>
      <c r="AW185" s="585"/>
      <c r="AX185" s="586"/>
      <c r="AY185" s="585"/>
      <c r="AZ185" s="585"/>
      <c r="BA185" s="585"/>
      <c r="BB185" s="585"/>
      <c r="BC185" s="586"/>
    </row>
    <row r="186">
      <c r="A186" s="585"/>
      <c r="B186" s="585"/>
      <c r="C186" s="585"/>
      <c r="D186" s="585"/>
      <c r="E186" s="585"/>
      <c r="F186" s="585"/>
      <c r="G186" s="585"/>
      <c r="H186" s="585"/>
      <c r="I186" s="585"/>
      <c r="J186" s="585"/>
      <c r="K186" s="585"/>
      <c r="L186" s="585"/>
      <c r="M186" s="586"/>
      <c r="N186" s="586"/>
      <c r="O186" s="585"/>
      <c r="P186" s="585"/>
      <c r="Q186" s="585"/>
      <c r="R186" s="585"/>
      <c r="S186" s="585"/>
      <c r="T186" s="585"/>
      <c r="U186" s="585"/>
      <c r="V186" s="585"/>
      <c r="W186" s="585"/>
      <c r="X186" s="585"/>
      <c r="Y186" s="585"/>
      <c r="Z186" s="585"/>
      <c r="AA186" s="585"/>
      <c r="AB186" s="586"/>
      <c r="AC186" s="585"/>
      <c r="AD186" s="585"/>
      <c r="AE186" s="585"/>
      <c r="AF186" s="585"/>
      <c r="AG186" s="585"/>
      <c r="AH186" s="585"/>
      <c r="AI186" s="585"/>
      <c r="AJ186" s="585"/>
      <c r="AK186" s="585"/>
      <c r="AL186" s="585"/>
      <c r="AM186" s="585"/>
      <c r="AN186" s="585"/>
      <c r="AO186" s="585"/>
      <c r="AP186" s="585"/>
      <c r="AQ186" s="586"/>
      <c r="AR186" s="586"/>
      <c r="AS186" s="586"/>
      <c r="AT186" s="586"/>
      <c r="AU186" s="586"/>
      <c r="AV186" s="586"/>
      <c r="AW186" s="585"/>
      <c r="AX186" s="586"/>
      <c r="AY186" s="585"/>
      <c r="AZ186" s="585"/>
      <c r="BA186" s="585"/>
      <c r="BB186" s="585"/>
      <c r="BC186" s="586"/>
    </row>
    <row r="187">
      <c r="A187" s="585"/>
      <c r="B187" s="585"/>
      <c r="C187" s="585"/>
      <c r="D187" s="585"/>
      <c r="E187" s="585"/>
      <c r="F187" s="585"/>
      <c r="G187" s="585"/>
      <c r="H187" s="585"/>
      <c r="I187" s="585"/>
      <c r="J187" s="585"/>
      <c r="K187" s="585"/>
      <c r="L187" s="585"/>
      <c r="M187" s="586"/>
      <c r="N187" s="586"/>
      <c r="O187" s="585"/>
      <c r="P187" s="585"/>
      <c r="Q187" s="585"/>
      <c r="R187" s="585"/>
      <c r="S187" s="585"/>
      <c r="T187" s="585"/>
      <c r="U187" s="585"/>
      <c r="V187" s="585"/>
      <c r="W187" s="585"/>
      <c r="X187" s="585"/>
      <c r="Y187" s="585"/>
      <c r="Z187" s="585"/>
      <c r="AA187" s="585"/>
      <c r="AB187" s="586"/>
      <c r="AC187" s="585"/>
      <c r="AD187" s="585"/>
      <c r="AE187" s="585"/>
      <c r="AF187" s="585"/>
      <c r="AG187" s="585"/>
      <c r="AH187" s="585"/>
      <c r="AI187" s="585"/>
      <c r="AJ187" s="585"/>
      <c r="AK187" s="585"/>
      <c r="AL187" s="585"/>
      <c r="AM187" s="585"/>
      <c r="AN187" s="585"/>
      <c r="AO187" s="585"/>
      <c r="AP187" s="585"/>
      <c r="AQ187" s="586"/>
      <c r="AR187" s="586"/>
      <c r="AS187" s="586"/>
      <c r="AT187" s="586"/>
      <c r="AU187" s="586"/>
      <c r="AV187" s="586"/>
      <c r="AW187" s="585"/>
      <c r="AX187" s="586"/>
      <c r="AY187" s="585"/>
      <c r="AZ187" s="585"/>
      <c r="BA187" s="585"/>
      <c r="BB187" s="585"/>
      <c r="BC187" s="586"/>
    </row>
    <row r="188">
      <c r="A188" s="585"/>
      <c r="B188" s="585"/>
      <c r="C188" s="585"/>
      <c r="D188" s="585"/>
      <c r="E188" s="585"/>
      <c r="F188" s="585"/>
      <c r="G188" s="585"/>
      <c r="H188" s="585"/>
      <c r="I188" s="585"/>
      <c r="J188" s="585"/>
      <c r="K188" s="585"/>
      <c r="L188" s="585"/>
      <c r="M188" s="586"/>
      <c r="N188" s="586"/>
      <c r="O188" s="585"/>
      <c r="P188" s="585"/>
      <c r="Q188" s="585"/>
      <c r="R188" s="585"/>
      <c r="S188" s="585"/>
      <c r="T188" s="585"/>
      <c r="U188" s="585"/>
      <c r="V188" s="585"/>
      <c r="W188" s="585"/>
      <c r="X188" s="585"/>
      <c r="Y188" s="585"/>
      <c r="Z188" s="585"/>
      <c r="AA188" s="585"/>
      <c r="AB188" s="586"/>
      <c r="AC188" s="585"/>
      <c r="AD188" s="585"/>
      <c r="AE188" s="585"/>
      <c r="AF188" s="585"/>
      <c r="AG188" s="585"/>
      <c r="AH188" s="585"/>
      <c r="AI188" s="585"/>
      <c r="AJ188" s="585"/>
      <c r="AK188" s="585"/>
      <c r="AL188" s="585"/>
      <c r="AM188" s="585"/>
      <c r="AN188" s="585"/>
      <c r="AO188" s="585"/>
      <c r="AP188" s="585"/>
      <c r="AQ188" s="586"/>
      <c r="AR188" s="586"/>
      <c r="AS188" s="586"/>
      <c r="AT188" s="586"/>
      <c r="AU188" s="586"/>
      <c r="AV188" s="586"/>
      <c r="AW188" s="585"/>
      <c r="AX188" s="586"/>
      <c r="AY188" s="585"/>
      <c r="AZ188" s="585"/>
      <c r="BA188" s="585"/>
      <c r="BB188" s="585"/>
      <c r="BC188" s="586"/>
    </row>
    <row r="189">
      <c r="A189" s="585"/>
      <c r="B189" s="585"/>
      <c r="C189" s="585"/>
      <c r="D189" s="585"/>
      <c r="E189" s="585"/>
      <c r="F189" s="585"/>
      <c r="G189" s="585"/>
      <c r="H189" s="585"/>
      <c r="I189" s="585"/>
      <c r="J189" s="585"/>
      <c r="K189" s="585"/>
      <c r="L189" s="585"/>
      <c r="M189" s="586"/>
      <c r="N189" s="586"/>
      <c r="O189" s="585"/>
      <c r="P189" s="585"/>
      <c r="Q189" s="585"/>
      <c r="R189" s="585"/>
      <c r="S189" s="585"/>
      <c r="T189" s="585"/>
      <c r="U189" s="585"/>
      <c r="V189" s="585"/>
      <c r="W189" s="585"/>
      <c r="X189" s="585"/>
      <c r="Y189" s="585"/>
      <c r="Z189" s="585"/>
      <c r="AA189" s="585"/>
      <c r="AB189" s="586"/>
      <c r="AC189" s="585"/>
      <c r="AD189" s="585"/>
      <c r="AE189" s="585"/>
      <c r="AF189" s="585"/>
      <c r="AG189" s="585"/>
      <c r="AH189" s="585"/>
      <c r="AI189" s="585"/>
      <c r="AJ189" s="585"/>
      <c r="AK189" s="585"/>
      <c r="AL189" s="585"/>
      <c r="AM189" s="585"/>
      <c r="AN189" s="585"/>
      <c r="AO189" s="585"/>
      <c r="AP189" s="585"/>
      <c r="AQ189" s="586"/>
      <c r="AR189" s="586"/>
      <c r="AS189" s="586"/>
      <c r="AT189" s="586"/>
      <c r="AU189" s="586"/>
      <c r="AV189" s="586"/>
      <c r="AW189" s="585"/>
      <c r="AX189" s="586"/>
      <c r="AY189" s="585"/>
      <c r="AZ189" s="585"/>
      <c r="BA189" s="585"/>
      <c r="BB189" s="585"/>
      <c r="BC189" s="586"/>
    </row>
    <row r="190">
      <c r="A190" s="585"/>
      <c r="B190" s="585"/>
      <c r="C190" s="585"/>
      <c r="D190" s="585"/>
      <c r="E190" s="585"/>
      <c r="F190" s="585"/>
      <c r="G190" s="585"/>
      <c r="H190" s="585"/>
      <c r="I190" s="585"/>
      <c r="J190" s="585"/>
      <c r="K190" s="585"/>
      <c r="L190" s="585"/>
      <c r="M190" s="586"/>
      <c r="N190" s="586"/>
      <c r="O190" s="585"/>
      <c r="P190" s="585"/>
      <c r="Q190" s="585"/>
      <c r="R190" s="585"/>
      <c r="S190" s="585"/>
      <c r="T190" s="585"/>
      <c r="U190" s="585"/>
      <c r="V190" s="585"/>
      <c r="W190" s="585"/>
      <c r="X190" s="585"/>
      <c r="Y190" s="585"/>
      <c r="Z190" s="585"/>
      <c r="AA190" s="585"/>
      <c r="AB190" s="586"/>
      <c r="AC190" s="585"/>
      <c r="AD190" s="585"/>
      <c r="AE190" s="585"/>
      <c r="AF190" s="585"/>
      <c r="AG190" s="585"/>
      <c r="AH190" s="585"/>
      <c r="AI190" s="585"/>
      <c r="AJ190" s="585"/>
      <c r="AK190" s="585"/>
      <c r="AL190" s="585"/>
      <c r="AM190" s="585"/>
      <c r="AN190" s="585"/>
      <c r="AO190" s="585"/>
      <c r="AP190" s="585"/>
      <c r="AQ190" s="586"/>
      <c r="AR190" s="586"/>
      <c r="AS190" s="586"/>
      <c r="AT190" s="586"/>
      <c r="AU190" s="586"/>
      <c r="AV190" s="586"/>
      <c r="AW190" s="585"/>
      <c r="AX190" s="586"/>
      <c r="AY190" s="585"/>
      <c r="AZ190" s="585"/>
      <c r="BA190" s="585"/>
      <c r="BB190" s="585"/>
      <c r="BC190" s="586"/>
    </row>
    <row r="191">
      <c r="A191" s="585"/>
      <c r="B191" s="585"/>
      <c r="C191" s="585"/>
      <c r="D191" s="585"/>
      <c r="E191" s="585"/>
      <c r="F191" s="585"/>
      <c r="G191" s="585"/>
      <c r="H191" s="585"/>
      <c r="I191" s="585"/>
      <c r="J191" s="585"/>
      <c r="K191" s="585"/>
      <c r="L191" s="585"/>
      <c r="M191" s="586"/>
      <c r="N191" s="586"/>
      <c r="O191" s="585"/>
      <c r="P191" s="585"/>
      <c r="Q191" s="585"/>
      <c r="R191" s="585"/>
      <c r="S191" s="585"/>
      <c r="T191" s="585"/>
      <c r="U191" s="585"/>
      <c r="V191" s="585"/>
      <c r="W191" s="585"/>
      <c r="X191" s="585"/>
      <c r="Y191" s="585"/>
      <c r="Z191" s="585"/>
      <c r="AA191" s="585"/>
      <c r="AB191" s="586"/>
      <c r="AC191" s="585"/>
      <c r="AD191" s="585"/>
      <c r="AE191" s="585"/>
      <c r="AF191" s="585"/>
      <c r="AG191" s="585"/>
      <c r="AH191" s="585"/>
      <c r="AI191" s="585"/>
      <c r="AJ191" s="585"/>
      <c r="AK191" s="585"/>
      <c r="AL191" s="585"/>
      <c r="AM191" s="585"/>
      <c r="AN191" s="585"/>
      <c r="AO191" s="585"/>
      <c r="AP191" s="585"/>
      <c r="AQ191" s="586"/>
      <c r="AR191" s="586"/>
      <c r="AS191" s="586"/>
      <c r="AT191" s="586"/>
      <c r="AU191" s="586"/>
      <c r="AV191" s="586"/>
      <c r="AW191" s="585"/>
      <c r="AX191" s="586"/>
      <c r="AY191" s="585"/>
      <c r="AZ191" s="585"/>
      <c r="BA191" s="585"/>
      <c r="BB191" s="585"/>
      <c r="BC191" s="586"/>
    </row>
    <row r="192">
      <c r="A192" s="585"/>
      <c r="B192" s="585"/>
      <c r="C192" s="585"/>
      <c r="D192" s="585"/>
      <c r="E192" s="585"/>
      <c r="F192" s="585"/>
      <c r="G192" s="585"/>
      <c r="H192" s="585"/>
      <c r="I192" s="585"/>
      <c r="J192" s="585"/>
      <c r="K192" s="585"/>
      <c r="L192" s="585"/>
      <c r="M192" s="586"/>
      <c r="N192" s="586"/>
      <c r="O192" s="585"/>
      <c r="P192" s="585"/>
      <c r="Q192" s="585"/>
      <c r="R192" s="585"/>
      <c r="S192" s="585"/>
      <c r="T192" s="585"/>
      <c r="U192" s="585"/>
      <c r="V192" s="585"/>
      <c r="W192" s="585"/>
      <c r="X192" s="585"/>
      <c r="Y192" s="585"/>
      <c r="Z192" s="585"/>
      <c r="AA192" s="585"/>
      <c r="AB192" s="586"/>
      <c r="AC192" s="585"/>
      <c r="AD192" s="585"/>
      <c r="AE192" s="585"/>
      <c r="AF192" s="585"/>
      <c r="AG192" s="585"/>
      <c r="AH192" s="585"/>
      <c r="AI192" s="585"/>
      <c r="AJ192" s="585"/>
      <c r="AK192" s="585"/>
      <c r="AL192" s="585"/>
      <c r="AM192" s="585"/>
      <c r="AN192" s="585"/>
      <c r="AO192" s="585"/>
      <c r="AP192" s="585"/>
      <c r="AQ192" s="586"/>
      <c r="AR192" s="586"/>
      <c r="AS192" s="586"/>
      <c r="AT192" s="586"/>
      <c r="AU192" s="586"/>
      <c r="AV192" s="586"/>
      <c r="AW192" s="585"/>
      <c r="AX192" s="586"/>
      <c r="AY192" s="585"/>
      <c r="AZ192" s="585"/>
      <c r="BA192" s="585"/>
      <c r="BB192" s="585"/>
      <c r="BC192" s="586"/>
    </row>
    <row r="193">
      <c r="A193" s="585"/>
      <c r="B193" s="585"/>
      <c r="C193" s="585"/>
      <c r="D193" s="585"/>
      <c r="E193" s="585"/>
      <c r="F193" s="585"/>
      <c r="G193" s="585"/>
      <c r="H193" s="585"/>
      <c r="I193" s="585"/>
      <c r="J193" s="585"/>
      <c r="K193" s="585"/>
      <c r="L193" s="585"/>
      <c r="M193" s="586"/>
      <c r="N193" s="586"/>
      <c r="O193" s="585"/>
      <c r="P193" s="585"/>
      <c r="Q193" s="585"/>
      <c r="R193" s="585"/>
      <c r="S193" s="585"/>
      <c r="T193" s="585"/>
      <c r="U193" s="585"/>
      <c r="V193" s="585"/>
      <c r="W193" s="585"/>
      <c r="X193" s="585"/>
      <c r="Y193" s="585"/>
      <c r="Z193" s="585"/>
      <c r="AA193" s="585"/>
      <c r="AB193" s="586"/>
      <c r="AC193" s="585"/>
      <c r="AD193" s="585"/>
      <c r="AE193" s="585"/>
      <c r="AF193" s="585"/>
      <c r="AG193" s="585"/>
      <c r="AH193" s="585"/>
      <c r="AI193" s="585"/>
      <c r="AJ193" s="585"/>
      <c r="AK193" s="585"/>
      <c r="AL193" s="585"/>
      <c r="AM193" s="585"/>
      <c r="AN193" s="585"/>
      <c r="AO193" s="585"/>
      <c r="AP193" s="585"/>
      <c r="AQ193" s="586"/>
      <c r="AR193" s="586"/>
      <c r="AS193" s="586"/>
      <c r="AT193" s="586"/>
      <c r="AU193" s="586"/>
      <c r="AV193" s="586"/>
      <c r="AW193" s="585"/>
      <c r="AX193" s="586"/>
      <c r="AY193" s="585"/>
      <c r="AZ193" s="585"/>
      <c r="BA193" s="585"/>
      <c r="BB193" s="585"/>
      <c r="BC193" s="586"/>
    </row>
    <row r="194">
      <c r="A194" s="585"/>
      <c r="B194" s="585"/>
      <c r="C194" s="585"/>
      <c r="D194" s="585"/>
      <c r="E194" s="585"/>
      <c r="F194" s="585"/>
      <c r="G194" s="585"/>
      <c r="H194" s="585"/>
      <c r="I194" s="585"/>
      <c r="J194" s="585"/>
      <c r="K194" s="585"/>
      <c r="L194" s="585"/>
      <c r="M194" s="586"/>
      <c r="N194" s="586"/>
      <c r="O194" s="585"/>
      <c r="P194" s="585"/>
      <c r="Q194" s="585"/>
      <c r="R194" s="585"/>
      <c r="S194" s="585"/>
      <c r="T194" s="585"/>
      <c r="U194" s="585"/>
      <c r="V194" s="585"/>
      <c r="W194" s="585"/>
      <c r="X194" s="585"/>
      <c r="Y194" s="585"/>
      <c r="Z194" s="585"/>
      <c r="AA194" s="585"/>
      <c r="AB194" s="586"/>
      <c r="AC194" s="585"/>
      <c r="AD194" s="585"/>
      <c r="AE194" s="585"/>
      <c r="AF194" s="585"/>
      <c r="AG194" s="585"/>
      <c r="AH194" s="585"/>
      <c r="AI194" s="585"/>
      <c r="AJ194" s="585"/>
      <c r="AK194" s="585"/>
      <c r="AL194" s="585"/>
      <c r="AM194" s="585"/>
      <c r="AN194" s="585"/>
      <c r="AO194" s="585"/>
      <c r="AP194" s="585"/>
      <c r="AQ194" s="586"/>
      <c r="AR194" s="586"/>
      <c r="AS194" s="586"/>
      <c r="AT194" s="586"/>
      <c r="AU194" s="586"/>
      <c r="AV194" s="586"/>
      <c r="AW194" s="585"/>
      <c r="AX194" s="586"/>
      <c r="AY194" s="585"/>
      <c r="AZ194" s="585"/>
      <c r="BA194" s="585"/>
      <c r="BB194" s="585"/>
      <c r="BC194" s="586"/>
    </row>
    <row r="195">
      <c r="A195" s="585"/>
      <c r="B195" s="585"/>
      <c r="C195" s="585"/>
      <c r="D195" s="585"/>
      <c r="E195" s="585"/>
      <c r="F195" s="585"/>
      <c r="G195" s="585"/>
      <c r="H195" s="585"/>
      <c r="I195" s="585"/>
      <c r="J195" s="585"/>
      <c r="K195" s="585"/>
      <c r="L195" s="585"/>
      <c r="M195" s="586"/>
      <c r="N195" s="586"/>
      <c r="O195" s="585"/>
      <c r="P195" s="585"/>
      <c r="Q195" s="585"/>
      <c r="R195" s="585"/>
      <c r="S195" s="585"/>
      <c r="T195" s="585"/>
      <c r="U195" s="585"/>
      <c r="V195" s="585"/>
      <c r="W195" s="585"/>
      <c r="X195" s="585"/>
      <c r="Y195" s="585"/>
      <c r="Z195" s="585"/>
      <c r="AA195" s="585"/>
      <c r="AB195" s="586"/>
      <c r="AC195" s="585"/>
      <c r="AD195" s="585"/>
      <c r="AE195" s="585"/>
      <c r="AF195" s="585"/>
      <c r="AG195" s="585"/>
      <c r="AH195" s="585"/>
      <c r="AI195" s="585"/>
      <c r="AJ195" s="585"/>
      <c r="AK195" s="585"/>
      <c r="AL195" s="585"/>
      <c r="AM195" s="585"/>
      <c r="AN195" s="585"/>
      <c r="AO195" s="585"/>
      <c r="AP195" s="585"/>
      <c r="AQ195" s="586"/>
      <c r="AR195" s="586"/>
      <c r="AS195" s="586"/>
      <c r="AT195" s="586"/>
      <c r="AU195" s="586"/>
      <c r="AV195" s="586"/>
      <c r="AW195" s="585"/>
      <c r="AX195" s="586"/>
      <c r="AY195" s="585"/>
      <c r="AZ195" s="585"/>
      <c r="BA195" s="585"/>
      <c r="BB195" s="585"/>
      <c r="BC195" s="586"/>
    </row>
    <row r="196">
      <c r="A196" s="585"/>
      <c r="B196" s="585"/>
      <c r="C196" s="585"/>
      <c r="D196" s="585"/>
      <c r="E196" s="585"/>
      <c r="F196" s="585"/>
      <c r="G196" s="585"/>
      <c r="H196" s="585"/>
      <c r="I196" s="585"/>
      <c r="J196" s="585"/>
      <c r="K196" s="585"/>
      <c r="L196" s="585"/>
      <c r="M196" s="586"/>
      <c r="N196" s="586"/>
      <c r="O196" s="585"/>
      <c r="P196" s="585"/>
      <c r="Q196" s="585"/>
      <c r="R196" s="585"/>
      <c r="S196" s="585"/>
      <c r="T196" s="585"/>
      <c r="U196" s="585"/>
      <c r="V196" s="585"/>
      <c r="W196" s="585"/>
      <c r="X196" s="585"/>
      <c r="Y196" s="585"/>
      <c r="Z196" s="585"/>
      <c r="AA196" s="585"/>
      <c r="AB196" s="586"/>
      <c r="AC196" s="585"/>
      <c r="AD196" s="585"/>
      <c r="AE196" s="585"/>
      <c r="AF196" s="585"/>
      <c r="AG196" s="585"/>
      <c r="AH196" s="585"/>
      <c r="AI196" s="585"/>
      <c r="AJ196" s="585"/>
      <c r="AK196" s="585"/>
      <c r="AL196" s="585"/>
      <c r="AM196" s="585"/>
      <c r="AN196" s="585"/>
      <c r="AO196" s="585"/>
      <c r="AP196" s="585"/>
      <c r="AQ196" s="586"/>
      <c r="AR196" s="586"/>
      <c r="AS196" s="586"/>
      <c r="AT196" s="586"/>
      <c r="AU196" s="586"/>
      <c r="AV196" s="586"/>
      <c r="AW196" s="585"/>
      <c r="AX196" s="586"/>
      <c r="AY196" s="585"/>
      <c r="AZ196" s="585"/>
      <c r="BA196" s="585"/>
      <c r="BB196" s="585"/>
      <c r="BC196" s="586"/>
    </row>
    <row r="197">
      <c r="A197" s="585"/>
      <c r="B197" s="585"/>
      <c r="C197" s="585"/>
      <c r="D197" s="585"/>
      <c r="E197" s="585"/>
      <c r="F197" s="585"/>
      <c r="G197" s="585"/>
      <c r="H197" s="585"/>
      <c r="I197" s="585"/>
      <c r="J197" s="585"/>
      <c r="K197" s="585"/>
      <c r="L197" s="585"/>
      <c r="M197" s="586"/>
      <c r="N197" s="586"/>
      <c r="O197" s="585"/>
      <c r="P197" s="585"/>
      <c r="Q197" s="585"/>
      <c r="R197" s="585"/>
      <c r="S197" s="585"/>
      <c r="T197" s="585"/>
      <c r="U197" s="585"/>
      <c r="V197" s="585"/>
      <c r="W197" s="585"/>
      <c r="X197" s="585"/>
      <c r="Y197" s="585"/>
      <c r="Z197" s="585"/>
      <c r="AA197" s="585"/>
      <c r="AB197" s="586"/>
      <c r="AC197" s="585"/>
      <c r="AD197" s="585"/>
      <c r="AE197" s="585"/>
      <c r="AF197" s="585"/>
      <c r="AG197" s="585"/>
      <c r="AH197" s="585"/>
      <c r="AI197" s="585"/>
      <c r="AJ197" s="585"/>
      <c r="AK197" s="585"/>
      <c r="AL197" s="585"/>
      <c r="AM197" s="585"/>
      <c r="AN197" s="585"/>
      <c r="AO197" s="585"/>
      <c r="AP197" s="585"/>
      <c r="AQ197" s="586"/>
      <c r="AR197" s="586"/>
      <c r="AS197" s="586"/>
      <c r="AT197" s="586"/>
      <c r="AU197" s="586"/>
      <c r="AV197" s="586"/>
      <c r="AW197" s="585"/>
      <c r="AX197" s="586"/>
      <c r="AY197" s="585"/>
      <c r="AZ197" s="585"/>
      <c r="BA197" s="585"/>
      <c r="BB197" s="585"/>
      <c r="BC197" s="586"/>
    </row>
    <row r="198">
      <c r="A198" s="585"/>
      <c r="B198" s="585"/>
      <c r="C198" s="585"/>
      <c r="D198" s="585"/>
      <c r="E198" s="585"/>
      <c r="F198" s="585"/>
      <c r="G198" s="585"/>
      <c r="H198" s="585"/>
      <c r="I198" s="585"/>
      <c r="J198" s="585"/>
      <c r="K198" s="585"/>
      <c r="L198" s="585"/>
      <c r="M198" s="586"/>
      <c r="N198" s="586"/>
      <c r="O198" s="585"/>
      <c r="P198" s="585"/>
      <c r="Q198" s="585"/>
      <c r="R198" s="585"/>
      <c r="S198" s="585"/>
      <c r="T198" s="585"/>
      <c r="U198" s="585"/>
      <c r="V198" s="585"/>
      <c r="W198" s="585"/>
      <c r="X198" s="585"/>
      <c r="Y198" s="585"/>
      <c r="Z198" s="585"/>
      <c r="AA198" s="585"/>
      <c r="AB198" s="586"/>
      <c r="AC198" s="585"/>
      <c r="AD198" s="585"/>
      <c r="AE198" s="585"/>
      <c r="AF198" s="585"/>
      <c r="AG198" s="585"/>
      <c r="AH198" s="585"/>
      <c r="AI198" s="585"/>
      <c r="AJ198" s="585"/>
      <c r="AK198" s="585"/>
      <c r="AL198" s="585"/>
      <c r="AM198" s="585"/>
      <c r="AN198" s="585"/>
      <c r="AO198" s="585"/>
      <c r="AP198" s="585"/>
      <c r="AQ198" s="586"/>
      <c r="AR198" s="586"/>
      <c r="AS198" s="586"/>
      <c r="AT198" s="586"/>
      <c r="AU198" s="586"/>
      <c r="AV198" s="586"/>
      <c r="AW198" s="585"/>
      <c r="AX198" s="586"/>
      <c r="AY198" s="585"/>
      <c r="AZ198" s="585"/>
      <c r="BA198" s="585"/>
      <c r="BB198" s="585"/>
      <c r="BC198" s="586"/>
    </row>
    <row r="199">
      <c r="A199" s="585"/>
      <c r="B199" s="585"/>
      <c r="C199" s="585"/>
      <c r="D199" s="585"/>
      <c r="E199" s="585"/>
      <c r="F199" s="585"/>
      <c r="G199" s="585"/>
      <c r="H199" s="585"/>
      <c r="I199" s="585"/>
      <c r="J199" s="585"/>
      <c r="K199" s="585"/>
      <c r="L199" s="585"/>
      <c r="M199" s="586"/>
      <c r="N199" s="586"/>
      <c r="O199" s="585"/>
      <c r="P199" s="585"/>
      <c r="Q199" s="585"/>
      <c r="R199" s="585"/>
      <c r="S199" s="585"/>
      <c r="T199" s="585"/>
      <c r="U199" s="585"/>
      <c r="V199" s="585"/>
      <c r="W199" s="585"/>
      <c r="X199" s="585"/>
      <c r="Y199" s="585"/>
      <c r="Z199" s="585"/>
      <c r="AA199" s="585"/>
      <c r="AB199" s="586"/>
      <c r="AC199" s="585"/>
      <c r="AD199" s="585"/>
      <c r="AE199" s="585"/>
      <c r="AF199" s="585"/>
      <c r="AG199" s="585"/>
      <c r="AH199" s="585"/>
      <c r="AI199" s="585"/>
      <c r="AJ199" s="585"/>
      <c r="AK199" s="585"/>
      <c r="AL199" s="585"/>
      <c r="AM199" s="585"/>
      <c r="AN199" s="585"/>
      <c r="AO199" s="585"/>
      <c r="AP199" s="585"/>
      <c r="AQ199" s="586"/>
      <c r="AR199" s="586"/>
      <c r="AS199" s="586"/>
      <c r="AT199" s="586"/>
      <c r="AU199" s="586"/>
      <c r="AV199" s="586"/>
      <c r="AW199" s="585"/>
      <c r="AX199" s="586"/>
      <c r="AY199" s="585"/>
      <c r="AZ199" s="585"/>
      <c r="BA199" s="585"/>
      <c r="BB199" s="585"/>
      <c r="BC199" s="586"/>
    </row>
    <row r="200">
      <c r="A200" s="585"/>
      <c r="B200" s="585"/>
      <c r="C200" s="585"/>
      <c r="D200" s="585"/>
      <c r="E200" s="585"/>
      <c r="F200" s="585"/>
      <c r="G200" s="585"/>
      <c r="H200" s="585"/>
      <c r="I200" s="585"/>
      <c r="J200" s="585"/>
      <c r="K200" s="585"/>
      <c r="L200" s="585"/>
      <c r="M200" s="586"/>
      <c r="N200" s="586"/>
      <c r="O200" s="585"/>
      <c r="P200" s="585"/>
      <c r="Q200" s="585"/>
      <c r="R200" s="585"/>
      <c r="S200" s="585"/>
      <c r="T200" s="585"/>
      <c r="U200" s="585"/>
      <c r="V200" s="585"/>
      <c r="W200" s="585"/>
      <c r="X200" s="585"/>
      <c r="Y200" s="585"/>
      <c r="Z200" s="585"/>
      <c r="AA200" s="585"/>
      <c r="AB200" s="586"/>
      <c r="AC200" s="585"/>
      <c r="AD200" s="585"/>
      <c r="AE200" s="585"/>
      <c r="AF200" s="585"/>
      <c r="AG200" s="585"/>
      <c r="AH200" s="585"/>
      <c r="AI200" s="585"/>
      <c r="AJ200" s="585"/>
      <c r="AK200" s="585"/>
      <c r="AL200" s="585"/>
      <c r="AM200" s="585"/>
      <c r="AN200" s="585"/>
      <c r="AO200" s="585"/>
      <c r="AP200" s="585"/>
      <c r="AQ200" s="586"/>
      <c r="AR200" s="586"/>
      <c r="AS200" s="586"/>
      <c r="AT200" s="586"/>
      <c r="AU200" s="586"/>
      <c r="AV200" s="586"/>
      <c r="AW200" s="585"/>
      <c r="AX200" s="586"/>
      <c r="AY200" s="585"/>
      <c r="AZ200" s="585"/>
      <c r="BA200" s="585"/>
      <c r="BB200" s="585"/>
      <c r="BC200" s="586"/>
    </row>
    <row r="201">
      <c r="A201" s="585"/>
      <c r="B201" s="585"/>
      <c r="C201" s="585"/>
      <c r="D201" s="585"/>
      <c r="E201" s="585"/>
      <c r="F201" s="585"/>
      <c r="G201" s="585"/>
      <c r="H201" s="585"/>
      <c r="I201" s="585"/>
      <c r="J201" s="585"/>
      <c r="K201" s="585"/>
      <c r="L201" s="585"/>
      <c r="M201" s="586"/>
      <c r="N201" s="586"/>
      <c r="O201" s="585"/>
      <c r="P201" s="585"/>
      <c r="Q201" s="585"/>
      <c r="R201" s="585"/>
      <c r="S201" s="585"/>
      <c r="T201" s="585"/>
      <c r="U201" s="585"/>
      <c r="V201" s="585"/>
      <c r="W201" s="585"/>
      <c r="X201" s="585"/>
      <c r="Y201" s="585"/>
      <c r="Z201" s="585"/>
      <c r="AA201" s="585"/>
      <c r="AB201" s="586"/>
      <c r="AC201" s="585"/>
      <c r="AD201" s="585"/>
      <c r="AE201" s="585"/>
      <c r="AF201" s="585"/>
      <c r="AG201" s="585"/>
      <c r="AH201" s="585"/>
      <c r="AI201" s="585"/>
      <c r="AJ201" s="585"/>
      <c r="AK201" s="585"/>
      <c r="AL201" s="585"/>
      <c r="AM201" s="585"/>
      <c r="AN201" s="585"/>
      <c r="AO201" s="585"/>
      <c r="AP201" s="585"/>
      <c r="AQ201" s="586"/>
      <c r="AR201" s="586"/>
      <c r="AS201" s="586"/>
      <c r="AT201" s="586"/>
      <c r="AU201" s="586"/>
      <c r="AV201" s="586"/>
      <c r="AW201" s="585"/>
      <c r="AX201" s="586"/>
      <c r="AY201" s="585"/>
      <c r="AZ201" s="585"/>
      <c r="BA201" s="585"/>
      <c r="BB201" s="585"/>
      <c r="BC201" s="586"/>
    </row>
    <row r="202">
      <c r="A202" s="585"/>
      <c r="B202" s="585"/>
      <c r="C202" s="585"/>
      <c r="D202" s="585"/>
      <c r="E202" s="585"/>
      <c r="F202" s="585"/>
      <c r="G202" s="585"/>
      <c r="H202" s="585"/>
      <c r="I202" s="585"/>
      <c r="J202" s="585"/>
      <c r="K202" s="585"/>
      <c r="L202" s="585"/>
      <c r="M202" s="586"/>
      <c r="N202" s="586"/>
      <c r="O202" s="585"/>
      <c r="P202" s="585"/>
      <c r="Q202" s="585"/>
      <c r="R202" s="585"/>
      <c r="S202" s="585"/>
      <c r="T202" s="585"/>
      <c r="U202" s="585"/>
      <c r="V202" s="585"/>
      <c r="W202" s="585"/>
      <c r="X202" s="585"/>
      <c r="Y202" s="585"/>
      <c r="Z202" s="585"/>
      <c r="AA202" s="585"/>
      <c r="AB202" s="586"/>
      <c r="AC202" s="585"/>
      <c r="AD202" s="585"/>
      <c r="AE202" s="585"/>
      <c r="AF202" s="585"/>
      <c r="AG202" s="585"/>
      <c r="AH202" s="585"/>
      <c r="AI202" s="585"/>
      <c r="AJ202" s="585"/>
      <c r="AK202" s="585"/>
      <c r="AL202" s="585"/>
      <c r="AM202" s="585"/>
      <c r="AN202" s="585"/>
      <c r="AO202" s="585"/>
      <c r="AP202" s="585"/>
      <c r="AQ202" s="586"/>
      <c r="AR202" s="586"/>
      <c r="AS202" s="586"/>
      <c r="AT202" s="586"/>
      <c r="AU202" s="586"/>
      <c r="AV202" s="586"/>
      <c r="AW202" s="585"/>
      <c r="AX202" s="586"/>
      <c r="AY202" s="585"/>
      <c r="AZ202" s="585"/>
      <c r="BA202" s="585"/>
      <c r="BB202" s="585"/>
      <c r="BC202" s="586"/>
    </row>
    <row r="203">
      <c r="A203" s="585"/>
      <c r="B203" s="585"/>
      <c r="C203" s="585"/>
      <c r="D203" s="585"/>
      <c r="E203" s="585"/>
      <c r="F203" s="585"/>
      <c r="G203" s="585"/>
      <c r="H203" s="585"/>
      <c r="I203" s="585"/>
      <c r="J203" s="585"/>
      <c r="K203" s="585"/>
      <c r="L203" s="585"/>
      <c r="M203" s="586"/>
      <c r="N203" s="586"/>
      <c r="O203" s="585"/>
      <c r="P203" s="585"/>
      <c r="Q203" s="585"/>
      <c r="R203" s="585"/>
      <c r="S203" s="585"/>
      <c r="T203" s="585"/>
      <c r="U203" s="585"/>
      <c r="V203" s="585"/>
      <c r="W203" s="585"/>
      <c r="X203" s="585"/>
      <c r="Y203" s="585"/>
      <c r="Z203" s="585"/>
      <c r="AA203" s="585"/>
      <c r="AB203" s="586"/>
      <c r="AC203" s="585"/>
      <c r="AD203" s="585"/>
      <c r="AE203" s="585"/>
      <c r="AF203" s="585"/>
      <c r="AG203" s="585"/>
      <c r="AH203" s="585"/>
      <c r="AI203" s="585"/>
      <c r="AJ203" s="585"/>
      <c r="AK203" s="585"/>
      <c r="AL203" s="585"/>
      <c r="AM203" s="585"/>
      <c r="AN203" s="585"/>
      <c r="AO203" s="585"/>
      <c r="AP203" s="585"/>
      <c r="AQ203" s="586"/>
      <c r="AR203" s="586"/>
      <c r="AS203" s="586"/>
      <c r="AT203" s="586"/>
      <c r="AU203" s="586"/>
      <c r="AV203" s="586"/>
      <c r="AW203" s="585"/>
      <c r="AX203" s="586"/>
      <c r="AY203" s="585"/>
      <c r="AZ203" s="585"/>
      <c r="BA203" s="585"/>
      <c r="BB203" s="585"/>
      <c r="BC203" s="586"/>
    </row>
    <row r="204">
      <c r="A204" s="585"/>
      <c r="B204" s="585"/>
      <c r="C204" s="585"/>
      <c r="D204" s="585"/>
      <c r="E204" s="585"/>
      <c r="F204" s="585"/>
      <c r="G204" s="585"/>
      <c r="H204" s="585"/>
      <c r="I204" s="585"/>
      <c r="J204" s="585"/>
      <c r="K204" s="585"/>
      <c r="L204" s="585"/>
      <c r="M204" s="586"/>
      <c r="N204" s="586"/>
      <c r="O204" s="585"/>
      <c r="P204" s="585"/>
      <c r="Q204" s="585"/>
      <c r="R204" s="585"/>
      <c r="S204" s="585"/>
      <c r="T204" s="585"/>
      <c r="U204" s="585"/>
      <c r="V204" s="585"/>
      <c r="W204" s="585"/>
      <c r="X204" s="585"/>
      <c r="Y204" s="585"/>
      <c r="Z204" s="585"/>
      <c r="AA204" s="585"/>
      <c r="AB204" s="586"/>
      <c r="AC204" s="585"/>
      <c r="AD204" s="585"/>
      <c r="AE204" s="585"/>
      <c r="AF204" s="585"/>
      <c r="AG204" s="585"/>
      <c r="AH204" s="585"/>
      <c r="AI204" s="585"/>
      <c r="AJ204" s="585"/>
      <c r="AK204" s="585"/>
      <c r="AL204" s="585"/>
      <c r="AM204" s="585"/>
      <c r="AN204" s="585"/>
      <c r="AO204" s="585"/>
      <c r="AP204" s="585"/>
      <c r="AQ204" s="586"/>
      <c r="AR204" s="586"/>
      <c r="AS204" s="586"/>
      <c r="AT204" s="586"/>
      <c r="AU204" s="586"/>
      <c r="AV204" s="586"/>
      <c r="AW204" s="585"/>
      <c r="AX204" s="586"/>
      <c r="AY204" s="585"/>
      <c r="AZ204" s="585"/>
      <c r="BA204" s="585"/>
      <c r="BB204" s="585"/>
      <c r="BC204" s="586"/>
    </row>
    <row r="205">
      <c r="A205" s="585"/>
      <c r="B205" s="585"/>
      <c r="C205" s="585"/>
      <c r="D205" s="585"/>
      <c r="E205" s="585"/>
      <c r="F205" s="585"/>
      <c r="G205" s="585"/>
      <c r="H205" s="585"/>
      <c r="I205" s="585"/>
      <c r="J205" s="585"/>
      <c r="K205" s="585"/>
      <c r="L205" s="585"/>
      <c r="M205" s="586"/>
      <c r="N205" s="586"/>
      <c r="O205" s="585"/>
      <c r="P205" s="585"/>
      <c r="Q205" s="585"/>
      <c r="R205" s="585"/>
      <c r="S205" s="585"/>
      <c r="T205" s="585"/>
      <c r="U205" s="585"/>
      <c r="V205" s="585"/>
      <c r="W205" s="585"/>
      <c r="X205" s="585"/>
      <c r="Y205" s="585"/>
      <c r="Z205" s="585"/>
      <c r="AA205" s="585"/>
      <c r="AB205" s="586"/>
      <c r="AC205" s="585"/>
      <c r="AD205" s="585"/>
      <c r="AE205" s="585"/>
      <c r="AF205" s="585"/>
      <c r="AG205" s="585"/>
      <c r="AH205" s="585"/>
      <c r="AI205" s="585"/>
      <c r="AJ205" s="585"/>
      <c r="AK205" s="585"/>
      <c r="AL205" s="585"/>
      <c r="AM205" s="585"/>
      <c r="AN205" s="585"/>
      <c r="AO205" s="585"/>
      <c r="AP205" s="585"/>
      <c r="AQ205" s="586"/>
      <c r="AR205" s="586"/>
      <c r="AS205" s="586"/>
      <c r="AT205" s="586"/>
      <c r="AU205" s="586"/>
      <c r="AV205" s="586"/>
      <c r="AW205" s="585"/>
      <c r="AX205" s="586"/>
      <c r="AY205" s="585"/>
      <c r="AZ205" s="585"/>
      <c r="BA205" s="585"/>
      <c r="BB205" s="585"/>
      <c r="BC205" s="586"/>
    </row>
    <row r="206">
      <c r="A206" s="585"/>
      <c r="B206" s="585"/>
      <c r="C206" s="585"/>
      <c r="D206" s="585"/>
      <c r="E206" s="585"/>
      <c r="F206" s="585"/>
      <c r="G206" s="585"/>
      <c r="H206" s="585"/>
      <c r="I206" s="585"/>
      <c r="J206" s="585"/>
      <c r="K206" s="585"/>
      <c r="L206" s="585"/>
      <c r="M206" s="586"/>
      <c r="N206" s="586"/>
      <c r="O206" s="585"/>
      <c r="P206" s="585"/>
      <c r="Q206" s="585"/>
      <c r="R206" s="585"/>
      <c r="S206" s="585"/>
      <c r="T206" s="585"/>
      <c r="U206" s="585"/>
      <c r="V206" s="585"/>
      <c r="W206" s="585"/>
      <c r="X206" s="585"/>
      <c r="Y206" s="585"/>
      <c r="Z206" s="585"/>
      <c r="AA206" s="585"/>
      <c r="AB206" s="586"/>
      <c r="AC206" s="585"/>
      <c r="AD206" s="585"/>
      <c r="AE206" s="585"/>
      <c r="AF206" s="585"/>
      <c r="AG206" s="585"/>
      <c r="AH206" s="585"/>
      <c r="AI206" s="585"/>
      <c r="AJ206" s="585"/>
      <c r="AK206" s="585"/>
      <c r="AL206" s="585"/>
      <c r="AM206" s="585"/>
      <c r="AN206" s="585"/>
      <c r="AO206" s="585"/>
      <c r="AP206" s="585"/>
      <c r="AQ206" s="586"/>
      <c r="AR206" s="586"/>
      <c r="AS206" s="586"/>
      <c r="AT206" s="586"/>
      <c r="AU206" s="586"/>
      <c r="AV206" s="586"/>
      <c r="AW206" s="585"/>
      <c r="AX206" s="586"/>
      <c r="AY206" s="585"/>
      <c r="AZ206" s="585"/>
      <c r="BA206" s="585"/>
      <c r="BB206" s="585"/>
      <c r="BC206" s="586"/>
    </row>
    <row r="207">
      <c r="A207" s="585"/>
      <c r="B207" s="585"/>
      <c r="C207" s="585"/>
      <c r="D207" s="585"/>
      <c r="E207" s="585"/>
      <c r="F207" s="585"/>
      <c r="G207" s="585"/>
      <c r="H207" s="585"/>
      <c r="I207" s="585"/>
      <c r="J207" s="585"/>
      <c r="K207" s="585"/>
      <c r="L207" s="585"/>
      <c r="M207" s="586"/>
      <c r="N207" s="586"/>
      <c r="O207" s="585"/>
      <c r="P207" s="585"/>
      <c r="Q207" s="585"/>
      <c r="R207" s="585"/>
      <c r="S207" s="585"/>
      <c r="T207" s="585"/>
      <c r="U207" s="585"/>
      <c r="V207" s="585"/>
      <c r="W207" s="585"/>
      <c r="X207" s="585"/>
      <c r="Y207" s="585"/>
      <c r="Z207" s="585"/>
      <c r="AA207" s="585"/>
      <c r="AB207" s="586"/>
      <c r="AC207" s="585"/>
      <c r="AD207" s="585"/>
      <c r="AE207" s="585"/>
      <c r="AF207" s="585"/>
      <c r="AG207" s="585"/>
      <c r="AH207" s="585"/>
      <c r="AI207" s="585"/>
      <c r="AJ207" s="585"/>
      <c r="AK207" s="585"/>
      <c r="AL207" s="585"/>
      <c r="AM207" s="585"/>
      <c r="AN207" s="585"/>
      <c r="AO207" s="585"/>
      <c r="AP207" s="585"/>
      <c r="AQ207" s="586"/>
      <c r="AR207" s="586"/>
      <c r="AS207" s="586"/>
      <c r="AT207" s="586"/>
      <c r="AU207" s="586"/>
      <c r="AV207" s="586"/>
      <c r="AW207" s="585"/>
      <c r="AX207" s="586"/>
      <c r="AY207" s="585"/>
      <c r="AZ207" s="585"/>
      <c r="BA207" s="585"/>
      <c r="BB207" s="585"/>
      <c r="BC207" s="586"/>
    </row>
    <row r="208">
      <c r="A208" s="585"/>
      <c r="B208" s="585"/>
      <c r="C208" s="585"/>
      <c r="D208" s="585"/>
      <c r="E208" s="585"/>
      <c r="F208" s="585"/>
      <c r="G208" s="585"/>
      <c r="H208" s="585"/>
      <c r="I208" s="585"/>
      <c r="J208" s="585"/>
      <c r="K208" s="585"/>
      <c r="L208" s="585"/>
      <c r="M208" s="586"/>
      <c r="N208" s="586"/>
      <c r="O208" s="585"/>
      <c r="P208" s="585"/>
      <c r="Q208" s="585"/>
      <c r="R208" s="585"/>
      <c r="S208" s="585"/>
      <c r="T208" s="585"/>
      <c r="U208" s="585"/>
      <c r="V208" s="585"/>
      <c r="W208" s="585"/>
      <c r="X208" s="585"/>
      <c r="Y208" s="585"/>
      <c r="Z208" s="585"/>
      <c r="AA208" s="585"/>
      <c r="AB208" s="586"/>
      <c r="AC208" s="585"/>
      <c r="AD208" s="585"/>
      <c r="AE208" s="585"/>
      <c r="AF208" s="585"/>
      <c r="AG208" s="585"/>
      <c r="AH208" s="585"/>
      <c r="AI208" s="585"/>
      <c r="AJ208" s="585"/>
      <c r="AK208" s="585"/>
      <c r="AL208" s="585"/>
      <c r="AM208" s="585"/>
      <c r="AN208" s="585"/>
      <c r="AO208" s="585"/>
      <c r="AP208" s="585"/>
      <c r="AQ208" s="586"/>
      <c r="AR208" s="586"/>
      <c r="AS208" s="586"/>
      <c r="AT208" s="586"/>
      <c r="AU208" s="586"/>
      <c r="AV208" s="586"/>
      <c r="AW208" s="585"/>
      <c r="AX208" s="586"/>
      <c r="AY208" s="585"/>
      <c r="AZ208" s="585"/>
      <c r="BA208" s="585"/>
      <c r="BB208" s="585"/>
      <c r="BC208" s="586"/>
    </row>
    <row r="209">
      <c r="A209" s="585"/>
      <c r="B209" s="585"/>
      <c r="C209" s="585"/>
      <c r="D209" s="585"/>
      <c r="E209" s="585"/>
      <c r="F209" s="585"/>
      <c r="G209" s="585"/>
      <c r="H209" s="585"/>
      <c r="I209" s="585"/>
      <c r="J209" s="585"/>
      <c r="K209" s="585"/>
      <c r="L209" s="585"/>
      <c r="M209" s="586"/>
      <c r="N209" s="586"/>
      <c r="O209" s="585"/>
      <c r="P209" s="585"/>
      <c r="Q209" s="585"/>
      <c r="R209" s="585"/>
      <c r="S209" s="585"/>
      <c r="T209" s="585"/>
      <c r="U209" s="585"/>
      <c r="V209" s="585"/>
      <c r="W209" s="585"/>
      <c r="X209" s="585"/>
      <c r="Y209" s="585"/>
      <c r="Z209" s="585"/>
      <c r="AA209" s="585"/>
      <c r="AB209" s="586"/>
      <c r="AC209" s="585"/>
      <c r="AD209" s="585"/>
      <c r="AE209" s="585"/>
      <c r="AF209" s="585"/>
      <c r="AG209" s="585"/>
      <c r="AH209" s="585"/>
      <c r="AI209" s="585"/>
      <c r="AJ209" s="585"/>
      <c r="AK209" s="585"/>
      <c r="AL209" s="585"/>
      <c r="AM209" s="585"/>
      <c r="AN209" s="585"/>
      <c r="AO209" s="585"/>
      <c r="AP209" s="585"/>
      <c r="AQ209" s="586"/>
      <c r="AR209" s="586"/>
      <c r="AS209" s="586"/>
      <c r="AT209" s="586"/>
      <c r="AU209" s="586"/>
      <c r="AV209" s="586"/>
      <c r="AW209" s="585"/>
      <c r="AX209" s="586"/>
      <c r="AY209" s="585"/>
      <c r="AZ209" s="585"/>
      <c r="BA209" s="585"/>
      <c r="BB209" s="585"/>
      <c r="BC209" s="586"/>
    </row>
    <row r="210">
      <c r="A210" s="585"/>
      <c r="B210" s="585"/>
      <c r="C210" s="585"/>
      <c r="D210" s="585"/>
      <c r="E210" s="585"/>
      <c r="F210" s="585"/>
      <c r="G210" s="585"/>
      <c r="H210" s="585"/>
      <c r="I210" s="585"/>
      <c r="J210" s="585"/>
      <c r="K210" s="585"/>
      <c r="L210" s="585"/>
      <c r="M210" s="586"/>
      <c r="N210" s="586"/>
      <c r="O210" s="585"/>
      <c r="P210" s="585"/>
      <c r="Q210" s="585"/>
      <c r="R210" s="585"/>
      <c r="S210" s="585"/>
      <c r="T210" s="585"/>
      <c r="U210" s="585"/>
      <c r="V210" s="585"/>
      <c r="W210" s="585"/>
      <c r="X210" s="585"/>
      <c r="Y210" s="585"/>
      <c r="Z210" s="585"/>
      <c r="AA210" s="585"/>
      <c r="AB210" s="586"/>
      <c r="AC210" s="585"/>
      <c r="AD210" s="585"/>
      <c r="AE210" s="585"/>
      <c r="AF210" s="585"/>
      <c r="AG210" s="585"/>
      <c r="AH210" s="585"/>
      <c r="AI210" s="585"/>
      <c r="AJ210" s="585"/>
      <c r="AK210" s="585"/>
      <c r="AL210" s="585"/>
      <c r="AM210" s="585"/>
      <c r="AN210" s="585"/>
      <c r="AO210" s="585"/>
      <c r="AP210" s="585"/>
      <c r="AQ210" s="586"/>
      <c r="AR210" s="586"/>
      <c r="AS210" s="586"/>
      <c r="AT210" s="586"/>
      <c r="AU210" s="586"/>
      <c r="AV210" s="586"/>
      <c r="AW210" s="585"/>
      <c r="AX210" s="586"/>
      <c r="AY210" s="585"/>
      <c r="AZ210" s="585"/>
      <c r="BA210" s="585"/>
      <c r="BB210" s="585"/>
      <c r="BC210" s="586"/>
    </row>
    <row r="211">
      <c r="A211" s="585"/>
      <c r="B211" s="585"/>
      <c r="C211" s="585"/>
      <c r="D211" s="585"/>
      <c r="E211" s="585"/>
      <c r="F211" s="585"/>
      <c r="G211" s="585"/>
      <c r="H211" s="585"/>
      <c r="I211" s="585"/>
      <c r="J211" s="585"/>
      <c r="K211" s="585"/>
      <c r="L211" s="585"/>
      <c r="M211" s="586"/>
      <c r="N211" s="586"/>
      <c r="O211" s="585"/>
      <c r="P211" s="585"/>
      <c r="Q211" s="585"/>
      <c r="R211" s="585"/>
      <c r="S211" s="585"/>
      <c r="T211" s="585"/>
      <c r="U211" s="585"/>
      <c r="V211" s="585"/>
      <c r="W211" s="585"/>
      <c r="X211" s="585"/>
      <c r="Y211" s="585"/>
      <c r="Z211" s="585"/>
      <c r="AA211" s="585"/>
      <c r="AB211" s="586"/>
      <c r="AC211" s="585"/>
      <c r="AD211" s="585"/>
      <c r="AE211" s="585"/>
      <c r="AF211" s="585"/>
      <c r="AG211" s="585"/>
      <c r="AH211" s="585"/>
      <c r="AI211" s="585"/>
      <c r="AJ211" s="585"/>
      <c r="AK211" s="585"/>
      <c r="AL211" s="585"/>
      <c r="AM211" s="585"/>
      <c r="AN211" s="585"/>
      <c r="AO211" s="585"/>
      <c r="AP211" s="585"/>
      <c r="AQ211" s="586"/>
      <c r="AR211" s="586"/>
      <c r="AS211" s="586"/>
      <c r="AT211" s="586"/>
      <c r="AU211" s="586"/>
      <c r="AV211" s="586"/>
      <c r="AW211" s="585"/>
      <c r="AX211" s="586"/>
      <c r="AY211" s="585"/>
      <c r="AZ211" s="585"/>
      <c r="BA211" s="585"/>
      <c r="BB211" s="585"/>
      <c r="BC211" s="586"/>
    </row>
    <row r="212">
      <c r="A212" s="585"/>
      <c r="B212" s="585"/>
      <c r="C212" s="585"/>
      <c r="D212" s="585"/>
      <c r="E212" s="585"/>
      <c r="F212" s="585"/>
      <c r="G212" s="585"/>
      <c r="H212" s="585"/>
      <c r="I212" s="585"/>
      <c r="J212" s="585"/>
      <c r="K212" s="585"/>
      <c r="L212" s="585"/>
      <c r="M212" s="586"/>
      <c r="N212" s="586"/>
      <c r="O212" s="585"/>
      <c r="P212" s="585"/>
      <c r="Q212" s="585"/>
      <c r="R212" s="585"/>
      <c r="S212" s="585"/>
      <c r="T212" s="585"/>
      <c r="U212" s="585"/>
      <c r="V212" s="585"/>
      <c r="W212" s="585"/>
      <c r="X212" s="585"/>
      <c r="Y212" s="585"/>
      <c r="Z212" s="585"/>
      <c r="AA212" s="585"/>
      <c r="AB212" s="586"/>
      <c r="AC212" s="585"/>
      <c r="AD212" s="585"/>
      <c r="AE212" s="585"/>
      <c r="AF212" s="585"/>
      <c r="AG212" s="585"/>
      <c r="AH212" s="585"/>
      <c r="AI212" s="585"/>
      <c r="AJ212" s="585"/>
      <c r="AK212" s="585"/>
      <c r="AL212" s="585"/>
      <c r="AM212" s="585"/>
      <c r="AN212" s="585"/>
      <c r="AO212" s="585"/>
      <c r="AP212" s="585"/>
      <c r="AQ212" s="586"/>
      <c r="AR212" s="586"/>
      <c r="AS212" s="586"/>
      <c r="AT212" s="586"/>
      <c r="AU212" s="586"/>
      <c r="AV212" s="586"/>
      <c r="AW212" s="585"/>
      <c r="AX212" s="586"/>
      <c r="AY212" s="585"/>
      <c r="AZ212" s="585"/>
      <c r="BA212" s="585"/>
      <c r="BB212" s="585"/>
      <c r="BC212" s="586"/>
    </row>
    <row r="213">
      <c r="A213" s="585"/>
      <c r="B213" s="585"/>
      <c r="C213" s="585"/>
      <c r="D213" s="585"/>
      <c r="E213" s="585"/>
      <c r="F213" s="585"/>
      <c r="G213" s="585"/>
      <c r="H213" s="585"/>
      <c r="I213" s="585"/>
      <c r="J213" s="585"/>
      <c r="K213" s="585"/>
      <c r="L213" s="585"/>
      <c r="M213" s="586"/>
      <c r="N213" s="586"/>
      <c r="O213" s="585"/>
      <c r="P213" s="585"/>
      <c r="Q213" s="585"/>
      <c r="R213" s="585"/>
      <c r="S213" s="585"/>
      <c r="T213" s="585"/>
      <c r="U213" s="585"/>
      <c r="V213" s="585"/>
      <c r="W213" s="585"/>
      <c r="X213" s="585"/>
      <c r="Y213" s="585"/>
      <c r="Z213" s="585"/>
      <c r="AA213" s="585"/>
      <c r="AB213" s="586"/>
      <c r="AC213" s="585"/>
      <c r="AD213" s="585"/>
      <c r="AE213" s="585"/>
      <c r="AF213" s="585"/>
      <c r="AG213" s="585"/>
      <c r="AH213" s="585"/>
      <c r="AI213" s="585"/>
      <c r="AJ213" s="585"/>
      <c r="AK213" s="585"/>
      <c r="AL213" s="585"/>
      <c r="AM213" s="585"/>
      <c r="AN213" s="585"/>
      <c r="AO213" s="585"/>
      <c r="AP213" s="585"/>
      <c r="AQ213" s="586"/>
      <c r="AR213" s="586"/>
      <c r="AS213" s="586"/>
      <c r="AT213" s="586"/>
      <c r="AU213" s="586"/>
      <c r="AV213" s="586"/>
      <c r="AW213" s="585"/>
      <c r="AX213" s="586"/>
      <c r="AY213" s="585"/>
      <c r="AZ213" s="585"/>
      <c r="BA213" s="585"/>
      <c r="BB213" s="585"/>
      <c r="BC213" s="586"/>
    </row>
    <row r="214">
      <c r="A214" s="585"/>
      <c r="B214" s="585"/>
      <c r="C214" s="585"/>
      <c r="D214" s="585"/>
      <c r="E214" s="585"/>
      <c r="F214" s="585"/>
      <c r="G214" s="585"/>
      <c r="H214" s="585"/>
      <c r="I214" s="585"/>
      <c r="J214" s="585"/>
      <c r="K214" s="585"/>
      <c r="L214" s="585"/>
      <c r="M214" s="586"/>
      <c r="N214" s="586"/>
      <c r="O214" s="585"/>
      <c r="P214" s="585"/>
      <c r="Q214" s="585"/>
      <c r="R214" s="585"/>
      <c r="S214" s="585"/>
      <c r="T214" s="585"/>
      <c r="U214" s="585"/>
      <c r="V214" s="585"/>
      <c r="W214" s="585"/>
      <c r="X214" s="585"/>
      <c r="Y214" s="585"/>
      <c r="Z214" s="585"/>
      <c r="AA214" s="585"/>
      <c r="AB214" s="586"/>
      <c r="AC214" s="585"/>
      <c r="AD214" s="585"/>
      <c r="AE214" s="585"/>
      <c r="AF214" s="585"/>
      <c r="AG214" s="585"/>
      <c r="AH214" s="585"/>
      <c r="AI214" s="585"/>
      <c r="AJ214" s="585"/>
      <c r="AK214" s="585"/>
      <c r="AL214" s="585"/>
      <c r="AM214" s="585"/>
      <c r="AN214" s="585"/>
      <c r="AO214" s="585"/>
      <c r="AP214" s="585"/>
      <c r="AQ214" s="586"/>
      <c r="AR214" s="586"/>
      <c r="AS214" s="586"/>
      <c r="AT214" s="586"/>
      <c r="AU214" s="586"/>
      <c r="AV214" s="586"/>
      <c r="AW214" s="585"/>
      <c r="AX214" s="586"/>
      <c r="AY214" s="585"/>
      <c r="AZ214" s="585"/>
      <c r="BA214" s="585"/>
      <c r="BB214" s="585"/>
      <c r="BC214" s="586"/>
    </row>
    <row r="215">
      <c r="A215" s="585"/>
      <c r="B215" s="585"/>
      <c r="C215" s="585"/>
      <c r="D215" s="585"/>
      <c r="E215" s="585"/>
      <c r="F215" s="585"/>
      <c r="G215" s="585"/>
      <c r="H215" s="585"/>
      <c r="I215" s="585"/>
      <c r="J215" s="585"/>
      <c r="K215" s="585"/>
      <c r="L215" s="585"/>
      <c r="M215" s="586"/>
      <c r="N215" s="586"/>
      <c r="O215" s="585"/>
      <c r="P215" s="585"/>
      <c r="Q215" s="585"/>
      <c r="R215" s="585"/>
      <c r="S215" s="585"/>
      <c r="T215" s="585"/>
      <c r="U215" s="585"/>
      <c r="V215" s="585"/>
      <c r="W215" s="585"/>
      <c r="X215" s="585"/>
      <c r="Y215" s="585"/>
      <c r="Z215" s="585"/>
      <c r="AA215" s="585"/>
      <c r="AB215" s="586"/>
      <c r="AC215" s="585"/>
      <c r="AD215" s="585"/>
      <c r="AE215" s="585"/>
      <c r="AF215" s="585"/>
      <c r="AG215" s="585"/>
      <c r="AH215" s="585"/>
      <c r="AI215" s="585"/>
      <c r="AJ215" s="585"/>
      <c r="AK215" s="585"/>
      <c r="AL215" s="585"/>
      <c r="AM215" s="585"/>
      <c r="AN215" s="585"/>
      <c r="AO215" s="585"/>
      <c r="AP215" s="585"/>
      <c r="AQ215" s="586"/>
      <c r="AR215" s="586"/>
      <c r="AS215" s="586"/>
      <c r="AT215" s="586"/>
      <c r="AU215" s="586"/>
      <c r="AV215" s="586"/>
      <c r="AW215" s="585"/>
      <c r="AX215" s="586"/>
      <c r="AY215" s="585"/>
      <c r="AZ215" s="585"/>
      <c r="BA215" s="585"/>
      <c r="BB215" s="585"/>
      <c r="BC215" s="586"/>
    </row>
    <row r="216">
      <c r="A216" s="585"/>
      <c r="B216" s="585"/>
      <c r="C216" s="585"/>
      <c r="D216" s="585"/>
      <c r="E216" s="585"/>
      <c r="F216" s="585"/>
      <c r="G216" s="585"/>
      <c r="H216" s="585"/>
      <c r="I216" s="585"/>
      <c r="J216" s="585"/>
      <c r="K216" s="585"/>
      <c r="L216" s="585"/>
      <c r="M216" s="586"/>
      <c r="N216" s="586"/>
      <c r="O216" s="585"/>
      <c r="P216" s="585"/>
      <c r="Q216" s="585"/>
      <c r="R216" s="585"/>
      <c r="S216" s="585"/>
      <c r="T216" s="585"/>
      <c r="U216" s="585"/>
      <c r="V216" s="585"/>
      <c r="W216" s="585"/>
      <c r="X216" s="585"/>
      <c r="Y216" s="585"/>
      <c r="Z216" s="585"/>
      <c r="AA216" s="585"/>
      <c r="AB216" s="586"/>
      <c r="AC216" s="585"/>
      <c r="AD216" s="585"/>
      <c r="AE216" s="585"/>
      <c r="AF216" s="585"/>
      <c r="AG216" s="585"/>
      <c r="AH216" s="585"/>
      <c r="AI216" s="585"/>
      <c r="AJ216" s="585"/>
      <c r="AK216" s="585"/>
      <c r="AL216" s="585"/>
      <c r="AM216" s="585"/>
      <c r="AN216" s="585"/>
      <c r="AO216" s="585"/>
      <c r="AP216" s="585"/>
      <c r="AQ216" s="586"/>
      <c r="AR216" s="586"/>
      <c r="AS216" s="586"/>
      <c r="AT216" s="586"/>
      <c r="AU216" s="586"/>
      <c r="AV216" s="586"/>
      <c r="AW216" s="585"/>
      <c r="AX216" s="586"/>
      <c r="AY216" s="585"/>
      <c r="AZ216" s="585"/>
      <c r="BA216" s="585"/>
      <c r="BB216" s="585"/>
      <c r="BC216" s="586"/>
    </row>
    <row r="217">
      <c r="A217" s="585"/>
      <c r="B217" s="585"/>
      <c r="C217" s="585"/>
      <c r="D217" s="585"/>
      <c r="E217" s="585"/>
      <c r="F217" s="585"/>
      <c r="G217" s="585"/>
      <c r="H217" s="585"/>
      <c r="I217" s="585"/>
      <c r="J217" s="585"/>
      <c r="K217" s="585"/>
      <c r="L217" s="585"/>
      <c r="M217" s="586"/>
      <c r="N217" s="586"/>
      <c r="O217" s="585"/>
      <c r="P217" s="585"/>
      <c r="Q217" s="585"/>
      <c r="R217" s="585"/>
      <c r="S217" s="585"/>
      <c r="T217" s="585"/>
      <c r="U217" s="585"/>
      <c r="V217" s="585"/>
      <c r="W217" s="585"/>
      <c r="X217" s="585"/>
      <c r="Y217" s="585"/>
      <c r="Z217" s="585"/>
      <c r="AA217" s="585"/>
      <c r="AB217" s="586"/>
      <c r="AC217" s="585"/>
      <c r="AD217" s="585"/>
      <c r="AE217" s="585"/>
      <c r="AF217" s="585"/>
      <c r="AG217" s="585"/>
      <c r="AH217" s="585"/>
      <c r="AI217" s="585"/>
      <c r="AJ217" s="585"/>
      <c r="AK217" s="585"/>
      <c r="AL217" s="585"/>
      <c r="AM217" s="585"/>
      <c r="AN217" s="585"/>
      <c r="AO217" s="585"/>
      <c r="AP217" s="585"/>
      <c r="AQ217" s="586"/>
      <c r="AR217" s="586"/>
      <c r="AS217" s="586"/>
      <c r="AT217" s="586"/>
      <c r="AU217" s="586"/>
      <c r="AV217" s="586"/>
      <c r="AW217" s="585"/>
      <c r="AX217" s="586"/>
      <c r="AY217" s="585"/>
      <c r="AZ217" s="585"/>
      <c r="BA217" s="585"/>
      <c r="BB217" s="585"/>
      <c r="BC217" s="586"/>
    </row>
    <row r="218">
      <c r="A218" s="585"/>
      <c r="B218" s="585"/>
      <c r="C218" s="585"/>
      <c r="D218" s="585"/>
      <c r="E218" s="585"/>
      <c r="F218" s="585"/>
      <c r="G218" s="585"/>
      <c r="H218" s="585"/>
      <c r="I218" s="585"/>
      <c r="J218" s="585"/>
      <c r="K218" s="585"/>
      <c r="L218" s="585"/>
      <c r="M218" s="586"/>
      <c r="N218" s="586"/>
      <c r="O218" s="585"/>
      <c r="P218" s="585"/>
      <c r="Q218" s="585"/>
      <c r="R218" s="585"/>
      <c r="S218" s="585"/>
      <c r="T218" s="585"/>
      <c r="U218" s="585"/>
      <c r="V218" s="585"/>
      <c r="W218" s="585"/>
      <c r="X218" s="585"/>
      <c r="Y218" s="585"/>
      <c r="Z218" s="585"/>
      <c r="AA218" s="585"/>
      <c r="AB218" s="586"/>
      <c r="AC218" s="585"/>
      <c r="AD218" s="585"/>
      <c r="AE218" s="585"/>
      <c r="AF218" s="585"/>
      <c r="AG218" s="585"/>
      <c r="AH218" s="585"/>
      <c r="AI218" s="585"/>
      <c r="AJ218" s="585"/>
      <c r="AK218" s="585"/>
      <c r="AL218" s="585"/>
      <c r="AM218" s="585"/>
      <c r="AN218" s="585"/>
      <c r="AO218" s="585"/>
      <c r="AP218" s="585"/>
      <c r="AQ218" s="586"/>
      <c r="AR218" s="586"/>
      <c r="AS218" s="586"/>
      <c r="AT218" s="586"/>
      <c r="AU218" s="586"/>
      <c r="AV218" s="586"/>
      <c r="AW218" s="585"/>
      <c r="AX218" s="586"/>
      <c r="AY218" s="585"/>
      <c r="AZ218" s="585"/>
      <c r="BA218" s="585"/>
      <c r="BB218" s="585"/>
      <c r="BC218" s="586"/>
    </row>
    <row r="219">
      <c r="A219" s="585"/>
      <c r="B219" s="585"/>
      <c r="C219" s="585"/>
      <c r="D219" s="585"/>
      <c r="E219" s="585"/>
      <c r="F219" s="585"/>
      <c r="G219" s="585"/>
      <c r="H219" s="585"/>
      <c r="I219" s="585"/>
      <c r="J219" s="585"/>
      <c r="K219" s="585"/>
      <c r="L219" s="585"/>
      <c r="M219" s="586"/>
      <c r="N219" s="586"/>
      <c r="O219" s="585"/>
      <c r="P219" s="585"/>
      <c r="Q219" s="585"/>
      <c r="R219" s="585"/>
      <c r="S219" s="585"/>
      <c r="T219" s="585"/>
      <c r="U219" s="585"/>
      <c r="V219" s="585"/>
      <c r="W219" s="585"/>
      <c r="X219" s="585"/>
      <c r="Y219" s="585"/>
      <c r="Z219" s="585"/>
      <c r="AA219" s="585"/>
      <c r="AB219" s="586"/>
      <c r="AC219" s="585"/>
      <c r="AD219" s="585"/>
      <c r="AE219" s="585"/>
      <c r="AF219" s="585"/>
      <c r="AG219" s="585"/>
      <c r="AH219" s="585"/>
      <c r="AI219" s="585"/>
      <c r="AJ219" s="585"/>
      <c r="AK219" s="585"/>
      <c r="AL219" s="585"/>
      <c r="AM219" s="585"/>
      <c r="AN219" s="585"/>
      <c r="AO219" s="585"/>
      <c r="AP219" s="585"/>
      <c r="AQ219" s="586"/>
      <c r="AR219" s="586"/>
      <c r="AS219" s="586"/>
      <c r="AT219" s="586"/>
      <c r="AU219" s="586"/>
      <c r="AV219" s="586"/>
      <c r="AW219" s="585"/>
      <c r="AX219" s="586"/>
      <c r="AY219" s="585"/>
      <c r="AZ219" s="585"/>
      <c r="BA219" s="585"/>
      <c r="BB219" s="585"/>
      <c r="BC219" s="586"/>
    </row>
    <row r="220">
      <c r="A220" s="585"/>
      <c r="B220" s="585"/>
      <c r="C220" s="585"/>
      <c r="D220" s="585"/>
      <c r="E220" s="585"/>
      <c r="F220" s="585"/>
      <c r="G220" s="585"/>
      <c r="H220" s="585"/>
      <c r="I220" s="585"/>
      <c r="J220" s="585"/>
      <c r="K220" s="585"/>
      <c r="L220" s="585"/>
      <c r="M220" s="586"/>
      <c r="N220" s="586"/>
      <c r="O220" s="585"/>
      <c r="P220" s="585"/>
      <c r="Q220" s="585"/>
      <c r="R220" s="585"/>
      <c r="S220" s="585"/>
      <c r="T220" s="585"/>
      <c r="U220" s="585"/>
      <c r="V220" s="585"/>
      <c r="W220" s="585"/>
      <c r="X220" s="585"/>
      <c r="Y220" s="585"/>
      <c r="Z220" s="585"/>
      <c r="AA220" s="585"/>
      <c r="AB220" s="586"/>
      <c r="AC220" s="585"/>
      <c r="AD220" s="585"/>
      <c r="AE220" s="585"/>
      <c r="AF220" s="585"/>
      <c r="AG220" s="585"/>
      <c r="AH220" s="585"/>
      <c r="AI220" s="585"/>
      <c r="AJ220" s="585"/>
      <c r="AK220" s="585"/>
      <c r="AL220" s="585"/>
      <c r="AM220" s="585"/>
      <c r="AN220" s="585"/>
      <c r="AO220" s="585"/>
      <c r="AP220" s="585"/>
      <c r="AQ220" s="586"/>
      <c r="AR220" s="586"/>
      <c r="AS220" s="586"/>
      <c r="AT220" s="586"/>
      <c r="AU220" s="586"/>
      <c r="AV220" s="586"/>
      <c r="AW220" s="585"/>
      <c r="AX220" s="586"/>
      <c r="AY220" s="585"/>
      <c r="AZ220" s="585"/>
      <c r="BA220" s="585"/>
      <c r="BB220" s="585"/>
      <c r="BC220" s="586"/>
    </row>
    <row r="221">
      <c r="A221" s="585"/>
      <c r="B221" s="585"/>
      <c r="C221" s="585"/>
      <c r="D221" s="585"/>
      <c r="E221" s="585"/>
      <c r="F221" s="585"/>
      <c r="G221" s="585"/>
      <c r="H221" s="585"/>
      <c r="I221" s="585"/>
      <c r="J221" s="585"/>
      <c r="K221" s="585"/>
      <c r="L221" s="585"/>
      <c r="M221" s="586"/>
      <c r="N221" s="586"/>
      <c r="O221" s="585"/>
      <c r="P221" s="585"/>
      <c r="Q221" s="585"/>
      <c r="R221" s="585"/>
      <c r="S221" s="585"/>
      <c r="T221" s="585"/>
      <c r="U221" s="585"/>
      <c r="V221" s="585"/>
      <c r="W221" s="585"/>
      <c r="X221" s="585"/>
      <c r="Y221" s="585"/>
      <c r="Z221" s="585"/>
      <c r="AA221" s="585"/>
      <c r="AB221" s="586"/>
      <c r="AC221" s="585"/>
      <c r="AD221" s="585"/>
      <c r="AE221" s="585"/>
      <c r="AF221" s="585"/>
      <c r="AG221" s="585"/>
      <c r="AH221" s="585"/>
      <c r="AI221" s="585"/>
      <c r="AJ221" s="585"/>
      <c r="AK221" s="585"/>
      <c r="AL221" s="585"/>
      <c r="AM221" s="585"/>
      <c r="AN221" s="585"/>
      <c r="AO221" s="585"/>
      <c r="AP221" s="585"/>
      <c r="AQ221" s="586"/>
      <c r="AR221" s="586"/>
      <c r="AS221" s="586"/>
      <c r="AT221" s="586"/>
      <c r="AU221" s="586"/>
      <c r="AV221" s="586"/>
      <c r="AW221" s="585"/>
      <c r="AX221" s="586"/>
      <c r="AY221" s="585"/>
      <c r="AZ221" s="585"/>
      <c r="BA221" s="585"/>
      <c r="BB221" s="585"/>
      <c r="BC221" s="586"/>
    </row>
    <row r="222">
      <c r="A222" s="585"/>
      <c r="B222" s="585"/>
      <c r="C222" s="585"/>
      <c r="D222" s="585"/>
      <c r="E222" s="585"/>
      <c r="F222" s="585"/>
      <c r="G222" s="585"/>
      <c r="H222" s="585"/>
      <c r="I222" s="585"/>
      <c r="J222" s="585"/>
      <c r="K222" s="585"/>
      <c r="L222" s="585"/>
      <c r="M222" s="586"/>
      <c r="N222" s="586"/>
      <c r="O222" s="585"/>
      <c r="P222" s="585"/>
      <c r="Q222" s="585"/>
      <c r="R222" s="585"/>
      <c r="S222" s="585"/>
      <c r="T222" s="585"/>
      <c r="U222" s="585"/>
      <c r="V222" s="585"/>
      <c r="W222" s="585"/>
      <c r="X222" s="585"/>
      <c r="Y222" s="585"/>
      <c r="Z222" s="585"/>
      <c r="AA222" s="585"/>
      <c r="AB222" s="586"/>
      <c r="AC222" s="585"/>
      <c r="AD222" s="585"/>
      <c r="AE222" s="585"/>
      <c r="AF222" s="585"/>
      <c r="AG222" s="585"/>
      <c r="AH222" s="585"/>
      <c r="AI222" s="585"/>
      <c r="AJ222" s="585"/>
      <c r="AK222" s="585"/>
      <c r="AL222" s="585"/>
      <c r="AM222" s="585"/>
      <c r="AN222" s="585"/>
      <c r="AO222" s="585"/>
      <c r="AP222" s="585"/>
      <c r="AQ222" s="586"/>
      <c r="AR222" s="586"/>
      <c r="AS222" s="586"/>
      <c r="AT222" s="586"/>
      <c r="AU222" s="586"/>
      <c r="AV222" s="586"/>
      <c r="AW222" s="585"/>
      <c r="AX222" s="586"/>
      <c r="AY222" s="585"/>
      <c r="AZ222" s="585"/>
      <c r="BA222" s="585"/>
      <c r="BB222" s="585"/>
      <c r="BC222" s="586"/>
    </row>
    <row r="223">
      <c r="A223" s="585"/>
      <c r="B223" s="585"/>
      <c r="C223" s="585"/>
      <c r="D223" s="585"/>
      <c r="E223" s="585"/>
      <c r="F223" s="585"/>
      <c r="G223" s="585"/>
      <c r="H223" s="585"/>
      <c r="I223" s="585"/>
      <c r="J223" s="585"/>
      <c r="K223" s="585"/>
      <c r="L223" s="585"/>
      <c r="M223" s="586"/>
      <c r="N223" s="586"/>
      <c r="O223" s="585"/>
      <c r="P223" s="585"/>
      <c r="Q223" s="585"/>
      <c r="R223" s="585"/>
      <c r="S223" s="585"/>
      <c r="T223" s="585"/>
      <c r="U223" s="585"/>
      <c r="V223" s="585"/>
      <c r="W223" s="585"/>
      <c r="X223" s="585"/>
      <c r="Y223" s="585"/>
      <c r="Z223" s="585"/>
      <c r="AA223" s="585"/>
      <c r="AB223" s="586"/>
      <c r="AC223" s="585"/>
      <c r="AD223" s="585"/>
      <c r="AE223" s="585"/>
      <c r="AF223" s="585"/>
      <c r="AG223" s="585"/>
      <c r="AH223" s="585"/>
      <c r="AI223" s="585"/>
      <c r="AJ223" s="585"/>
      <c r="AK223" s="585"/>
      <c r="AL223" s="585"/>
      <c r="AM223" s="585"/>
      <c r="AN223" s="585"/>
      <c r="AO223" s="585"/>
      <c r="AP223" s="585"/>
      <c r="AQ223" s="586"/>
      <c r="AR223" s="586"/>
      <c r="AS223" s="586"/>
      <c r="AT223" s="586"/>
      <c r="AU223" s="586"/>
      <c r="AV223" s="586"/>
      <c r="AW223" s="585"/>
      <c r="AX223" s="586"/>
      <c r="AY223" s="585"/>
      <c r="AZ223" s="585"/>
      <c r="BA223" s="585"/>
      <c r="BB223" s="585"/>
      <c r="BC223" s="586"/>
    </row>
    <row r="224">
      <c r="A224" s="585"/>
      <c r="B224" s="585"/>
      <c r="C224" s="585"/>
      <c r="D224" s="585"/>
      <c r="E224" s="585"/>
      <c r="F224" s="585"/>
      <c r="G224" s="585"/>
      <c r="H224" s="585"/>
      <c r="I224" s="585"/>
      <c r="J224" s="585"/>
      <c r="K224" s="585"/>
      <c r="L224" s="585"/>
      <c r="M224" s="586"/>
      <c r="N224" s="586"/>
      <c r="O224" s="585"/>
      <c r="P224" s="585"/>
      <c r="Q224" s="585"/>
      <c r="R224" s="585"/>
      <c r="S224" s="585"/>
      <c r="T224" s="585"/>
      <c r="U224" s="585"/>
      <c r="V224" s="585"/>
      <c r="W224" s="585"/>
      <c r="X224" s="585"/>
      <c r="Y224" s="585"/>
      <c r="Z224" s="585"/>
      <c r="AA224" s="585"/>
      <c r="AB224" s="586"/>
      <c r="AC224" s="585"/>
      <c r="AD224" s="585"/>
      <c r="AE224" s="585"/>
      <c r="AF224" s="585"/>
      <c r="AG224" s="585"/>
      <c r="AH224" s="585"/>
      <c r="AI224" s="585"/>
      <c r="AJ224" s="585"/>
      <c r="AK224" s="585"/>
      <c r="AL224" s="585"/>
      <c r="AM224" s="585"/>
      <c r="AN224" s="585"/>
      <c r="AO224" s="585"/>
      <c r="AP224" s="585"/>
      <c r="AQ224" s="586"/>
      <c r="AR224" s="586"/>
      <c r="AS224" s="586"/>
      <c r="AT224" s="586"/>
      <c r="AU224" s="586"/>
      <c r="AV224" s="586"/>
      <c r="AW224" s="585"/>
      <c r="AX224" s="586"/>
      <c r="AY224" s="585"/>
      <c r="AZ224" s="585"/>
      <c r="BA224" s="585"/>
      <c r="BB224" s="585"/>
      <c r="BC224" s="586"/>
    </row>
    <row r="225">
      <c r="B225" s="161"/>
      <c r="C225" s="161"/>
      <c r="D225" s="161"/>
      <c r="F225" s="161"/>
      <c r="G225" s="161"/>
      <c r="H225" s="161"/>
      <c r="I225" s="161"/>
      <c r="J225" s="161"/>
      <c r="M225" s="161"/>
      <c r="N225" s="161"/>
      <c r="R225" s="161"/>
      <c r="S225" s="161"/>
      <c r="W225" s="161"/>
      <c r="X225" s="161"/>
      <c r="Y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L225" s="161"/>
      <c r="AN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BA225" s="161"/>
      <c r="BC225" s="161"/>
    </row>
    <row r="226">
      <c r="B226" s="161"/>
      <c r="C226" s="161"/>
      <c r="D226" s="161"/>
      <c r="F226" s="161"/>
      <c r="G226" s="161"/>
      <c r="H226" s="161"/>
      <c r="I226" s="161"/>
      <c r="J226" s="161"/>
      <c r="M226" s="161"/>
      <c r="N226" s="161"/>
      <c r="R226" s="161"/>
      <c r="S226" s="161"/>
      <c r="W226" s="161"/>
      <c r="X226" s="161"/>
      <c r="Y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L226" s="161"/>
      <c r="AN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BA226" s="161"/>
      <c r="BC226" s="161"/>
    </row>
    <row r="227">
      <c r="B227" s="161"/>
      <c r="C227" s="161"/>
      <c r="D227" s="161"/>
      <c r="F227" s="161"/>
      <c r="G227" s="161"/>
      <c r="H227" s="161"/>
      <c r="I227" s="161"/>
      <c r="J227" s="161"/>
      <c r="M227" s="161"/>
      <c r="N227" s="161"/>
      <c r="R227" s="161"/>
      <c r="S227" s="161"/>
      <c r="W227" s="161"/>
      <c r="X227" s="161"/>
      <c r="Y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L227" s="161"/>
      <c r="AN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BA227" s="161"/>
      <c r="BC227" s="161"/>
    </row>
    <row r="228">
      <c r="B228" s="161"/>
      <c r="C228" s="161"/>
      <c r="D228" s="161"/>
      <c r="F228" s="161"/>
      <c r="G228" s="161"/>
      <c r="H228" s="161"/>
      <c r="I228" s="161"/>
      <c r="J228" s="161"/>
      <c r="M228" s="161"/>
      <c r="N228" s="161"/>
      <c r="R228" s="161"/>
      <c r="S228" s="161"/>
      <c r="W228" s="161"/>
      <c r="X228" s="161"/>
      <c r="Y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L228" s="161"/>
      <c r="AN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BA228" s="161"/>
      <c r="BC228" s="161"/>
    </row>
    <row r="229">
      <c r="B229" s="161"/>
      <c r="C229" s="161"/>
      <c r="D229" s="161"/>
      <c r="F229" s="161"/>
      <c r="G229" s="161"/>
      <c r="H229" s="161"/>
      <c r="I229" s="161"/>
      <c r="J229" s="161"/>
      <c r="M229" s="161"/>
      <c r="N229" s="161"/>
      <c r="R229" s="161"/>
      <c r="S229" s="161"/>
      <c r="W229" s="161"/>
      <c r="X229" s="161"/>
      <c r="Y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L229" s="161"/>
      <c r="AN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BA229" s="161"/>
      <c r="BC229" s="161"/>
    </row>
    <row r="230">
      <c r="B230" s="161"/>
      <c r="C230" s="161"/>
      <c r="D230" s="161"/>
      <c r="F230" s="161"/>
      <c r="G230" s="161"/>
      <c r="H230" s="161"/>
      <c r="I230" s="161"/>
      <c r="J230" s="161"/>
      <c r="M230" s="161"/>
      <c r="N230" s="161"/>
      <c r="R230" s="161"/>
      <c r="S230" s="161"/>
      <c r="W230" s="161"/>
      <c r="X230" s="161"/>
      <c r="Y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L230" s="161"/>
      <c r="AN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BA230" s="161"/>
      <c r="BC230" s="161"/>
    </row>
    <row r="231">
      <c r="B231" s="161"/>
      <c r="C231" s="161"/>
      <c r="D231" s="161"/>
      <c r="F231" s="161"/>
      <c r="G231" s="161"/>
      <c r="H231" s="161"/>
      <c r="I231" s="161"/>
      <c r="J231" s="161"/>
      <c r="M231" s="161"/>
      <c r="N231" s="161"/>
      <c r="R231" s="161"/>
      <c r="S231" s="161"/>
      <c r="W231" s="161"/>
      <c r="X231" s="161"/>
      <c r="Y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L231" s="161"/>
      <c r="AN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BA231" s="161"/>
      <c r="BC231" s="161"/>
    </row>
    <row r="232">
      <c r="B232" s="161"/>
      <c r="C232" s="161"/>
      <c r="D232" s="161"/>
      <c r="F232" s="161"/>
      <c r="G232" s="161"/>
      <c r="H232" s="161"/>
      <c r="I232" s="161"/>
      <c r="J232" s="161"/>
      <c r="M232" s="161"/>
      <c r="N232" s="161"/>
      <c r="R232" s="161"/>
      <c r="S232" s="161"/>
      <c r="W232" s="161"/>
      <c r="X232" s="161"/>
      <c r="Y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L232" s="161"/>
      <c r="AN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BA232" s="161"/>
      <c r="BC232" s="161"/>
    </row>
    <row r="233">
      <c r="B233" s="161"/>
      <c r="C233" s="161"/>
      <c r="D233" s="161"/>
      <c r="F233" s="161"/>
      <c r="G233" s="161"/>
      <c r="H233" s="161"/>
      <c r="I233" s="161"/>
      <c r="J233" s="161"/>
      <c r="M233" s="161"/>
      <c r="N233" s="161"/>
      <c r="R233" s="161"/>
      <c r="S233" s="161"/>
      <c r="W233" s="161"/>
      <c r="X233" s="161"/>
      <c r="Y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L233" s="161"/>
      <c r="AN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BA233" s="161"/>
      <c r="BC233" s="161"/>
    </row>
    <row r="234">
      <c r="B234" s="161"/>
      <c r="C234" s="161"/>
      <c r="D234" s="161"/>
      <c r="F234" s="161"/>
      <c r="G234" s="161"/>
      <c r="H234" s="161"/>
      <c r="I234" s="161"/>
      <c r="J234" s="161"/>
      <c r="M234" s="161"/>
      <c r="N234" s="161"/>
      <c r="R234" s="161"/>
      <c r="S234" s="161"/>
      <c r="W234" s="161"/>
      <c r="X234" s="161"/>
      <c r="Y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L234" s="161"/>
      <c r="AN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BA234" s="161"/>
      <c r="BC234" s="161"/>
    </row>
    <row r="235">
      <c r="B235" s="161"/>
      <c r="C235" s="161"/>
      <c r="D235" s="161"/>
      <c r="F235" s="161"/>
      <c r="G235" s="161"/>
      <c r="H235" s="161"/>
      <c r="I235" s="161"/>
      <c r="J235" s="161"/>
      <c r="M235" s="161"/>
      <c r="N235" s="161"/>
      <c r="R235" s="161"/>
      <c r="S235" s="161"/>
      <c r="W235" s="161"/>
      <c r="X235" s="161"/>
      <c r="Y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L235" s="161"/>
      <c r="AN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BA235" s="161"/>
      <c r="BC235" s="161"/>
    </row>
    <row r="236">
      <c r="B236" s="161"/>
      <c r="C236" s="161"/>
      <c r="D236" s="161"/>
      <c r="F236" s="161"/>
      <c r="G236" s="161"/>
      <c r="H236" s="161"/>
      <c r="I236" s="161"/>
      <c r="J236" s="161"/>
      <c r="M236" s="161"/>
      <c r="N236" s="161"/>
      <c r="R236" s="161"/>
      <c r="S236" s="161"/>
      <c r="W236" s="161"/>
      <c r="X236" s="161"/>
      <c r="Y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L236" s="161"/>
      <c r="AN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BA236" s="161"/>
      <c r="BC236" s="161"/>
    </row>
    <row r="237">
      <c r="B237" s="161"/>
      <c r="C237" s="161"/>
      <c r="D237" s="161"/>
      <c r="F237" s="161"/>
      <c r="G237" s="161"/>
      <c r="H237" s="161"/>
      <c r="I237" s="161"/>
      <c r="J237" s="161"/>
      <c r="M237" s="161"/>
      <c r="N237" s="161"/>
      <c r="R237" s="161"/>
      <c r="S237" s="161"/>
      <c r="W237" s="161"/>
      <c r="X237" s="161"/>
      <c r="Y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L237" s="161"/>
      <c r="AN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BA237" s="161"/>
      <c r="BC237" s="161"/>
    </row>
    <row r="238">
      <c r="B238" s="161"/>
      <c r="C238" s="161"/>
      <c r="D238" s="161"/>
      <c r="F238" s="161"/>
      <c r="G238" s="161"/>
      <c r="H238" s="161"/>
      <c r="I238" s="161"/>
      <c r="J238" s="161"/>
      <c r="M238" s="161"/>
      <c r="N238" s="161"/>
      <c r="R238" s="161"/>
      <c r="S238" s="161"/>
      <c r="W238" s="161"/>
      <c r="X238" s="161"/>
      <c r="Y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L238" s="161"/>
      <c r="AN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BA238" s="161"/>
      <c r="BC238" s="161"/>
    </row>
    <row r="239">
      <c r="B239" s="161"/>
      <c r="C239" s="161"/>
      <c r="D239" s="161"/>
      <c r="F239" s="161"/>
      <c r="G239" s="161"/>
      <c r="H239" s="161"/>
      <c r="I239" s="161"/>
      <c r="J239" s="161"/>
      <c r="M239" s="161"/>
      <c r="N239" s="161"/>
      <c r="R239" s="161"/>
      <c r="S239" s="161"/>
      <c r="W239" s="161"/>
      <c r="X239" s="161"/>
      <c r="Y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L239" s="161"/>
      <c r="AN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BA239" s="161"/>
      <c r="BC239" s="161"/>
    </row>
    <row r="240">
      <c r="B240" s="161"/>
      <c r="C240" s="161"/>
      <c r="D240" s="161"/>
      <c r="F240" s="161"/>
      <c r="G240" s="161"/>
      <c r="H240" s="161"/>
      <c r="I240" s="161"/>
      <c r="J240" s="161"/>
      <c r="M240" s="161"/>
      <c r="N240" s="161"/>
      <c r="R240" s="161"/>
      <c r="S240" s="161"/>
      <c r="W240" s="161"/>
      <c r="X240" s="161"/>
      <c r="Y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L240" s="161"/>
      <c r="AN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BA240" s="161"/>
      <c r="BC240" s="161"/>
    </row>
    <row r="241">
      <c r="B241" s="161"/>
      <c r="C241" s="161"/>
      <c r="D241" s="161"/>
      <c r="F241" s="161"/>
      <c r="G241" s="161"/>
      <c r="H241" s="161"/>
      <c r="I241" s="161"/>
      <c r="J241" s="161"/>
      <c r="M241" s="161"/>
      <c r="N241" s="161"/>
      <c r="R241" s="161"/>
      <c r="S241" s="161"/>
      <c r="W241" s="161"/>
      <c r="X241" s="161"/>
      <c r="Y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L241" s="161"/>
      <c r="AN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BA241" s="161"/>
      <c r="BC241" s="161"/>
    </row>
    <row r="242">
      <c r="B242" s="161"/>
      <c r="C242" s="161"/>
      <c r="D242" s="161"/>
      <c r="F242" s="161"/>
      <c r="G242" s="161"/>
      <c r="H242" s="161"/>
      <c r="I242" s="161"/>
      <c r="J242" s="161"/>
      <c r="M242" s="161"/>
      <c r="N242" s="161"/>
      <c r="R242" s="161"/>
      <c r="S242" s="161"/>
      <c r="W242" s="161"/>
      <c r="X242" s="161"/>
      <c r="Y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L242" s="161"/>
      <c r="AN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BA242" s="161"/>
      <c r="BC242" s="161"/>
    </row>
    <row r="243">
      <c r="B243" s="161"/>
      <c r="C243" s="161"/>
      <c r="D243" s="161"/>
      <c r="F243" s="161"/>
      <c r="G243" s="161"/>
      <c r="H243" s="161"/>
      <c r="I243" s="161"/>
      <c r="J243" s="161"/>
      <c r="M243" s="161"/>
      <c r="N243" s="161"/>
      <c r="R243" s="161"/>
      <c r="S243" s="161"/>
      <c r="W243" s="161"/>
      <c r="X243" s="161"/>
      <c r="Y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L243" s="161"/>
      <c r="AN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BA243" s="161"/>
      <c r="BC243" s="161"/>
    </row>
    <row r="244">
      <c r="B244" s="161"/>
      <c r="C244" s="161"/>
      <c r="D244" s="161"/>
      <c r="F244" s="161"/>
      <c r="G244" s="161"/>
      <c r="H244" s="161"/>
      <c r="I244" s="161"/>
      <c r="J244" s="161"/>
      <c r="M244" s="161"/>
      <c r="N244" s="161"/>
      <c r="R244" s="161"/>
      <c r="S244" s="161"/>
      <c r="W244" s="161"/>
      <c r="X244" s="161"/>
      <c r="Y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L244" s="161"/>
      <c r="AN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BA244" s="161"/>
      <c r="BC244" s="161"/>
    </row>
    <row r="245">
      <c r="B245" s="161"/>
      <c r="C245" s="161"/>
      <c r="D245" s="161"/>
      <c r="F245" s="161"/>
      <c r="G245" s="161"/>
      <c r="H245" s="161"/>
      <c r="I245" s="161"/>
      <c r="J245" s="161"/>
      <c r="M245" s="161"/>
      <c r="N245" s="161"/>
      <c r="R245" s="161"/>
      <c r="S245" s="161"/>
      <c r="W245" s="161"/>
      <c r="X245" s="161"/>
      <c r="Y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L245" s="161"/>
      <c r="AN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BA245" s="161"/>
      <c r="BC245" s="161"/>
    </row>
    <row r="246">
      <c r="B246" s="161"/>
      <c r="C246" s="161"/>
      <c r="D246" s="161"/>
      <c r="F246" s="161"/>
      <c r="G246" s="161"/>
      <c r="H246" s="161"/>
      <c r="I246" s="161"/>
      <c r="J246" s="161"/>
      <c r="M246" s="161"/>
      <c r="N246" s="161"/>
      <c r="R246" s="161"/>
      <c r="S246" s="161"/>
      <c r="W246" s="161"/>
      <c r="X246" s="161"/>
      <c r="Y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L246" s="161"/>
      <c r="AN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BA246" s="161"/>
      <c r="BC246" s="161"/>
    </row>
    <row r="247">
      <c r="B247" s="161"/>
      <c r="C247" s="161"/>
      <c r="D247" s="161"/>
      <c r="F247" s="161"/>
      <c r="G247" s="161"/>
      <c r="H247" s="161"/>
      <c r="I247" s="161"/>
      <c r="J247" s="161"/>
      <c r="M247" s="161"/>
      <c r="N247" s="161"/>
      <c r="R247" s="161"/>
      <c r="S247" s="161"/>
      <c r="W247" s="161"/>
      <c r="X247" s="161"/>
      <c r="Y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L247" s="161"/>
      <c r="AN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BA247" s="161"/>
      <c r="BC247" s="161"/>
    </row>
    <row r="248">
      <c r="B248" s="161"/>
      <c r="C248" s="161"/>
      <c r="D248" s="161"/>
      <c r="F248" s="161"/>
      <c r="G248" s="161"/>
      <c r="H248" s="161"/>
      <c r="I248" s="161"/>
      <c r="J248" s="161"/>
      <c r="M248" s="161"/>
      <c r="N248" s="161"/>
      <c r="R248" s="161"/>
      <c r="S248" s="161"/>
      <c r="W248" s="161"/>
      <c r="X248" s="161"/>
      <c r="Y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L248" s="161"/>
      <c r="AN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BA248" s="161"/>
      <c r="BC248" s="161"/>
    </row>
    <row r="249">
      <c r="B249" s="161"/>
      <c r="C249" s="161"/>
      <c r="D249" s="161"/>
      <c r="F249" s="161"/>
      <c r="G249" s="161"/>
      <c r="H249" s="161"/>
      <c r="I249" s="161"/>
      <c r="J249" s="161"/>
      <c r="M249" s="161"/>
      <c r="N249" s="161"/>
      <c r="R249" s="161"/>
      <c r="S249" s="161"/>
      <c r="W249" s="161"/>
      <c r="X249" s="161"/>
      <c r="Y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L249" s="161"/>
      <c r="AN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BA249" s="161"/>
      <c r="BC249" s="161"/>
    </row>
    <row r="250">
      <c r="B250" s="161"/>
      <c r="C250" s="161"/>
      <c r="D250" s="161"/>
      <c r="F250" s="161"/>
      <c r="G250" s="161"/>
      <c r="H250" s="161"/>
      <c r="I250" s="161"/>
      <c r="J250" s="161"/>
      <c r="M250" s="161"/>
      <c r="N250" s="161"/>
      <c r="R250" s="161"/>
      <c r="S250" s="161"/>
      <c r="W250" s="161"/>
      <c r="X250" s="161"/>
      <c r="Y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L250" s="161"/>
      <c r="AN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BA250" s="161"/>
      <c r="BC250" s="161"/>
    </row>
    <row r="251">
      <c r="B251" s="161"/>
      <c r="C251" s="161"/>
      <c r="D251" s="161"/>
      <c r="F251" s="161"/>
      <c r="G251" s="161"/>
      <c r="H251" s="161"/>
      <c r="I251" s="161"/>
      <c r="J251" s="161"/>
      <c r="M251" s="161"/>
      <c r="N251" s="161"/>
      <c r="R251" s="161"/>
      <c r="S251" s="161"/>
      <c r="W251" s="161"/>
      <c r="X251" s="161"/>
      <c r="Y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L251" s="161"/>
      <c r="AN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BA251" s="161"/>
      <c r="BC251" s="161"/>
    </row>
    <row r="252">
      <c r="B252" s="161"/>
      <c r="C252" s="161"/>
      <c r="D252" s="161"/>
      <c r="F252" s="161"/>
      <c r="G252" s="161"/>
      <c r="H252" s="161"/>
      <c r="I252" s="161"/>
      <c r="J252" s="161"/>
      <c r="M252" s="161"/>
      <c r="N252" s="161"/>
      <c r="R252" s="161"/>
      <c r="S252" s="161"/>
      <c r="W252" s="161"/>
      <c r="X252" s="161"/>
      <c r="Y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L252" s="161"/>
      <c r="AN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BA252" s="161"/>
      <c r="BC252" s="161"/>
    </row>
    <row r="253">
      <c r="B253" s="161"/>
      <c r="C253" s="161"/>
      <c r="D253" s="161"/>
      <c r="F253" s="161"/>
      <c r="G253" s="161"/>
      <c r="H253" s="161"/>
      <c r="I253" s="161"/>
      <c r="J253" s="161"/>
      <c r="M253" s="161"/>
      <c r="N253" s="161"/>
      <c r="R253" s="161"/>
      <c r="S253" s="161"/>
      <c r="W253" s="161"/>
      <c r="X253" s="161"/>
      <c r="Y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L253" s="161"/>
      <c r="AN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BA253" s="161"/>
      <c r="BC253" s="161"/>
    </row>
    <row r="254">
      <c r="B254" s="161"/>
      <c r="C254" s="161"/>
      <c r="D254" s="161"/>
      <c r="F254" s="161"/>
      <c r="G254" s="161"/>
      <c r="H254" s="161"/>
      <c r="I254" s="161"/>
      <c r="J254" s="161"/>
      <c r="M254" s="161"/>
      <c r="N254" s="161"/>
      <c r="R254" s="161"/>
      <c r="S254" s="161"/>
      <c r="W254" s="161"/>
      <c r="X254" s="161"/>
      <c r="Y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L254" s="161"/>
      <c r="AN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BA254" s="161"/>
      <c r="BC254" s="161"/>
    </row>
    <row r="255">
      <c r="B255" s="161"/>
      <c r="C255" s="161"/>
      <c r="D255" s="161"/>
      <c r="F255" s="161"/>
      <c r="G255" s="161"/>
      <c r="H255" s="161"/>
      <c r="I255" s="161"/>
      <c r="J255" s="161"/>
      <c r="M255" s="161"/>
      <c r="N255" s="161"/>
      <c r="R255" s="161"/>
      <c r="S255" s="161"/>
      <c r="W255" s="161"/>
      <c r="X255" s="161"/>
      <c r="Y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L255" s="161"/>
      <c r="AN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BA255" s="161"/>
      <c r="BC255" s="161"/>
    </row>
    <row r="256">
      <c r="B256" s="161"/>
      <c r="C256" s="161"/>
      <c r="D256" s="161"/>
      <c r="F256" s="161"/>
      <c r="G256" s="161"/>
      <c r="H256" s="161"/>
      <c r="I256" s="161"/>
      <c r="J256" s="161"/>
      <c r="M256" s="161"/>
      <c r="N256" s="161"/>
      <c r="R256" s="161"/>
      <c r="S256" s="161"/>
      <c r="W256" s="161"/>
      <c r="X256" s="161"/>
      <c r="Y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L256" s="161"/>
      <c r="AN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BA256" s="161"/>
      <c r="BC256" s="161"/>
    </row>
    <row r="257">
      <c r="B257" s="161"/>
      <c r="C257" s="161"/>
      <c r="D257" s="161"/>
      <c r="F257" s="161"/>
      <c r="G257" s="161"/>
      <c r="H257" s="161"/>
      <c r="I257" s="161"/>
      <c r="J257" s="161"/>
      <c r="M257" s="161"/>
      <c r="N257" s="161"/>
      <c r="R257" s="161"/>
      <c r="S257" s="161"/>
      <c r="W257" s="161"/>
      <c r="X257" s="161"/>
      <c r="Y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L257" s="161"/>
      <c r="AN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BA257" s="161"/>
      <c r="BC257" s="161"/>
    </row>
    <row r="258">
      <c r="B258" s="161"/>
      <c r="C258" s="161"/>
      <c r="D258" s="161"/>
      <c r="F258" s="161"/>
      <c r="G258" s="161"/>
      <c r="H258" s="161"/>
      <c r="I258" s="161"/>
      <c r="J258" s="161"/>
      <c r="M258" s="161"/>
      <c r="N258" s="161"/>
      <c r="R258" s="161"/>
      <c r="S258" s="161"/>
      <c r="W258" s="161"/>
      <c r="X258" s="161"/>
      <c r="Y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L258" s="161"/>
      <c r="AN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BA258" s="161"/>
      <c r="BC258" s="161"/>
    </row>
    <row r="259">
      <c r="B259" s="161"/>
      <c r="C259" s="161"/>
      <c r="D259" s="161"/>
      <c r="F259" s="161"/>
      <c r="G259" s="161"/>
      <c r="H259" s="161"/>
      <c r="I259" s="161"/>
      <c r="J259" s="161"/>
      <c r="M259" s="161"/>
      <c r="N259" s="161"/>
      <c r="R259" s="161"/>
      <c r="S259" s="161"/>
      <c r="W259" s="161"/>
      <c r="X259" s="161"/>
      <c r="Y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L259" s="161"/>
      <c r="AN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BA259" s="161"/>
      <c r="BC259" s="161"/>
    </row>
    <row r="260">
      <c r="B260" s="161"/>
      <c r="C260" s="161"/>
      <c r="D260" s="161"/>
      <c r="F260" s="161"/>
      <c r="G260" s="161"/>
      <c r="H260" s="161"/>
      <c r="I260" s="161"/>
      <c r="J260" s="161"/>
      <c r="M260" s="161"/>
      <c r="N260" s="161"/>
      <c r="R260" s="161"/>
      <c r="S260" s="161"/>
      <c r="W260" s="161"/>
      <c r="X260" s="161"/>
      <c r="Y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L260" s="161"/>
      <c r="AN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BA260" s="161"/>
      <c r="BC260" s="161"/>
    </row>
    <row r="261">
      <c r="B261" s="161"/>
      <c r="C261" s="161"/>
      <c r="D261" s="161"/>
      <c r="F261" s="161"/>
      <c r="G261" s="161"/>
      <c r="H261" s="161"/>
      <c r="I261" s="161"/>
      <c r="J261" s="161"/>
      <c r="M261" s="161"/>
      <c r="N261" s="161"/>
      <c r="R261" s="161"/>
      <c r="S261" s="161"/>
      <c r="W261" s="161"/>
      <c r="X261" s="161"/>
      <c r="Y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L261" s="161"/>
      <c r="AN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BA261" s="161"/>
      <c r="BC261" s="161"/>
    </row>
    <row r="262">
      <c r="B262" s="161"/>
      <c r="C262" s="161"/>
      <c r="D262" s="161"/>
      <c r="F262" s="161"/>
      <c r="G262" s="161"/>
      <c r="H262" s="161"/>
      <c r="I262" s="161"/>
      <c r="J262" s="161"/>
      <c r="M262" s="161"/>
      <c r="N262" s="161"/>
      <c r="R262" s="161"/>
      <c r="S262" s="161"/>
      <c r="W262" s="161"/>
      <c r="X262" s="161"/>
      <c r="Y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L262" s="161"/>
      <c r="AN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BA262" s="161"/>
      <c r="BC262" s="161"/>
    </row>
    <row r="263">
      <c r="B263" s="161"/>
      <c r="C263" s="161"/>
      <c r="D263" s="161"/>
      <c r="F263" s="161"/>
      <c r="G263" s="161"/>
      <c r="H263" s="161"/>
      <c r="I263" s="161"/>
      <c r="J263" s="161"/>
      <c r="M263" s="161"/>
      <c r="N263" s="161"/>
      <c r="R263" s="161"/>
      <c r="S263" s="161"/>
      <c r="W263" s="161"/>
      <c r="X263" s="161"/>
      <c r="Y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L263" s="161"/>
      <c r="AN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BA263" s="161"/>
      <c r="BC263" s="161"/>
    </row>
    <row r="264">
      <c r="B264" s="161"/>
      <c r="C264" s="161"/>
      <c r="D264" s="161"/>
      <c r="F264" s="161"/>
      <c r="G264" s="161"/>
      <c r="H264" s="161"/>
      <c r="I264" s="161"/>
      <c r="J264" s="161"/>
      <c r="M264" s="161"/>
      <c r="N264" s="161"/>
      <c r="R264" s="161"/>
      <c r="S264" s="161"/>
      <c r="W264" s="161"/>
      <c r="X264" s="161"/>
      <c r="Y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L264" s="161"/>
      <c r="AN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BA264" s="161"/>
      <c r="BC264" s="161"/>
    </row>
    <row r="265">
      <c r="B265" s="161"/>
      <c r="C265" s="161"/>
      <c r="D265" s="161"/>
      <c r="F265" s="161"/>
      <c r="G265" s="161"/>
      <c r="H265" s="161"/>
      <c r="I265" s="161"/>
      <c r="J265" s="161"/>
      <c r="M265" s="161"/>
      <c r="N265" s="161"/>
      <c r="R265" s="161"/>
      <c r="S265" s="161"/>
      <c r="W265" s="161"/>
      <c r="X265" s="161"/>
      <c r="Y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L265" s="161"/>
      <c r="AN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BA265" s="161"/>
      <c r="BC265" s="161"/>
    </row>
    <row r="266">
      <c r="B266" s="161"/>
      <c r="C266" s="161"/>
      <c r="D266" s="161"/>
      <c r="F266" s="161"/>
      <c r="G266" s="161"/>
      <c r="H266" s="161"/>
      <c r="I266" s="161"/>
      <c r="J266" s="161"/>
      <c r="M266" s="161"/>
      <c r="N266" s="161"/>
      <c r="R266" s="161"/>
      <c r="S266" s="161"/>
      <c r="W266" s="161"/>
      <c r="X266" s="161"/>
      <c r="Y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L266" s="161"/>
      <c r="AN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BA266" s="161"/>
      <c r="BC266" s="161"/>
    </row>
    <row r="267">
      <c r="B267" s="161"/>
      <c r="C267" s="161"/>
      <c r="D267" s="161"/>
      <c r="F267" s="161"/>
      <c r="G267" s="161"/>
      <c r="H267" s="161"/>
      <c r="I267" s="161"/>
      <c r="J267" s="161"/>
      <c r="M267" s="161"/>
      <c r="N267" s="161"/>
      <c r="R267" s="161"/>
      <c r="S267" s="161"/>
      <c r="W267" s="161"/>
      <c r="X267" s="161"/>
      <c r="Y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L267" s="161"/>
      <c r="AN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BA267" s="161"/>
      <c r="BC267" s="161"/>
    </row>
    <row r="268">
      <c r="B268" s="161"/>
      <c r="C268" s="161"/>
      <c r="D268" s="161"/>
      <c r="F268" s="161"/>
      <c r="G268" s="161"/>
      <c r="H268" s="161"/>
      <c r="I268" s="161"/>
      <c r="J268" s="161"/>
      <c r="M268" s="161"/>
      <c r="N268" s="161"/>
      <c r="R268" s="161"/>
      <c r="S268" s="161"/>
      <c r="W268" s="161"/>
      <c r="X268" s="161"/>
      <c r="Y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L268" s="161"/>
      <c r="AN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BA268" s="161"/>
      <c r="BC268" s="161"/>
    </row>
    <row r="269">
      <c r="B269" s="161"/>
      <c r="C269" s="161"/>
      <c r="D269" s="161"/>
      <c r="F269" s="161"/>
      <c r="G269" s="161"/>
      <c r="H269" s="161"/>
      <c r="I269" s="161"/>
      <c r="J269" s="161"/>
      <c r="M269" s="161"/>
      <c r="N269" s="161"/>
      <c r="R269" s="161"/>
      <c r="S269" s="161"/>
      <c r="W269" s="161"/>
      <c r="X269" s="161"/>
      <c r="Y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L269" s="161"/>
      <c r="AN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BA269" s="161"/>
      <c r="BC269" s="161"/>
    </row>
    <row r="270">
      <c r="B270" s="161"/>
      <c r="C270" s="161"/>
      <c r="D270" s="161"/>
      <c r="F270" s="161"/>
      <c r="G270" s="161"/>
      <c r="H270" s="161"/>
      <c r="I270" s="161"/>
      <c r="J270" s="161"/>
      <c r="M270" s="161"/>
      <c r="N270" s="161"/>
      <c r="R270" s="161"/>
      <c r="S270" s="161"/>
      <c r="W270" s="161"/>
      <c r="X270" s="161"/>
      <c r="Y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L270" s="161"/>
      <c r="AN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BA270" s="161"/>
      <c r="BC270" s="161"/>
    </row>
    <row r="271">
      <c r="B271" s="161"/>
      <c r="C271" s="161"/>
      <c r="D271" s="161"/>
      <c r="F271" s="161"/>
      <c r="G271" s="161"/>
      <c r="H271" s="161"/>
      <c r="I271" s="161"/>
      <c r="J271" s="161"/>
      <c r="M271" s="161"/>
      <c r="N271" s="161"/>
      <c r="R271" s="161"/>
      <c r="S271" s="161"/>
      <c r="W271" s="161"/>
      <c r="X271" s="161"/>
      <c r="Y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L271" s="161"/>
      <c r="AN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BA271" s="161"/>
      <c r="BC271" s="161"/>
    </row>
    <row r="272">
      <c r="B272" s="161"/>
      <c r="C272" s="161"/>
      <c r="D272" s="161"/>
      <c r="F272" s="161"/>
      <c r="G272" s="161"/>
      <c r="H272" s="161"/>
      <c r="I272" s="161"/>
      <c r="J272" s="161"/>
      <c r="M272" s="161"/>
      <c r="N272" s="161"/>
      <c r="R272" s="161"/>
      <c r="S272" s="161"/>
      <c r="W272" s="161"/>
      <c r="X272" s="161"/>
      <c r="Y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L272" s="161"/>
      <c r="AN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BA272" s="161"/>
      <c r="BC272" s="161"/>
    </row>
    <row r="273">
      <c r="B273" s="161"/>
      <c r="C273" s="161"/>
      <c r="D273" s="161"/>
      <c r="F273" s="161"/>
      <c r="G273" s="161"/>
      <c r="H273" s="161"/>
      <c r="I273" s="161"/>
      <c r="J273" s="161"/>
      <c r="M273" s="161"/>
      <c r="N273" s="161"/>
      <c r="R273" s="161"/>
      <c r="S273" s="161"/>
      <c r="W273" s="161"/>
      <c r="X273" s="161"/>
      <c r="Y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L273" s="161"/>
      <c r="AN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BA273" s="161"/>
      <c r="BC273" s="161"/>
    </row>
    <row r="274">
      <c r="B274" s="161"/>
      <c r="C274" s="161"/>
      <c r="D274" s="161"/>
      <c r="F274" s="161"/>
      <c r="G274" s="161"/>
      <c r="H274" s="161"/>
      <c r="I274" s="161"/>
      <c r="J274" s="161"/>
      <c r="M274" s="161"/>
      <c r="N274" s="161"/>
      <c r="R274" s="161"/>
      <c r="S274" s="161"/>
      <c r="W274" s="161"/>
      <c r="X274" s="161"/>
      <c r="Y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L274" s="161"/>
      <c r="AN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BA274" s="161"/>
      <c r="BC274" s="161"/>
    </row>
    <row r="275">
      <c r="B275" s="161"/>
      <c r="C275" s="161"/>
      <c r="D275" s="161"/>
      <c r="F275" s="161"/>
      <c r="G275" s="161"/>
      <c r="H275" s="161"/>
      <c r="I275" s="161"/>
      <c r="J275" s="161"/>
      <c r="M275" s="161"/>
      <c r="N275" s="161"/>
      <c r="R275" s="161"/>
      <c r="S275" s="161"/>
      <c r="W275" s="161"/>
      <c r="X275" s="161"/>
      <c r="Y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L275" s="161"/>
      <c r="AN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BA275" s="161"/>
      <c r="BC275" s="161"/>
    </row>
    <row r="276">
      <c r="B276" s="161"/>
      <c r="C276" s="161"/>
      <c r="D276" s="161"/>
      <c r="F276" s="161"/>
      <c r="G276" s="161"/>
      <c r="H276" s="161"/>
      <c r="I276" s="161"/>
      <c r="J276" s="161"/>
      <c r="M276" s="161"/>
      <c r="N276" s="161"/>
      <c r="R276" s="161"/>
      <c r="S276" s="161"/>
      <c r="W276" s="161"/>
      <c r="X276" s="161"/>
      <c r="Y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L276" s="161"/>
      <c r="AN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BA276" s="161"/>
      <c r="BC276" s="161"/>
    </row>
    <row r="277">
      <c r="B277" s="161"/>
      <c r="C277" s="161"/>
      <c r="D277" s="161"/>
      <c r="F277" s="161"/>
      <c r="G277" s="161"/>
      <c r="H277" s="161"/>
      <c r="I277" s="161"/>
      <c r="J277" s="161"/>
      <c r="M277" s="161"/>
      <c r="N277" s="161"/>
      <c r="R277" s="161"/>
      <c r="S277" s="161"/>
      <c r="W277" s="161"/>
      <c r="X277" s="161"/>
      <c r="Y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L277" s="161"/>
      <c r="AN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BA277" s="161"/>
      <c r="BC277" s="161"/>
    </row>
    <row r="278">
      <c r="B278" s="161"/>
      <c r="C278" s="161"/>
      <c r="D278" s="161"/>
      <c r="F278" s="161"/>
      <c r="G278" s="161"/>
      <c r="H278" s="161"/>
      <c r="I278" s="161"/>
      <c r="J278" s="161"/>
      <c r="M278" s="161"/>
      <c r="N278" s="161"/>
      <c r="R278" s="161"/>
      <c r="S278" s="161"/>
      <c r="W278" s="161"/>
      <c r="X278" s="161"/>
      <c r="Y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L278" s="161"/>
      <c r="AN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BA278" s="161"/>
      <c r="BC278" s="161"/>
    </row>
    <row r="279">
      <c r="B279" s="161"/>
      <c r="C279" s="161"/>
      <c r="D279" s="161"/>
      <c r="F279" s="161"/>
      <c r="G279" s="161"/>
      <c r="H279" s="161"/>
      <c r="I279" s="161"/>
      <c r="J279" s="161"/>
      <c r="M279" s="161"/>
      <c r="N279" s="161"/>
      <c r="R279" s="161"/>
      <c r="S279" s="161"/>
      <c r="W279" s="161"/>
      <c r="X279" s="161"/>
      <c r="Y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L279" s="161"/>
      <c r="AN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BA279" s="161"/>
      <c r="BC279" s="161"/>
    </row>
    <row r="280">
      <c r="B280" s="161"/>
      <c r="C280" s="161"/>
      <c r="D280" s="161"/>
      <c r="F280" s="161"/>
      <c r="G280" s="161"/>
      <c r="H280" s="161"/>
      <c r="I280" s="161"/>
      <c r="J280" s="161"/>
      <c r="M280" s="161"/>
      <c r="N280" s="161"/>
      <c r="R280" s="161"/>
      <c r="S280" s="161"/>
      <c r="W280" s="161"/>
      <c r="X280" s="161"/>
      <c r="Y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L280" s="161"/>
      <c r="AN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BA280" s="161"/>
      <c r="BC280" s="161"/>
    </row>
    <row r="281">
      <c r="B281" s="161"/>
      <c r="C281" s="161"/>
      <c r="D281" s="161"/>
      <c r="F281" s="161"/>
      <c r="G281" s="161"/>
      <c r="H281" s="161"/>
      <c r="I281" s="161"/>
      <c r="J281" s="161"/>
      <c r="M281" s="161"/>
      <c r="N281" s="161"/>
      <c r="R281" s="161"/>
      <c r="S281" s="161"/>
      <c r="W281" s="161"/>
      <c r="X281" s="161"/>
      <c r="Y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L281" s="161"/>
      <c r="AN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BA281" s="161"/>
      <c r="BC281" s="161"/>
    </row>
    <row r="282">
      <c r="B282" s="161"/>
      <c r="C282" s="161"/>
      <c r="D282" s="161"/>
      <c r="F282" s="161"/>
      <c r="G282" s="161"/>
      <c r="H282" s="161"/>
      <c r="I282" s="161"/>
      <c r="J282" s="161"/>
      <c r="M282" s="161"/>
      <c r="N282" s="161"/>
      <c r="R282" s="161"/>
      <c r="S282" s="161"/>
      <c r="W282" s="161"/>
      <c r="X282" s="161"/>
      <c r="Y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L282" s="161"/>
      <c r="AN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BA282" s="161"/>
      <c r="BC282" s="161"/>
    </row>
    <row r="283">
      <c r="B283" s="161"/>
      <c r="C283" s="161"/>
      <c r="D283" s="161"/>
      <c r="F283" s="161"/>
      <c r="G283" s="161"/>
      <c r="H283" s="161"/>
      <c r="I283" s="161"/>
      <c r="J283" s="161"/>
      <c r="M283" s="161"/>
      <c r="N283" s="161"/>
      <c r="R283" s="161"/>
      <c r="S283" s="161"/>
      <c r="W283" s="161"/>
      <c r="X283" s="161"/>
      <c r="Y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L283" s="161"/>
      <c r="AN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BA283" s="161"/>
      <c r="BC283" s="161"/>
    </row>
    <row r="284">
      <c r="B284" s="161"/>
      <c r="C284" s="161"/>
      <c r="D284" s="161"/>
      <c r="F284" s="161"/>
      <c r="G284" s="161"/>
      <c r="H284" s="161"/>
      <c r="I284" s="161"/>
      <c r="J284" s="161"/>
      <c r="M284" s="161"/>
      <c r="N284" s="161"/>
      <c r="R284" s="161"/>
      <c r="S284" s="161"/>
      <c r="W284" s="161"/>
      <c r="X284" s="161"/>
      <c r="Y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L284" s="161"/>
      <c r="AN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BA284" s="161"/>
      <c r="BC284" s="161"/>
    </row>
    <row r="285">
      <c r="B285" s="161"/>
      <c r="C285" s="161"/>
      <c r="D285" s="161"/>
      <c r="F285" s="161"/>
      <c r="G285" s="161"/>
      <c r="H285" s="161"/>
      <c r="I285" s="161"/>
      <c r="J285" s="161"/>
      <c r="M285" s="161"/>
      <c r="N285" s="161"/>
      <c r="R285" s="161"/>
      <c r="S285" s="161"/>
      <c r="W285" s="161"/>
      <c r="X285" s="161"/>
      <c r="Y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L285" s="161"/>
      <c r="AN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BA285" s="161"/>
      <c r="BC285" s="161"/>
    </row>
    <row r="286">
      <c r="B286" s="161"/>
      <c r="C286" s="161"/>
      <c r="D286" s="161"/>
      <c r="F286" s="161"/>
      <c r="G286" s="161"/>
      <c r="H286" s="161"/>
      <c r="I286" s="161"/>
      <c r="J286" s="161"/>
      <c r="M286" s="161"/>
      <c r="N286" s="161"/>
      <c r="R286" s="161"/>
      <c r="S286" s="161"/>
      <c r="W286" s="161"/>
      <c r="X286" s="161"/>
      <c r="Y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L286" s="161"/>
      <c r="AN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BA286" s="161"/>
      <c r="BC286" s="161"/>
    </row>
    <row r="287">
      <c r="B287" s="161"/>
      <c r="C287" s="161"/>
      <c r="D287" s="161"/>
      <c r="F287" s="161"/>
      <c r="G287" s="161"/>
      <c r="H287" s="161"/>
      <c r="I287" s="161"/>
      <c r="J287" s="161"/>
      <c r="M287" s="161"/>
      <c r="N287" s="161"/>
      <c r="R287" s="161"/>
      <c r="S287" s="161"/>
      <c r="W287" s="161"/>
      <c r="X287" s="161"/>
      <c r="Y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L287" s="161"/>
      <c r="AN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BA287" s="161"/>
      <c r="BC287" s="161"/>
    </row>
    <row r="288">
      <c r="B288" s="161"/>
      <c r="C288" s="161"/>
      <c r="D288" s="161"/>
      <c r="F288" s="161"/>
      <c r="G288" s="161"/>
      <c r="H288" s="161"/>
      <c r="I288" s="161"/>
      <c r="J288" s="161"/>
      <c r="M288" s="161"/>
      <c r="N288" s="161"/>
      <c r="R288" s="161"/>
      <c r="S288" s="161"/>
      <c r="W288" s="161"/>
      <c r="X288" s="161"/>
      <c r="Y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L288" s="161"/>
      <c r="AN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BA288" s="161"/>
      <c r="BC288" s="161"/>
    </row>
    <row r="289">
      <c r="B289" s="161"/>
      <c r="C289" s="161"/>
      <c r="D289" s="161"/>
      <c r="F289" s="161"/>
      <c r="G289" s="161"/>
      <c r="H289" s="161"/>
      <c r="I289" s="161"/>
      <c r="J289" s="161"/>
      <c r="M289" s="161"/>
      <c r="N289" s="161"/>
      <c r="R289" s="161"/>
      <c r="S289" s="161"/>
      <c r="W289" s="161"/>
      <c r="X289" s="161"/>
      <c r="Y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L289" s="161"/>
      <c r="AN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BA289" s="161"/>
      <c r="BC289" s="161"/>
    </row>
    <row r="290">
      <c r="B290" s="161"/>
      <c r="C290" s="161"/>
      <c r="D290" s="161"/>
      <c r="F290" s="161"/>
      <c r="G290" s="161"/>
      <c r="H290" s="161"/>
      <c r="I290" s="161"/>
      <c r="J290" s="161"/>
      <c r="M290" s="161"/>
      <c r="N290" s="161"/>
      <c r="R290" s="161"/>
      <c r="S290" s="161"/>
      <c r="W290" s="161"/>
      <c r="X290" s="161"/>
      <c r="Y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L290" s="161"/>
      <c r="AN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BA290" s="161"/>
      <c r="BC290" s="161"/>
    </row>
    <row r="291">
      <c r="B291" s="161"/>
      <c r="C291" s="161"/>
      <c r="D291" s="161"/>
      <c r="F291" s="161"/>
      <c r="G291" s="161"/>
      <c r="H291" s="161"/>
      <c r="I291" s="161"/>
      <c r="J291" s="161"/>
      <c r="M291" s="161"/>
      <c r="N291" s="161"/>
      <c r="R291" s="161"/>
      <c r="S291" s="161"/>
      <c r="W291" s="161"/>
      <c r="X291" s="161"/>
      <c r="Y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L291" s="161"/>
      <c r="AN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BA291" s="161"/>
      <c r="BC291" s="161"/>
    </row>
    <row r="292">
      <c r="B292" s="161"/>
      <c r="C292" s="161"/>
      <c r="D292" s="161"/>
      <c r="F292" s="161"/>
      <c r="G292" s="161"/>
      <c r="H292" s="161"/>
      <c r="I292" s="161"/>
      <c r="J292" s="161"/>
      <c r="M292" s="161"/>
      <c r="N292" s="161"/>
      <c r="R292" s="161"/>
      <c r="S292" s="161"/>
      <c r="W292" s="161"/>
      <c r="X292" s="161"/>
      <c r="Y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L292" s="161"/>
      <c r="AN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BA292" s="161"/>
      <c r="BC292" s="161"/>
    </row>
    <row r="293">
      <c r="B293" s="161"/>
      <c r="C293" s="161"/>
      <c r="D293" s="161"/>
      <c r="F293" s="161"/>
      <c r="G293" s="161"/>
      <c r="H293" s="161"/>
      <c r="I293" s="161"/>
      <c r="J293" s="161"/>
      <c r="M293" s="161"/>
      <c r="N293" s="161"/>
      <c r="R293" s="161"/>
      <c r="S293" s="161"/>
      <c r="W293" s="161"/>
      <c r="X293" s="161"/>
      <c r="Y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L293" s="161"/>
      <c r="AN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BA293" s="161"/>
      <c r="BC293" s="161"/>
    </row>
    <row r="294">
      <c r="B294" s="161"/>
      <c r="C294" s="161"/>
      <c r="D294" s="161"/>
      <c r="F294" s="161"/>
      <c r="G294" s="161"/>
      <c r="H294" s="161"/>
      <c r="I294" s="161"/>
      <c r="J294" s="161"/>
      <c r="M294" s="161"/>
      <c r="N294" s="161"/>
      <c r="R294" s="161"/>
      <c r="S294" s="161"/>
      <c r="W294" s="161"/>
      <c r="X294" s="161"/>
      <c r="Y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L294" s="161"/>
      <c r="AN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BA294" s="161"/>
      <c r="BC294" s="161"/>
    </row>
    <row r="295">
      <c r="B295" s="161"/>
      <c r="C295" s="161"/>
      <c r="D295" s="161"/>
      <c r="F295" s="161"/>
      <c r="G295" s="161"/>
      <c r="H295" s="161"/>
      <c r="I295" s="161"/>
      <c r="J295" s="161"/>
      <c r="M295" s="161"/>
      <c r="N295" s="161"/>
      <c r="R295" s="161"/>
      <c r="S295" s="161"/>
      <c r="W295" s="161"/>
      <c r="X295" s="161"/>
      <c r="Y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L295" s="161"/>
      <c r="AN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BA295" s="161"/>
      <c r="BC295" s="161"/>
    </row>
    <row r="296">
      <c r="B296" s="161"/>
      <c r="C296" s="161"/>
      <c r="D296" s="161"/>
      <c r="F296" s="161"/>
      <c r="G296" s="161"/>
      <c r="H296" s="161"/>
      <c r="I296" s="161"/>
      <c r="J296" s="161"/>
      <c r="M296" s="161"/>
      <c r="N296" s="161"/>
      <c r="R296" s="161"/>
      <c r="S296" s="161"/>
      <c r="W296" s="161"/>
      <c r="X296" s="161"/>
      <c r="Y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L296" s="161"/>
      <c r="AN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BA296" s="161"/>
      <c r="BC296" s="161"/>
    </row>
    <row r="297">
      <c r="B297" s="161"/>
      <c r="C297" s="161"/>
      <c r="D297" s="161"/>
      <c r="F297" s="161"/>
      <c r="G297" s="161"/>
      <c r="H297" s="161"/>
      <c r="I297" s="161"/>
      <c r="J297" s="161"/>
      <c r="M297" s="161"/>
      <c r="N297" s="161"/>
      <c r="R297" s="161"/>
      <c r="S297" s="161"/>
      <c r="W297" s="161"/>
      <c r="X297" s="161"/>
      <c r="Y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L297" s="161"/>
      <c r="AN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BA297" s="161"/>
      <c r="BC297" s="161"/>
    </row>
    <row r="298">
      <c r="B298" s="161"/>
      <c r="C298" s="161"/>
      <c r="D298" s="161"/>
      <c r="F298" s="161"/>
      <c r="G298" s="161"/>
      <c r="H298" s="161"/>
      <c r="I298" s="161"/>
      <c r="J298" s="161"/>
      <c r="M298" s="161"/>
      <c r="N298" s="161"/>
      <c r="R298" s="161"/>
      <c r="S298" s="161"/>
      <c r="W298" s="161"/>
      <c r="X298" s="161"/>
      <c r="Y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L298" s="161"/>
      <c r="AN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BA298" s="161"/>
      <c r="BC298" s="161"/>
    </row>
    <row r="299">
      <c r="B299" s="161"/>
      <c r="C299" s="161"/>
      <c r="D299" s="161"/>
      <c r="F299" s="161"/>
      <c r="G299" s="161"/>
      <c r="H299" s="161"/>
      <c r="I299" s="161"/>
      <c r="J299" s="161"/>
      <c r="M299" s="161"/>
      <c r="N299" s="161"/>
      <c r="R299" s="161"/>
      <c r="S299" s="161"/>
      <c r="W299" s="161"/>
      <c r="X299" s="161"/>
      <c r="Y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L299" s="161"/>
      <c r="AN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BA299" s="161"/>
      <c r="BC299" s="161"/>
    </row>
    <row r="300">
      <c r="B300" s="161"/>
      <c r="C300" s="161"/>
      <c r="D300" s="161"/>
      <c r="F300" s="161"/>
      <c r="G300" s="161"/>
      <c r="H300" s="161"/>
      <c r="I300" s="161"/>
      <c r="J300" s="161"/>
      <c r="M300" s="161"/>
      <c r="N300" s="161"/>
      <c r="R300" s="161"/>
      <c r="S300" s="161"/>
      <c r="W300" s="161"/>
      <c r="X300" s="161"/>
      <c r="Y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L300" s="161"/>
      <c r="AN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BA300" s="161"/>
      <c r="BC300" s="161"/>
    </row>
    <row r="301">
      <c r="B301" s="161"/>
      <c r="C301" s="161"/>
      <c r="D301" s="161"/>
      <c r="F301" s="161"/>
      <c r="G301" s="161"/>
      <c r="H301" s="161"/>
      <c r="I301" s="161"/>
      <c r="J301" s="161"/>
      <c r="M301" s="161"/>
      <c r="N301" s="161"/>
      <c r="R301" s="161"/>
      <c r="S301" s="161"/>
      <c r="W301" s="161"/>
      <c r="X301" s="161"/>
      <c r="Y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L301" s="161"/>
      <c r="AN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BA301" s="161"/>
      <c r="BC301" s="161"/>
    </row>
    <row r="302">
      <c r="B302" s="161"/>
      <c r="C302" s="161"/>
      <c r="D302" s="161"/>
      <c r="F302" s="161"/>
      <c r="G302" s="161"/>
      <c r="H302" s="161"/>
      <c r="I302" s="161"/>
      <c r="J302" s="161"/>
      <c r="M302" s="161"/>
      <c r="N302" s="161"/>
      <c r="R302" s="161"/>
      <c r="S302" s="161"/>
      <c r="W302" s="161"/>
      <c r="X302" s="161"/>
      <c r="Y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L302" s="161"/>
      <c r="AN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BA302" s="161"/>
      <c r="BC302" s="161"/>
    </row>
    <row r="303">
      <c r="B303" s="161"/>
      <c r="C303" s="161"/>
      <c r="D303" s="161"/>
      <c r="F303" s="161"/>
      <c r="G303" s="161"/>
      <c r="H303" s="161"/>
      <c r="I303" s="161"/>
      <c r="J303" s="161"/>
      <c r="M303" s="161"/>
      <c r="N303" s="161"/>
      <c r="R303" s="161"/>
      <c r="S303" s="161"/>
      <c r="W303" s="161"/>
      <c r="X303" s="161"/>
      <c r="Y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L303" s="161"/>
      <c r="AN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BA303" s="161"/>
      <c r="BC303" s="161"/>
    </row>
    <row r="304">
      <c r="B304" s="161"/>
      <c r="C304" s="161"/>
      <c r="D304" s="161"/>
      <c r="F304" s="161"/>
      <c r="G304" s="161"/>
      <c r="H304" s="161"/>
      <c r="I304" s="161"/>
      <c r="J304" s="161"/>
      <c r="M304" s="161"/>
      <c r="N304" s="161"/>
      <c r="R304" s="161"/>
      <c r="S304" s="161"/>
      <c r="W304" s="161"/>
      <c r="X304" s="161"/>
      <c r="Y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L304" s="161"/>
      <c r="AN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BA304" s="161"/>
      <c r="BC304" s="161"/>
    </row>
    <row r="305">
      <c r="B305" s="161"/>
      <c r="C305" s="161"/>
      <c r="D305" s="161"/>
      <c r="F305" s="161"/>
      <c r="G305" s="161"/>
      <c r="H305" s="161"/>
      <c r="I305" s="161"/>
      <c r="J305" s="161"/>
      <c r="M305" s="161"/>
      <c r="N305" s="161"/>
      <c r="R305" s="161"/>
      <c r="S305" s="161"/>
      <c r="W305" s="161"/>
      <c r="X305" s="161"/>
      <c r="Y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L305" s="161"/>
      <c r="AN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BA305" s="161"/>
      <c r="BC305" s="161"/>
    </row>
    <row r="306">
      <c r="B306" s="161"/>
      <c r="C306" s="161"/>
      <c r="D306" s="161"/>
      <c r="F306" s="161"/>
      <c r="G306" s="161"/>
      <c r="H306" s="161"/>
      <c r="I306" s="161"/>
      <c r="J306" s="161"/>
      <c r="M306" s="161"/>
      <c r="N306" s="161"/>
      <c r="R306" s="161"/>
      <c r="S306" s="161"/>
      <c r="W306" s="161"/>
      <c r="X306" s="161"/>
      <c r="Y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L306" s="161"/>
      <c r="AN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BA306" s="161"/>
      <c r="BC306" s="161"/>
    </row>
    <row r="307">
      <c r="B307" s="161"/>
      <c r="C307" s="161"/>
      <c r="D307" s="161"/>
      <c r="F307" s="161"/>
      <c r="G307" s="161"/>
      <c r="H307" s="161"/>
      <c r="I307" s="161"/>
      <c r="J307" s="161"/>
      <c r="M307" s="161"/>
      <c r="N307" s="161"/>
      <c r="R307" s="161"/>
      <c r="S307" s="161"/>
      <c r="W307" s="161"/>
      <c r="X307" s="161"/>
      <c r="Y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L307" s="161"/>
      <c r="AN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BA307" s="161"/>
      <c r="BC307" s="161"/>
    </row>
    <row r="308">
      <c r="B308" s="161"/>
      <c r="C308" s="161"/>
      <c r="D308" s="161"/>
      <c r="F308" s="161"/>
      <c r="G308" s="161"/>
      <c r="H308" s="161"/>
      <c r="I308" s="161"/>
      <c r="J308" s="161"/>
      <c r="M308" s="161"/>
      <c r="N308" s="161"/>
      <c r="R308" s="161"/>
      <c r="S308" s="161"/>
      <c r="W308" s="161"/>
      <c r="X308" s="161"/>
      <c r="Y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L308" s="161"/>
      <c r="AN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BA308" s="161"/>
      <c r="BC308" s="161"/>
    </row>
    <row r="309">
      <c r="B309" s="161"/>
      <c r="C309" s="161"/>
      <c r="D309" s="161"/>
      <c r="F309" s="161"/>
      <c r="G309" s="161"/>
      <c r="H309" s="161"/>
      <c r="I309" s="161"/>
      <c r="J309" s="161"/>
      <c r="M309" s="161"/>
      <c r="N309" s="161"/>
      <c r="R309" s="161"/>
      <c r="S309" s="161"/>
      <c r="W309" s="161"/>
      <c r="X309" s="161"/>
      <c r="Y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L309" s="161"/>
      <c r="AN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BA309" s="161"/>
      <c r="BC309" s="161"/>
    </row>
    <row r="310">
      <c r="B310" s="161"/>
      <c r="C310" s="161"/>
      <c r="D310" s="161"/>
      <c r="F310" s="161"/>
      <c r="G310" s="161"/>
      <c r="H310" s="161"/>
      <c r="I310" s="161"/>
      <c r="J310" s="161"/>
      <c r="M310" s="161"/>
      <c r="N310" s="161"/>
      <c r="R310" s="161"/>
      <c r="S310" s="161"/>
      <c r="W310" s="161"/>
      <c r="X310" s="161"/>
      <c r="Y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L310" s="161"/>
      <c r="AN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BA310" s="161"/>
      <c r="BC310" s="161"/>
    </row>
    <row r="311">
      <c r="B311" s="161"/>
      <c r="C311" s="161"/>
      <c r="D311" s="161"/>
      <c r="F311" s="161"/>
      <c r="G311" s="161"/>
      <c r="H311" s="161"/>
      <c r="I311" s="161"/>
      <c r="J311" s="161"/>
      <c r="M311" s="161"/>
      <c r="N311" s="161"/>
      <c r="R311" s="161"/>
      <c r="S311" s="161"/>
      <c r="W311" s="161"/>
      <c r="X311" s="161"/>
      <c r="Y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L311" s="161"/>
      <c r="AN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BA311" s="161"/>
      <c r="BC311" s="161"/>
    </row>
    <row r="312">
      <c r="B312" s="161"/>
      <c r="C312" s="161"/>
      <c r="D312" s="161"/>
      <c r="F312" s="161"/>
      <c r="G312" s="161"/>
      <c r="H312" s="161"/>
      <c r="I312" s="161"/>
      <c r="J312" s="161"/>
      <c r="M312" s="161"/>
      <c r="N312" s="161"/>
      <c r="R312" s="161"/>
      <c r="S312" s="161"/>
      <c r="W312" s="161"/>
      <c r="X312" s="161"/>
      <c r="Y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L312" s="161"/>
      <c r="AN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BA312" s="161"/>
      <c r="BC312" s="161"/>
    </row>
    <row r="313">
      <c r="B313" s="161"/>
      <c r="C313" s="161"/>
      <c r="D313" s="161"/>
      <c r="F313" s="161"/>
      <c r="G313" s="161"/>
      <c r="H313" s="161"/>
      <c r="I313" s="161"/>
      <c r="J313" s="161"/>
      <c r="M313" s="161"/>
      <c r="N313" s="161"/>
      <c r="R313" s="161"/>
      <c r="S313" s="161"/>
      <c r="W313" s="161"/>
      <c r="X313" s="161"/>
      <c r="Y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L313" s="161"/>
      <c r="AN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BA313" s="161"/>
      <c r="BC313" s="161"/>
    </row>
    <row r="314">
      <c r="B314" s="161"/>
      <c r="C314" s="161"/>
      <c r="D314" s="161"/>
      <c r="F314" s="161"/>
      <c r="G314" s="161"/>
      <c r="H314" s="161"/>
      <c r="I314" s="161"/>
      <c r="J314" s="161"/>
      <c r="M314" s="161"/>
      <c r="N314" s="161"/>
      <c r="R314" s="161"/>
      <c r="S314" s="161"/>
      <c r="W314" s="161"/>
      <c r="X314" s="161"/>
      <c r="Y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L314" s="161"/>
      <c r="AN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BA314" s="161"/>
      <c r="BC314" s="161"/>
    </row>
    <row r="315">
      <c r="B315" s="161"/>
      <c r="C315" s="161"/>
      <c r="D315" s="161"/>
      <c r="F315" s="161"/>
      <c r="G315" s="161"/>
      <c r="H315" s="161"/>
      <c r="I315" s="161"/>
      <c r="J315" s="161"/>
      <c r="M315" s="161"/>
      <c r="N315" s="161"/>
      <c r="R315" s="161"/>
      <c r="S315" s="161"/>
      <c r="W315" s="161"/>
      <c r="X315" s="161"/>
      <c r="Y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L315" s="161"/>
      <c r="AN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BA315" s="161"/>
      <c r="BC315" s="161"/>
    </row>
    <row r="316">
      <c r="B316" s="161"/>
      <c r="C316" s="161"/>
      <c r="D316" s="161"/>
      <c r="F316" s="161"/>
      <c r="G316" s="161"/>
      <c r="H316" s="161"/>
      <c r="I316" s="161"/>
      <c r="J316" s="161"/>
      <c r="M316" s="161"/>
      <c r="N316" s="161"/>
      <c r="R316" s="161"/>
      <c r="S316" s="161"/>
      <c r="W316" s="161"/>
      <c r="X316" s="161"/>
      <c r="Y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L316" s="161"/>
      <c r="AN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BA316" s="161"/>
      <c r="BC316" s="161"/>
    </row>
    <row r="317">
      <c r="B317" s="161"/>
      <c r="C317" s="161"/>
      <c r="D317" s="161"/>
      <c r="F317" s="161"/>
      <c r="G317" s="161"/>
      <c r="H317" s="161"/>
      <c r="I317" s="161"/>
      <c r="J317" s="161"/>
      <c r="M317" s="161"/>
      <c r="N317" s="161"/>
      <c r="R317" s="161"/>
      <c r="S317" s="161"/>
      <c r="W317" s="161"/>
      <c r="X317" s="161"/>
      <c r="Y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L317" s="161"/>
      <c r="AN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BA317" s="161"/>
      <c r="BC317" s="161"/>
    </row>
    <row r="318">
      <c r="B318" s="161"/>
      <c r="C318" s="161"/>
      <c r="D318" s="161"/>
      <c r="F318" s="161"/>
      <c r="G318" s="161"/>
      <c r="H318" s="161"/>
      <c r="I318" s="161"/>
      <c r="J318" s="161"/>
      <c r="M318" s="161"/>
      <c r="N318" s="161"/>
      <c r="R318" s="161"/>
      <c r="S318" s="161"/>
      <c r="W318" s="161"/>
      <c r="X318" s="161"/>
      <c r="Y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L318" s="161"/>
      <c r="AN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BA318" s="161"/>
      <c r="BC318" s="161"/>
    </row>
    <row r="319">
      <c r="B319" s="161"/>
      <c r="C319" s="161"/>
      <c r="D319" s="161"/>
      <c r="F319" s="161"/>
      <c r="G319" s="161"/>
      <c r="H319" s="161"/>
      <c r="I319" s="161"/>
      <c r="J319" s="161"/>
      <c r="M319" s="161"/>
      <c r="N319" s="161"/>
      <c r="R319" s="161"/>
      <c r="S319" s="161"/>
      <c r="W319" s="161"/>
      <c r="X319" s="161"/>
      <c r="Y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L319" s="161"/>
      <c r="AN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BA319" s="161"/>
      <c r="BC319" s="161"/>
    </row>
    <row r="320">
      <c r="B320" s="161"/>
      <c r="C320" s="161"/>
      <c r="D320" s="161"/>
      <c r="F320" s="161"/>
      <c r="G320" s="161"/>
      <c r="H320" s="161"/>
      <c r="I320" s="161"/>
      <c r="J320" s="161"/>
      <c r="M320" s="161"/>
      <c r="N320" s="161"/>
      <c r="R320" s="161"/>
      <c r="S320" s="161"/>
      <c r="W320" s="161"/>
      <c r="X320" s="161"/>
      <c r="Y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L320" s="161"/>
      <c r="AN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BA320" s="161"/>
      <c r="BC320" s="161"/>
    </row>
    <row r="321">
      <c r="B321" s="161"/>
      <c r="C321" s="161"/>
      <c r="D321" s="161"/>
      <c r="F321" s="161"/>
      <c r="G321" s="161"/>
      <c r="H321" s="161"/>
      <c r="I321" s="161"/>
      <c r="J321" s="161"/>
      <c r="M321" s="161"/>
      <c r="N321" s="161"/>
      <c r="R321" s="161"/>
      <c r="S321" s="161"/>
      <c r="W321" s="161"/>
      <c r="X321" s="161"/>
      <c r="Y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L321" s="161"/>
      <c r="AN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BA321" s="161"/>
      <c r="BC321" s="161"/>
    </row>
    <row r="322">
      <c r="B322" s="161"/>
      <c r="C322" s="161"/>
      <c r="D322" s="161"/>
      <c r="F322" s="161"/>
      <c r="G322" s="161"/>
      <c r="H322" s="161"/>
      <c r="I322" s="161"/>
      <c r="J322" s="161"/>
      <c r="M322" s="161"/>
      <c r="N322" s="161"/>
      <c r="R322" s="161"/>
      <c r="S322" s="161"/>
      <c r="W322" s="161"/>
      <c r="X322" s="161"/>
      <c r="Y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L322" s="161"/>
      <c r="AN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BA322" s="161"/>
      <c r="BC322" s="161"/>
    </row>
    <row r="323">
      <c r="B323" s="161"/>
      <c r="C323" s="161"/>
      <c r="D323" s="161"/>
      <c r="F323" s="161"/>
      <c r="G323" s="161"/>
      <c r="H323" s="161"/>
      <c r="I323" s="161"/>
      <c r="J323" s="161"/>
      <c r="M323" s="161"/>
      <c r="N323" s="161"/>
      <c r="R323" s="161"/>
      <c r="S323" s="161"/>
      <c r="W323" s="161"/>
      <c r="X323" s="161"/>
      <c r="Y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L323" s="161"/>
      <c r="AN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BA323" s="161"/>
      <c r="BC323" s="161"/>
    </row>
    <row r="324">
      <c r="B324" s="161"/>
      <c r="C324" s="161"/>
      <c r="D324" s="161"/>
      <c r="F324" s="161"/>
      <c r="G324" s="161"/>
      <c r="H324" s="161"/>
      <c r="I324" s="161"/>
      <c r="J324" s="161"/>
      <c r="M324" s="161"/>
      <c r="N324" s="161"/>
      <c r="R324" s="161"/>
      <c r="S324" s="161"/>
      <c r="W324" s="161"/>
      <c r="X324" s="161"/>
      <c r="Y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L324" s="161"/>
      <c r="AN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BA324" s="161"/>
      <c r="BC324" s="161"/>
    </row>
    <row r="325">
      <c r="B325" s="161"/>
      <c r="C325" s="161"/>
      <c r="D325" s="161"/>
      <c r="F325" s="161"/>
      <c r="G325" s="161"/>
      <c r="H325" s="161"/>
      <c r="I325" s="161"/>
      <c r="J325" s="161"/>
      <c r="M325" s="161"/>
      <c r="N325" s="161"/>
      <c r="R325" s="161"/>
      <c r="S325" s="161"/>
      <c r="W325" s="161"/>
      <c r="X325" s="161"/>
      <c r="Y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L325" s="161"/>
      <c r="AN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BA325" s="161"/>
      <c r="BC325" s="161"/>
    </row>
    <row r="326">
      <c r="B326" s="161"/>
      <c r="C326" s="161"/>
      <c r="D326" s="161"/>
      <c r="F326" s="161"/>
      <c r="G326" s="161"/>
      <c r="H326" s="161"/>
      <c r="I326" s="161"/>
      <c r="J326" s="161"/>
      <c r="M326" s="161"/>
      <c r="N326" s="161"/>
      <c r="R326" s="161"/>
      <c r="S326" s="161"/>
      <c r="W326" s="161"/>
      <c r="X326" s="161"/>
      <c r="Y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L326" s="161"/>
      <c r="AN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BA326" s="161"/>
      <c r="BC326" s="161"/>
    </row>
    <row r="327">
      <c r="B327" s="161"/>
      <c r="C327" s="161"/>
      <c r="D327" s="161"/>
      <c r="F327" s="161"/>
      <c r="G327" s="161"/>
      <c r="H327" s="161"/>
      <c r="I327" s="161"/>
      <c r="J327" s="161"/>
      <c r="M327" s="161"/>
      <c r="N327" s="161"/>
      <c r="R327" s="161"/>
      <c r="S327" s="161"/>
      <c r="W327" s="161"/>
      <c r="X327" s="161"/>
      <c r="Y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L327" s="161"/>
      <c r="AN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BA327" s="161"/>
      <c r="BC327" s="161"/>
    </row>
    <row r="328">
      <c r="B328" s="161"/>
      <c r="C328" s="161"/>
      <c r="D328" s="161"/>
      <c r="F328" s="161"/>
      <c r="G328" s="161"/>
      <c r="H328" s="161"/>
      <c r="I328" s="161"/>
      <c r="J328" s="161"/>
      <c r="M328" s="161"/>
      <c r="N328" s="161"/>
      <c r="R328" s="161"/>
      <c r="S328" s="161"/>
      <c r="W328" s="161"/>
      <c r="X328" s="161"/>
      <c r="Y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L328" s="161"/>
      <c r="AN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BA328" s="161"/>
      <c r="BC328" s="161"/>
    </row>
    <row r="329">
      <c r="B329" s="161"/>
      <c r="C329" s="161"/>
      <c r="D329" s="161"/>
      <c r="F329" s="161"/>
      <c r="G329" s="161"/>
      <c r="H329" s="161"/>
      <c r="I329" s="161"/>
      <c r="J329" s="161"/>
      <c r="M329" s="161"/>
      <c r="N329" s="161"/>
      <c r="R329" s="161"/>
      <c r="S329" s="161"/>
      <c r="W329" s="161"/>
      <c r="X329" s="161"/>
      <c r="Y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L329" s="161"/>
      <c r="AN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BA329" s="161"/>
      <c r="BC329" s="161"/>
    </row>
    <row r="330">
      <c r="B330" s="161"/>
      <c r="C330" s="161"/>
      <c r="D330" s="161"/>
      <c r="F330" s="161"/>
      <c r="G330" s="161"/>
      <c r="H330" s="161"/>
      <c r="I330" s="161"/>
      <c r="J330" s="161"/>
      <c r="M330" s="161"/>
      <c r="N330" s="161"/>
      <c r="R330" s="161"/>
      <c r="S330" s="161"/>
      <c r="W330" s="161"/>
      <c r="X330" s="161"/>
      <c r="Y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L330" s="161"/>
      <c r="AN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BA330" s="161"/>
      <c r="BC330" s="161"/>
    </row>
    <row r="331">
      <c r="B331" s="161"/>
      <c r="C331" s="161"/>
      <c r="D331" s="161"/>
      <c r="F331" s="161"/>
      <c r="G331" s="161"/>
      <c r="H331" s="161"/>
      <c r="I331" s="161"/>
      <c r="J331" s="161"/>
      <c r="M331" s="161"/>
      <c r="N331" s="161"/>
      <c r="R331" s="161"/>
      <c r="S331" s="161"/>
      <c r="W331" s="161"/>
      <c r="X331" s="161"/>
      <c r="Y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L331" s="161"/>
      <c r="AN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BA331" s="161"/>
      <c r="BC331" s="161"/>
    </row>
    <row r="332">
      <c r="B332" s="161"/>
      <c r="C332" s="161"/>
      <c r="D332" s="161"/>
      <c r="F332" s="161"/>
      <c r="G332" s="161"/>
      <c r="H332" s="161"/>
      <c r="I332" s="161"/>
      <c r="J332" s="161"/>
      <c r="M332" s="161"/>
      <c r="N332" s="161"/>
      <c r="R332" s="161"/>
      <c r="S332" s="161"/>
      <c r="W332" s="161"/>
      <c r="X332" s="161"/>
      <c r="Y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L332" s="161"/>
      <c r="AN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BA332" s="161"/>
      <c r="BC332" s="161"/>
    </row>
    <row r="333">
      <c r="B333" s="161"/>
      <c r="C333" s="161"/>
      <c r="D333" s="161"/>
      <c r="F333" s="161"/>
      <c r="G333" s="161"/>
      <c r="H333" s="161"/>
      <c r="I333" s="161"/>
      <c r="J333" s="161"/>
      <c r="M333" s="161"/>
      <c r="N333" s="161"/>
      <c r="R333" s="161"/>
      <c r="S333" s="161"/>
      <c r="W333" s="161"/>
      <c r="X333" s="161"/>
      <c r="Y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L333" s="161"/>
      <c r="AN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BA333" s="161"/>
      <c r="BC333" s="161"/>
    </row>
    <row r="334">
      <c r="B334" s="161"/>
      <c r="C334" s="161"/>
      <c r="D334" s="161"/>
      <c r="F334" s="161"/>
      <c r="G334" s="161"/>
      <c r="H334" s="161"/>
      <c r="I334" s="161"/>
      <c r="J334" s="161"/>
      <c r="M334" s="161"/>
      <c r="N334" s="161"/>
      <c r="R334" s="161"/>
      <c r="S334" s="161"/>
      <c r="W334" s="161"/>
      <c r="X334" s="161"/>
      <c r="Y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L334" s="161"/>
      <c r="AN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BA334" s="161"/>
      <c r="BC334" s="161"/>
    </row>
    <row r="335">
      <c r="B335" s="161"/>
      <c r="C335" s="161"/>
      <c r="D335" s="161"/>
      <c r="F335" s="161"/>
      <c r="G335" s="161"/>
      <c r="H335" s="161"/>
      <c r="I335" s="161"/>
      <c r="J335" s="161"/>
      <c r="M335" s="161"/>
      <c r="N335" s="161"/>
      <c r="R335" s="161"/>
      <c r="S335" s="161"/>
      <c r="W335" s="161"/>
      <c r="X335" s="161"/>
      <c r="Y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L335" s="161"/>
      <c r="AN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BA335" s="161"/>
      <c r="BC335" s="161"/>
    </row>
    <row r="336">
      <c r="B336" s="161"/>
      <c r="C336" s="161"/>
      <c r="D336" s="161"/>
      <c r="F336" s="161"/>
      <c r="G336" s="161"/>
      <c r="H336" s="161"/>
      <c r="I336" s="161"/>
      <c r="J336" s="161"/>
      <c r="M336" s="161"/>
      <c r="N336" s="161"/>
      <c r="R336" s="161"/>
      <c r="S336" s="161"/>
      <c r="W336" s="161"/>
      <c r="X336" s="161"/>
      <c r="Y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L336" s="161"/>
      <c r="AN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BA336" s="161"/>
      <c r="BC336" s="161"/>
    </row>
    <row r="337">
      <c r="B337" s="161"/>
      <c r="C337" s="161"/>
      <c r="D337" s="161"/>
      <c r="F337" s="161"/>
      <c r="G337" s="161"/>
      <c r="H337" s="161"/>
      <c r="I337" s="161"/>
      <c r="J337" s="161"/>
      <c r="M337" s="161"/>
      <c r="N337" s="161"/>
      <c r="R337" s="161"/>
      <c r="S337" s="161"/>
      <c r="W337" s="161"/>
      <c r="X337" s="161"/>
      <c r="Y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L337" s="161"/>
      <c r="AN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BA337" s="161"/>
      <c r="BC337" s="161"/>
    </row>
    <row r="338">
      <c r="B338" s="161"/>
      <c r="C338" s="161"/>
      <c r="D338" s="161"/>
      <c r="F338" s="161"/>
      <c r="G338" s="161"/>
      <c r="H338" s="161"/>
      <c r="I338" s="161"/>
      <c r="J338" s="161"/>
      <c r="M338" s="161"/>
      <c r="N338" s="161"/>
      <c r="R338" s="161"/>
      <c r="S338" s="161"/>
      <c r="W338" s="161"/>
      <c r="X338" s="161"/>
      <c r="Y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L338" s="161"/>
      <c r="AN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BA338" s="161"/>
      <c r="BC338" s="161"/>
    </row>
    <row r="339">
      <c r="B339" s="161"/>
      <c r="C339" s="161"/>
      <c r="D339" s="161"/>
      <c r="F339" s="161"/>
      <c r="G339" s="161"/>
      <c r="H339" s="161"/>
      <c r="I339" s="161"/>
      <c r="J339" s="161"/>
      <c r="M339" s="161"/>
      <c r="N339" s="161"/>
      <c r="R339" s="161"/>
      <c r="S339" s="161"/>
      <c r="W339" s="161"/>
      <c r="X339" s="161"/>
      <c r="Y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L339" s="161"/>
      <c r="AN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BA339" s="161"/>
      <c r="BC339" s="161"/>
    </row>
    <row r="340">
      <c r="B340" s="161"/>
      <c r="C340" s="161"/>
      <c r="D340" s="161"/>
      <c r="F340" s="161"/>
      <c r="G340" s="161"/>
      <c r="H340" s="161"/>
      <c r="I340" s="161"/>
      <c r="J340" s="161"/>
      <c r="M340" s="161"/>
      <c r="N340" s="161"/>
      <c r="R340" s="161"/>
      <c r="S340" s="161"/>
      <c r="W340" s="161"/>
      <c r="X340" s="161"/>
      <c r="Y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L340" s="161"/>
      <c r="AN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BA340" s="161"/>
      <c r="BC340" s="161"/>
    </row>
    <row r="341">
      <c r="B341" s="161"/>
      <c r="C341" s="161"/>
      <c r="D341" s="161"/>
      <c r="F341" s="161"/>
      <c r="G341" s="161"/>
      <c r="H341" s="161"/>
      <c r="I341" s="161"/>
      <c r="J341" s="161"/>
      <c r="M341" s="161"/>
      <c r="N341" s="161"/>
      <c r="R341" s="161"/>
      <c r="S341" s="161"/>
      <c r="W341" s="161"/>
      <c r="X341" s="161"/>
      <c r="Y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L341" s="161"/>
      <c r="AN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BA341" s="161"/>
      <c r="BC341" s="161"/>
    </row>
    <row r="342">
      <c r="B342" s="161"/>
      <c r="C342" s="161"/>
      <c r="D342" s="161"/>
      <c r="F342" s="161"/>
      <c r="G342" s="161"/>
      <c r="H342" s="161"/>
      <c r="I342" s="161"/>
      <c r="J342" s="161"/>
      <c r="M342" s="161"/>
      <c r="N342" s="161"/>
      <c r="R342" s="161"/>
      <c r="S342" s="161"/>
      <c r="W342" s="161"/>
      <c r="X342" s="161"/>
      <c r="Y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L342" s="161"/>
      <c r="AN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BA342" s="161"/>
      <c r="BC342" s="161"/>
    </row>
    <row r="343">
      <c r="B343" s="161"/>
      <c r="C343" s="161"/>
      <c r="D343" s="161"/>
      <c r="F343" s="161"/>
      <c r="G343" s="161"/>
      <c r="H343" s="161"/>
      <c r="I343" s="161"/>
      <c r="J343" s="161"/>
      <c r="M343" s="161"/>
      <c r="N343" s="161"/>
      <c r="R343" s="161"/>
      <c r="S343" s="161"/>
      <c r="W343" s="161"/>
      <c r="X343" s="161"/>
      <c r="Y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L343" s="161"/>
      <c r="AN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BA343" s="161"/>
      <c r="BC343" s="161"/>
    </row>
    <row r="344">
      <c r="B344" s="161"/>
      <c r="C344" s="161"/>
      <c r="D344" s="161"/>
      <c r="F344" s="161"/>
      <c r="G344" s="161"/>
      <c r="H344" s="161"/>
      <c r="I344" s="161"/>
      <c r="J344" s="161"/>
      <c r="M344" s="161"/>
      <c r="N344" s="161"/>
      <c r="R344" s="161"/>
      <c r="S344" s="161"/>
      <c r="W344" s="161"/>
      <c r="X344" s="161"/>
      <c r="Y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L344" s="161"/>
      <c r="AN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BA344" s="161"/>
      <c r="BC344" s="161"/>
    </row>
    <row r="345">
      <c r="B345" s="161"/>
      <c r="C345" s="161"/>
      <c r="D345" s="161"/>
      <c r="F345" s="161"/>
      <c r="G345" s="161"/>
      <c r="H345" s="161"/>
      <c r="I345" s="161"/>
      <c r="J345" s="161"/>
      <c r="M345" s="161"/>
      <c r="N345" s="161"/>
      <c r="R345" s="161"/>
      <c r="S345" s="161"/>
      <c r="W345" s="161"/>
      <c r="X345" s="161"/>
      <c r="Y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L345" s="161"/>
      <c r="AN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BA345" s="161"/>
      <c r="BC345" s="161"/>
    </row>
    <row r="346">
      <c r="B346" s="161"/>
      <c r="C346" s="161"/>
      <c r="D346" s="161"/>
      <c r="F346" s="161"/>
      <c r="G346" s="161"/>
      <c r="H346" s="161"/>
      <c r="I346" s="161"/>
      <c r="J346" s="161"/>
      <c r="M346" s="161"/>
      <c r="N346" s="161"/>
      <c r="R346" s="161"/>
      <c r="S346" s="161"/>
      <c r="W346" s="161"/>
      <c r="X346" s="161"/>
      <c r="Y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L346" s="161"/>
      <c r="AN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BA346" s="161"/>
      <c r="BC346" s="161"/>
    </row>
    <row r="347">
      <c r="B347" s="161"/>
      <c r="C347" s="161"/>
      <c r="D347" s="161"/>
      <c r="F347" s="161"/>
      <c r="G347" s="161"/>
      <c r="H347" s="161"/>
      <c r="I347" s="161"/>
      <c r="J347" s="161"/>
      <c r="M347" s="161"/>
      <c r="N347" s="161"/>
      <c r="R347" s="161"/>
      <c r="S347" s="161"/>
      <c r="W347" s="161"/>
      <c r="X347" s="161"/>
      <c r="Y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L347" s="161"/>
      <c r="AN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BA347" s="161"/>
      <c r="BC347" s="161"/>
    </row>
    <row r="348">
      <c r="B348" s="161"/>
      <c r="C348" s="161"/>
      <c r="D348" s="161"/>
      <c r="F348" s="161"/>
      <c r="G348" s="161"/>
      <c r="H348" s="161"/>
      <c r="I348" s="161"/>
      <c r="J348" s="161"/>
      <c r="M348" s="161"/>
      <c r="N348" s="161"/>
      <c r="R348" s="161"/>
      <c r="S348" s="161"/>
      <c r="W348" s="161"/>
      <c r="X348" s="161"/>
      <c r="Y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L348" s="161"/>
      <c r="AN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BA348" s="161"/>
      <c r="BC348" s="161"/>
    </row>
    <row r="349">
      <c r="B349" s="161"/>
      <c r="C349" s="161"/>
      <c r="D349" s="161"/>
      <c r="F349" s="161"/>
      <c r="G349" s="161"/>
      <c r="H349" s="161"/>
      <c r="I349" s="161"/>
      <c r="J349" s="161"/>
      <c r="M349" s="161"/>
      <c r="N349" s="161"/>
      <c r="R349" s="161"/>
      <c r="S349" s="161"/>
      <c r="W349" s="161"/>
      <c r="X349" s="161"/>
      <c r="Y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L349" s="161"/>
      <c r="AN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BA349" s="161"/>
      <c r="BC349" s="161"/>
    </row>
    <row r="350">
      <c r="B350" s="161"/>
      <c r="C350" s="161"/>
      <c r="D350" s="161"/>
      <c r="F350" s="161"/>
      <c r="G350" s="161"/>
      <c r="H350" s="161"/>
      <c r="I350" s="161"/>
      <c r="J350" s="161"/>
      <c r="M350" s="161"/>
      <c r="N350" s="161"/>
      <c r="R350" s="161"/>
      <c r="S350" s="161"/>
      <c r="W350" s="161"/>
      <c r="X350" s="161"/>
      <c r="Y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L350" s="161"/>
      <c r="AN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BA350" s="161"/>
      <c r="BC350" s="161"/>
    </row>
    <row r="351">
      <c r="B351" s="161"/>
      <c r="C351" s="161"/>
      <c r="D351" s="161"/>
      <c r="F351" s="161"/>
      <c r="G351" s="161"/>
      <c r="H351" s="161"/>
      <c r="I351" s="161"/>
      <c r="J351" s="161"/>
      <c r="M351" s="161"/>
      <c r="N351" s="161"/>
      <c r="R351" s="161"/>
      <c r="S351" s="161"/>
      <c r="W351" s="161"/>
      <c r="X351" s="161"/>
      <c r="Y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L351" s="161"/>
      <c r="AN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BA351" s="161"/>
      <c r="BC351" s="161"/>
    </row>
    <row r="352">
      <c r="B352" s="161"/>
      <c r="C352" s="161"/>
      <c r="D352" s="161"/>
      <c r="F352" s="161"/>
      <c r="G352" s="161"/>
      <c r="H352" s="161"/>
      <c r="I352" s="161"/>
      <c r="J352" s="161"/>
      <c r="M352" s="161"/>
      <c r="N352" s="161"/>
      <c r="R352" s="161"/>
      <c r="S352" s="161"/>
      <c r="W352" s="161"/>
      <c r="X352" s="161"/>
      <c r="Y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L352" s="161"/>
      <c r="AN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BA352" s="161"/>
      <c r="BC352" s="161"/>
    </row>
    <row r="353">
      <c r="B353" s="161"/>
      <c r="C353" s="161"/>
      <c r="D353" s="161"/>
      <c r="F353" s="161"/>
      <c r="G353" s="161"/>
      <c r="H353" s="161"/>
      <c r="I353" s="161"/>
      <c r="J353" s="161"/>
      <c r="M353" s="161"/>
      <c r="N353" s="161"/>
      <c r="R353" s="161"/>
      <c r="S353" s="161"/>
      <c r="W353" s="161"/>
      <c r="X353" s="161"/>
      <c r="Y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L353" s="161"/>
      <c r="AN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BA353" s="161"/>
      <c r="BC353" s="161"/>
    </row>
    <row r="354">
      <c r="B354" s="161"/>
      <c r="C354" s="161"/>
      <c r="D354" s="161"/>
      <c r="F354" s="161"/>
      <c r="G354" s="161"/>
      <c r="H354" s="161"/>
      <c r="I354" s="161"/>
      <c r="J354" s="161"/>
      <c r="M354" s="161"/>
      <c r="N354" s="161"/>
      <c r="R354" s="161"/>
      <c r="S354" s="161"/>
      <c r="W354" s="161"/>
      <c r="X354" s="161"/>
      <c r="Y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L354" s="161"/>
      <c r="AN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BA354" s="161"/>
      <c r="BC354" s="161"/>
    </row>
    <row r="355">
      <c r="B355" s="161"/>
      <c r="C355" s="161"/>
      <c r="D355" s="161"/>
      <c r="F355" s="161"/>
      <c r="G355" s="161"/>
      <c r="H355" s="161"/>
      <c r="I355" s="161"/>
      <c r="J355" s="161"/>
      <c r="M355" s="161"/>
      <c r="N355" s="161"/>
      <c r="R355" s="161"/>
      <c r="S355" s="161"/>
      <c r="W355" s="161"/>
      <c r="X355" s="161"/>
      <c r="Y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L355" s="161"/>
      <c r="AN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BA355" s="161"/>
      <c r="BC355" s="161"/>
    </row>
    <row r="356">
      <c r="B356" s="161"/>
      <c r="C356" s="161"/>
      <c r="D356" s="161"/>
      <c r="F356" s="161"/>
      <c r="G356" s="161"/>
      <c r="H356" s="161"/>
      <c r="I356" s="161"/>
      <c r="J356" s="161"/>
      <c r="M356" s="161"/>
      <c r="N356" s="161"/>
      <c r="R356" s="161"/>
      <c r="S356" s="161"/>
      <c r="W356" s="161"/>
      <c r="X356" s="161"/>
      <c r="Y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L356" s="161"/>
      <c r="AN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BA356" s="161"/>
      <c r="BC356" s="161"/>
    </row>
    <row r="357">
      <c r="B357" s="161"/>
      <c r="C357" s="161"/>
      <c r="D357" s="161"/>
      <c r="F357" s="161"/>
      <c r="G357" s="161"/>
      <c r="H357" s="161"/>
      <c r="I357" s="161"/>
      <c r="J357" s="161"/>
      <c r="M357" s="161"/>
      <c r="N357" s="161"/>
      <c r="R357" s="161"/>
      <c r="S357" s="161"/>
      <c r="W357" s="161"/>
      <c r="X357" s="161"/>
      <c r="Y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L357" s="161"/>
      <c r="AN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BA357" s="161"/>
      <c r="BC357" s="161"/>
    </row>
    <row r="358">
      <c r="B358" s="161"/>
      <c r="C358" s="161"/>
      <c r="D358" s="161"/>
      <c r="F358" s="161"/>
      <c r="G358" s="161"/>
      <c r="H358" s="161"/>
      <c r="I358" s="161"/>
      <c r="J358" s="161"/>
      <c r="M358" s="161"/>
      <c r="N358" s="161"/>
      <c r="R358" s="161"/>
      <c r="S358" s="161"/>
      <c r="W358" s="161"/>
      <c r="X358" s="161"/>
      <c r="Y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L358" s="161"/>
      <c r="AN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BA358" s="161"/>
      <c r="BC358" s="161"/>
    </row>
    <row r="359">
      <c r="B359" s="161"/>
      <c r="C359" s="161"/>
      <c r="D359" s="161"/>
      <c r="F359" s="161"/>
      <c r="G359" s="161"/>
      <c r="H359" s="161"/>
      <c r="I359" s="161"/>
      <c r="J359" s="161"/>
      <c r="M359" s="161"/>
      <c r="N359" s="161"/>
      <c r="R359" s="161"/>
      <c r="S359" s="161"/>
      <c r="W359" s="161"/>
      <c r="X359" s="161"/>
      <c r="Y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L359" s="161"/>
      <c r="AN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BA359" s="161"/>
      <c r="BC359" s="161"/>
    </row>
    <row r="360">
      <c r="B360" s="161"/>
      <c r="C360" s="161"/>
      <c r="D360" s="161"/>
      <c r="F360" s="161"/>
      <c r="G360" s="161"/>
      <c r="H360" s="161"/>
      <c r="I360" s="161"/>
      <c r="J360" s="161"/>
      <c r="M360" s="161"/>
      <c r="N360" s="161"/>
      <c r="R360" s="161"/>
      <c r="S360" s="161"/>
      <c r="W360" s="161"/>
      <c r="X360" s="161"/>
      <c r="Y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L360" s="161"/>
      <c r="AN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BA360" s="161"/>
      <c r="BC360" s="161"/>
    </row>
    <row r="361">
      <c r="B361" s="161"/>
      <c r="C361" s="161"/>
      <c r="D361" s="161"/>
      <c r="F361" s="161"/>
      <c r="G361" s="161"/>
      <c r="H361" s="161"/>
      <c r="I361" s="161"/>
      <c r="J361" s="161"/>
      <c r="M361" s="161"/>
      <c r="N361" s="161"/>
      <c r="R361" s="161"/>
      <c r="S361" s="161"/>
      <c r="W361" s="161"/>
      <c r="X361" s="161"/>
      <c r="Y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L361" s="161"/>
      <c r="AN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BA361" s="161"/>
      <c r="BC361" s="161"/>
    </row>
    <row r="362">
      <c r="B362" s="161"/>
      <c r="C362" s="161"/>
      <c r="D362" s="161"/>
      <c r="F362" s="161"/>
      <c r="G362" s="161"/>
      <c r="H362" s="161"/>
      <c r="I362" s="161"/>
      <c r="J362" s="161"/>
      <c r="M362" s="161"/>
      <c r="N362" s="161"/>
      <c r="R362" s="161"/>
      <c r="S362" s="161"/>
      <c r="W362" s="161"/>
      <c r="X362" s="161"/>
      <c r="Y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L362" s="161"/>
      <c r="AN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BA362" s="161"/>
      <c r="BC362" s="161"/>
    </row>
    <row r="363">
      <c r="B363" s="161"/>
      <c r="C363" s="161"/>
      <c r="D363" s="161"/>
      <c r="F363" s="161"/>
      <c r="G363" s="161"/>
      <c r="H363" s="161"/>
      <c r="I363" s="161"/>
      <c r="J363" s="161"/>
      <c r="M363" s="161"/>
      <c r="N363" s="161"/>
      <c r="R363" s="161"/>
      <c r="S363" s="161"/>
      <c r="W363" s="161"/>
      <c r="X363" s="161"/>
      <c r="Y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L363" s="161"/>
      <c r="AN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BA363" s="161"/>
      <c r="BC363" s="161"/>
    </row>
    <row r="364">
      <c r="B364" s="161"/>
      <c r="C364" s="161"/>
      <c r="D364" s="161"/>
      <c r="F364" s="161"/>
      <c r="G364" s="161"/>
      <c r="H364" s="161"/>
      <c r="I364" s="161"/>
      <c r="J364" s="161"/>
      <c r="M364" s="161"/>
      <c r="N364" s="161"/>
      <c r="R364" s="161"/>
      <c r="S364" s="161"/>
      <c r="W364" s="161"/>
      <c r="X364" s="161"/>
      <c r="Y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L364" s="161"/>
      <c r="AN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BA364" s="161"/>
      <c r="BC364" s="161"/>
    </row>
    <row r="365">
      <c r="B365" s="161"/>
      <c r="C365" s="161"/>
      <c r="D365" s="161"/>
      <c r="F365" s="161"/>
      <c r="G365" s="161"/>
      <c r="H365" s="161"/>
      <c r="I365" s="161"/>
      <c r="J365" s="161"/>
      <c r="M365" s="161"/>
      <c r="N365" s="161"/>
      <c r="R365" s="161"/>
      <c r="S365" s="161"/>
      <c r="W365" s="161"/>
      <c r="X365" s="161"/>
      <c r="Y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L365" s="161"/>
      <c r="AN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BA365" s="161"/>
      <c r="BC365" s="161"/>
    </row>
    <row r="366">
      <c r="B366" s="161"/>
      <c r="C366" s="161"/>
      <c r="D366" s="161"/>
      <c r="F366" s="161"/>
      <c r="G366" s="161"/>
      <c r="H366" s="161"/>
      <c r="I366" s="161"/>
      <c r="J366" s="161"/>
      <c r="M366" s="161"/>
      <c r="N366" s="161"/>
      <c r="R366" s="161"/>
      <c r="S366" s="161"/>
      <c r="W366" s="161"/>
      <c r="X366" s="161"/>
      <c r="Y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L366" s="161"/>
      <c r="AN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BA366" s="161"/>
      <c r="BC366" s="161"/>
    </row>
    <row r="367">
      <c r="B367" s="161"/>
      <c r="C367" s="161"/>
      <c r="D367" s="161"/>
      <c r="F367" s="161"/>
      <c r="G367" s="161"/>
      <c r="H367" s="161"/>
      <c r="I367" s="161"/>
      <c r="J367" s="161"/>
      <c r="M367" s="161"/>
      <c r="N367" s="161"/>
      <c r="R367" s="161"/>
      <c r="S367" s="161"/>
      <c r="W367" s="161"/>
      <c r="X367" s="161"/>
      <c r="Y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L367" s="161"/>
      <c r="AN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BA367" s="161"/>
      <c r="BC367" s="161"/>
    </row>
    <row r="368">
      <c r="B368" s="161"/>
      <c r="C368" s="161"/>
      <c r="D368" s="161"/>
      <c r="F368" s="161"/>
      <c r="G368" s="161"/>
      <c r="H368" s="161"/>
      <c r="I368" s="161"/>
      <c r="J368" s="161"/>
      <c r="M368" s="161"/>
      <c r="N368" s="161"/>
      <c r="R368" s="161"/>
      <c r="S368" s="161"/>
      <c r="W368" s="161"/>
      <c r="X368" s="161"/>
      <c r="Y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L368" s="161"/>
      <c r="AN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BA368" s="161"/>
      <c r="BC368" s="161"/>
    </row>
    <row r="369">
      <c r="B369" s="161"/>
      <c r="C369" s="161"/>
      <c r="D369" s="161"/>
      <c r="F369" s="161"/>
      <c r="G369" s="161"/>
      <c r="H369" s="161"/>
      <c r="I369" s="161"/>
      <c r="J369" s="161"/>
      <c r="M369" s="161"/>
      <c r="N369" s="161"/>
      <c r="R369" s="161"/>
      <c r="S369" s="161"/>
      <c r="W369" s="161"/>
      <c r="X369" s="161"/>
      <c r="Y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L369" s="161"/>
      <c r="AN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BA369" s="161"/>
      <c r="BC369" s="161"/>
    </row>
    <row r="370">
      <c r="B370" s="161"/>
      <c r="C370" s="161"/>
      <c r="D370" s="161"/>
      <c r="F370" s="161"/>
      <c r="G370" s="161"/>
      <c r="H370" s="161"/>
      <c r="I370" s="161"/>
      <c r="J370" s="161"/>
      <c r="M370" s="161"/>
      <c r="N370" s="161"/>
      <c r="R370" s="161"/>
      <c r="S370" s="161"/>
      <c r="W370" s="161"/>
      <c r="X370" s="161"/>
      <c r="Y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L370" s="161"/>
      <c r="AN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BA370" s="161"/>
      <c r="BC370" s="161"/>
    </row>
    <row r="371">
      <c r="B371" s="161"/>
      <c r="C371" s="161"/>
      <c r="D371" s="161"/>
      <c r="F371" s="161"/>
      <c r="G371" s="161"/>
      <c r="H371" s="161"/>
      <c r="I371" s="161"/>
      <c r="J371" s="161"/>
      <c r="M371" s="161"/>
      <c r="N371" s="161"/>
      <c r="R371" s="161"/>
      <c r="S371" s="161"/>
      <c r="W371" s="161"/>
      <c r="X371" s="161"/>
      <c r="Y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L371" s="161"/>
      <c r="AN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BA371" s="161"/>
      <c r="BC371" s="161"/>
    </row>
    <row r="372">
      <c r="B372" s="161"/>
      <c r="C372" s="161"/>
      <c r="D372" s="161"/>
      <c r="F372" s="161"/>
      <c r="G372" s="161"/>
      <c r="H372" s="161"/>
      <c r="I372" s="161"/>
      <c r="J372" s="161"/>
      <c r="M372" s="161"/>
      <c r="N372" s="161"/>
      <c r="R372" s="161"/>
      <c r="S372" s="161"/>
      <c r="W372" s="161"/>
      <c r="X372" s="161"/>
      <c r="Y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L372" s="161"/>
      <c r="AN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BA372" s="161"/>
      <c r="BC372" s="161"/>
    </row>
    <row r="373">
      <c r="B373" s="161"/>
      <c r="C373" s="161"/>
      <c r="D373" s="161"/>
      <c r="F373" s="161"/>
      <c r="G373" s="161"/>
      <c r="H373" s="161"/>
      <c r="I373" s="161"/>
      <c r="J373" s="161"/>
      <c r="M373" s="161"/>
      <c r="N373" s="161"/>
      <c r="R373" s="161"/>
      <c r="S373" s="161"/>
      <c r="W373" s="161"/>
      <c r="X373" s="161"/>
      <c r="Y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L373" s="161"/>
      <c r="AN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BA373" s="161"/>
      <c r="BC373" s="161"/>
    </row>
    <row r="374">
      <c r="B374" s="161"/>
      <c r="C374" s="161"/>
      <c r="D374" s="161"/>
      <c r="F374" s="161"/>
      <c r="G374" s="161"/>
      <c r="H374" s="161"/>
      <c r="I374" s="161"/>
      <c r="J374" s="161"/>
      <c r="M374" s="161"/>
      <c r="N374" s="161"/>
      <c r="R374" s="161"/>
      <c r="S374" s="161"/>
      <c r="W374" s="161"/>
      <c r="X374" s="161"/>
      <c r="Y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L374" s="161"/>
      <c r="AN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BA374" s="161"/>
      <c r="BC374" s="161"/>
    </row>
    <row r="375">
      <c r="B375" s="161"/>
      <c r="C375" s="161"/>
      <c r="D375" s="161"/>
      <c r="F375" s="161"/>
      <c r="G375" s="161"/>
      <c r="H375" s="161"/>
      <c r="I375" s="161"/>
      <c r="J375" s="161"/>
      <c r="M375" s="161"/>
      <c r="N375" s="161"/>
      <c r="R375" s="161"/>
      <c r="S375" s="161"/>
      <c r="W375" s="161"/>
      <c r="X375" s="161"/>
      <c r="Y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L375" s="161"/>
      <c r="AN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BA375" s="161"/>
      <c r="BC375" s="161"/>
    </row>
    <row r="376">
      <c r="B376" s="161"/>
      <c r="C376" s="161"/>
      <c r="D376" s="161"/>
      <c r="F376" s="161"/>
      <c r="G376" s="161"/>
      <c r="H376" s="161"/>
      <c r="I376" s="161"/>
      <c r="J376" s="161"/>
      <c r="M376" s="161"/>
      <c r="N376" s="161"/>
      <c r="R376" s="161"/>
      <c r="S376" s="161"/>
      <c r="W376" s="161"/>
      <c r="X376" s="161"/>
      <c r="Y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L376" s="161"/>
      <c r="AN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BA376" s="161"/>
      <c r="BC376" s="161"/>
    </row>
    <row r="377">
      <c r="B377" s="161"/>
      <c r="C377" s="161"/>
      <c r="D377" s="161"/>
      <c r="F377" s="161"/>
      <c r="G377" s="161"/>
      <c r="H377" s="161"/>
      <c r="I377" s="161"/>
      <c r="J377" s="161"/>
      <c r="M377" s="161"/>
      <c r="N377" s="161"/>
      <c r="R377" s="161"/>
      <c r="S377" s="161"/>
      <c r="W377" s="161"/>
      <c r="X377" s="161"/>
      <c r="Y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L377" s="161"/>
      <c r="AN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BA377" s="161"/>
      <c r="BC377" s="161"/>
    </row>
    <row r="378">
      <c r="B378" s="161"/>
      <c r="C378" s="161"/>
      <c r="D378" s="161"/>
      <c r="F378" s="161"/>
      <c r="G378" s="161"/>
      <c r="H378" s="161"/>
      <c r="I378" s="161"/>
      <c r="J378" s="161"/>
      <c r="M378" s="161"/>
      <c r="N378" s="161"/>
      <c r="R378" s="161"/>
      <c r="S378" s="161"/>
      <c r="W378" s="161"/>
      <c r="X378" s="161"/>
      <c r="Y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L378" s="161"/>
      <c r="AN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BA378" s="161"/>
      <c r="BC378" s="161"/>
    </row>
    <row r="379">
      <c r="B379" s="161"/>
      <c r="C379" s="161"/>
      <c r="D379" s="161"/>
      <c r="F379" s="161"/>
      <c r="G379" s="161"/>
      <c r="H379" s="161"/>
      <c r="I379" s="161"/>
      <c r="J379" s="161"/>
      <c r="M379" s="161"/>
      <c r="N379" s="161"/>
      <c r="R379" s="161"/>
      <c r="S379" s="161"/>
      <c r="W379" s="161"/>
      <c r="X379" s="161"/>
      <c r="Y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L379" s="161"/>
      <c r="AN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BA379" s="161"/>
      <c r="BC379" s="161"/>
    </row>
    <row r="380">
      <c r="B380" s="161"/>
      <c r="C380" s="161"/>
      <c r="D380" s="161"/>
      <c r="F380" s="161"/>
      <c r="G380" s="161"/>
      <c r="H380" s="161"/>
      <c r="I380" s="161"/>
      <c r="J380" s="161"/>
      <c r="M380" s="161"/>
      <c r="N380" s="161"/>
      <c r="R380" s="161"/>
      <c r="S380" s="161"/>
      <c r="W380" s="161"/>
      <c r="X380" s="161"/>
      <c r="Y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L380" s="161"/>
      <c r="AN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BA380" s="161"/>
      <c r="BC380" s="161"/>
    </row>
    <row r="381">
      <c r="B381" s="161"/>
      <c r="C381" s="161"/>
      <c r="D381" s="161"/>
      <c r="F381" s="161"/>
      <c r="G381" s="161"/>
      <c r="H381" s="161"/>
      <c r="I381" s="161"/>
      <c r="J381" s="161"/>
      <c r="M381" s="161"/>
      <c r="N381" s="161"/>
      <c r="R381" s="161"/>
      <c r="S381" s="161"/>
      <c r="W381" s="161"/>
      <c r="X381" s="161"/>
      <c r="Y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L381" s="161"/>
      <c r="AN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BA381" s="161"/>
      <c r="BC381" s="161"/>
    </row>
    <row r="382">
      <c r="B382" s="161"/>
      <c r="C382" s="161"/>
      <c r="D382" s="161"/>
      <c r="F382" s="161"/>
      <c r="G382" s="161"/>
      <c r="H382" s="161"/>
      <c r="I382" s="161"/>
      <c r="J382" s="161"/>
      <c r="M382" s="161"/>
      <c r="N382" s="161"/>
      <c r="R382" s="161"/>
      <c r="S382" s="161"/>
      <c r="W382" s="161"/>
      <c r="X382" s="161"/>
      <c r="Y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L382" s="161"/>
      <c r="AN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BA382" s="161"/>
      <c r="BC382" s="161"/>
    </row>
    <row r="383">
      <c r="B383" s="161"/>
      <c r="C383" s="161"/>
      <c r="D383" s="161"/>
      <c r="F383" s="161"/>
      <c r="G383" s="161"/>
      <c r="H383" s="161"/>
      <c r="I383" s="161"/>
      <c r="J383" s="161"/>
      <c r="M383" s="161"/>
      <c r="N383" s="161"/>
      <c r="R383" s="161"/>
      <c r="S383" s="161"/>
      <c r="W383" s="161"/>
      <c r="X383" s="161"/>
      <c r="Y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L383" s="161"/>
      <c r="AN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BA383" s="161"/>
      <c r="BC383" s="161"/>
    </row>
    <row r="384">
      <c r="B384" s="161"/>
      <c r="C384" s="161"/>
      <c r="D384" s="161"/>
      <c r="F384" s="161"/>
      <c r="G384" s="161"/>
      <c r="H384" s="161"/>
      <c r="I384" s="161"/>
      <c r="J384" s="161"/>
      <c r="M384" s="161"/>
      <c r="N384" s="161"/>
      <c r="R384" s="161"/>
      <c r="S384" s="161"/>
      <c r="W384" s="161"/>
      <c r="X384" s="161"/>
      <c r="Y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L384" s="161"/>
      <c r="AN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BA384" s="161"/>
      <c r="BC384" s="161"/>
    </row>
    <row r="385">
      <c r="B385" s="161"/>
      <c r="C385" s="161"/>
      <c r="D385" s="161"/>
      <c r="F385" s="161"/>
      <c r="G385" s="161"/>
      <c r="H385" s="161"/>
      <c r="I385" s="161"/>
      <c r="J385" s="161"/>
      <c r="M385" s="161"/>
      <c r="N385" s="161"/>
      <c r="R385" s="161"/>
      <c r="S385" s="161"/>
      <c r="W385" s="161"/>
      <c r="X385" s="161"/>
      <c r="Y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L385" s="161"/>
      <c r="AN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BA385" s="161"/>
      <c r="BC385" s="161"/>
    </row>
    <row r="386">
      <c r="B386" s="161"/>
      <c r="C386" s="161"/>
      <c r="D386" s="161"/>
      <c r="F386" s="161"/>
      <c r="G386" s="161"/>
      <c r="H386" s="161"/>
      <c r="I386" s="161"/>
      <c r="J386" s="161"/>
      <c r="M386" s="161"/>
      <c r="N386" s="161"/>
      <c r="R386" s="161"/>
      <c r="S386" s="161"/>
      <c r="W386" s="161"/>
      <c r="X386" s="161"/>
      <c r="Y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L386" s="161"/>
      <c r="AN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BA386" s="161"/>
      <c r="BC386" s="161"/>
    </row>
    <row r="387">
      <c r="B387" s="161"/>
      <c r="C387" s="161"/>
      <c r="D387" s="161"/>
      <c r="F387" s="161"/>
      <c r="G387" s="161"/>
      <c r="H387" s="161"/>
      <c r="I387" s="161"/>
      <c r="J387" s="161"/>
      <c r="M387" s="161"/>
      <c r="N387" s="161"/>
      <c r="R387" s="161"/>
      <c r="S387" s="161"/>
      <c r="W387" s="161"/>
      <c r="X387" s="161"/>
      <c r="Y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L387" s="161"/>
      <c r="AN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BA387" s="161"/>
      <c r="BC387" s="161"/>
    </row>
    <row r="388">
      <c r="B388" s="161"/>
      <c r="C388" s="161"/>
      <c r="D388" s="161"/>
      <c r="F388" s="161"/>
      <c r="G388" s="161"/>
      <c r="H388" s="161"/>
      <c r="I388" s="161"/>
      <c r="J388" s="161"/>
      <c r="M388" s="161"/>
      <c r="N388" s="161"/>
      <c r="R388" s="161"/>
      <c r="S388" s="161"/>
      <c r="W388" s="161"/>
      <c r="X388" s="161"/>
      <c r="Y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L388" s="161"/>
      <c r="AN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BA388" s="161"/>
      <c r="BC388" s="161"/>
    </row>
    <row r="389">
      <c r="B389" s="161"/>
      <c r="C389" s="161"/>
      <c r="D389" s="161"/>
      <c r="F389" s="161"/>
      <c r="G389" s="161"/>
      <c r="H389" s="161"/>
      <c r="I389" s="161"/>
      <c r="J389" s="161"/>
      <c r="M389" s="161"/>
      <c r="N389" s="161"/>
      <c r="R389" s="161"/>
      <c r="S389" s="161"/>
      <c r="W389" s="161"/>
      <c r="X389" s="161"/>
      <c r="Y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L389" s="161"/>
      <c r="AN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BA389" s="161"/>
      <c r="BC389" s="161"/>
    </row>
    <row r="390">
      <c r="B390" s="161"/>
      <c r="C390" s="161"/>
      <c r="D390" s="161"/>
      <c r="F390" s="161"/>
      <c r="G390" s="161"/>
      <c r="H390" s="161"/>
      <c r="I390" s="161"/>
      <c r="J390" s="161"/>
      <c r="M390" s="161"/>
      <c r="N390" s="161"/>
      <c r="R390" s="161"/>
      <c r="S390" s="161"/>
      <c r="W390" s="161"/>
      <c r="X390" s="161"/>
      <c r="Y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L390" s="161"/>
      <c r="AN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BA390" s="161"/>
      <c r="BC390" s="161"/>
    </row>
    <row r="391">
      <c r="B391" s="161"/>
      <c r="C391" s="161"/>
      <c r="D391" s="161"/>
      <c r="F391" s="161"/>
      <c r="G391" s="161"/>
      <c r="H391" s="161"/>
      <c r="I391" s="161"/>
      <c r="J391" s="161"/>
      <c r="M391" s="161"/>
      <c r="N391" s="161"/>
      <c r="R391" s="161"/>
      <c r="S391" s="161"/>
      <c r="W391" s="161"/>
      <c r="X391" s="161"/>
      <c r="Y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L391" s="161"/>
      <c r="AN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BA391" s="161"/>
      <c r="BC391" s="161"/>
    </row>
    <row r="392">
      <c r="B392" s="161"/>
      <c r="C392" s="161"/>
      <c r="D392" s="161"/>
      <c r="F392" s="161"/>
      <c r="G392" s="161"/>
      <c r="H392" s="161"/>
      <c r="I392" s="161"/>
      <c r="J392" s="161"/>
      <c r="M392" s="161"/>
      <c r="N392" s="161"/>
      <c r="R392" s="161"/>
      <c r="S392" s="161"/>
      <c r="W392" s="161"/>
      <c r="X392" s="161"/>
      <c r="Y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L392" s="161"/>
      <c r="AN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BA392" s="161"/>
      <c r="BC392" s="161"/>
    </row>
    <row r="393">
      <c r="B393" s="161"/>
      <c r="C393" s="161"/>
      <c r="D393" s="161"/>
      <c r="F393" s="161"/>
      <c r="G393" s="161"/>
      <c r="H393" s="161"/>
      <c r="I393" s="161"/>
      <c r="J393" s="161"/>
      <c r="M393" s="161"/>
      <c r="N393" s="161"/>
      <c r="R393" s="161"/>
      <c r="S393" s="161"/>
      <c r="W393" s="161"/>
      <c r="X393" s="161"/>
      <c r="Y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L393" s="161"/>
      <c r="AN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BA393" s="161"/>
      <c r="BC393" s="161"/>
    </row>
    <row r="394">
      <c r="B394" s="161"/>
      <c r="C394" s="161"/>
      <c r="D394" s="161"/>
      <c r="F394" s="161"/>
      <c r="G394" s="161"/>
      <c r="H394" s="161"/>
      <c r="I394" s="161"/>
      <c r="J394" s="161"/>
      <c r="M394" s="161"/>
      <c r="N394" s="161"/>
      <c r="R394" s="161"/>
      <c r="S394" s="161"/>
      <c r="W394" s="161"/>
      <c r="X394" s="161"/>
      <c r="Y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L394" s="161"/>
      <c r="AN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BA394" s="161"/>
      <c r="BC394" s="161"/>
    </row>
    <row r="395">
      <c r="B395" s="161"/>
      <c r="C395" s="161"/>
      <c r="D395" s="161"/>
      <c r="F395" s="161"/>
      <c r="G395" s="161"/>
      <c r="H395" s="161"/>
      <c r="I395" s="161"/>
      <c r="J395" s="161"/>
      <c r="M395" s="161"/>
      <c r="N395" s="161"/>
      <c r="R395" s="161"/>
      <c r="S395" s="161"/>
      <c r="W395" s="161"/>
      <c r="X395" s="161"/>
      <c r="Y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L395" s="161"/>
      <c r="AN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BA395" s="161"/>
      <c r="BC395" s="161"/>
    </row>
    <row r="396">
      <c r="B396" s="161"/>
      <c r="C396" s="161"/>
      <c r="D396" s="161"/>
      <c r="F396" s="161"/>
      <c r="G396" s="161"/>
      <c r="H396" s="161"/>
      <c r="I396" s="161"/>
      <c r="J396" s="161"/>
      <c r="M396" s="161"/>
      <c r="N396" s="161"/>
      <c r="R396" s="161"/>
      <c r="S396" s="161"/>
      <c r="W396" s="161"/>
      <c r="X396" s="161"/>
      <c r="Y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L396" s="161"/>
      <c r="AN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BA396" s="161"/>
      <c r="BC396" s="161"/>
    </row>
    <row r="397">
      <c r="B397" s="161"/>
      <c r="C397" s="161"/>
      <c r="D397" s="161"/>
      <c r="F397" s="161"/>
      <c r="G397" s="161"/>
      <c r="H397" s="161"/>
      <c r="I397" s="161"/>
      <c r="J397" s="161"/>
      <c r="M397" s="161"/>
      <c r="N397" s="161"/>
      <c r="R397" s="161"/>
      <c r="S397" s="161"/>
      <c r="W397" s="161"/>
      <c r="X397" s="161"/>
      <c r="Y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L397" s="161"/>
      <c r="AN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BA397" s="161"/>
      <c r="BC397" s="161"/>
    </row>
    <row r="398">
      <c r="B398" s="161"/>
      <c r="C398" s="161"/>
      <c r="D398" s="161"/>
      <c r="F398" s="161"/>
      <c r="G398" s="161"/>
      <c r="H398" s="161"/>
      <c r="I398" s="161"/>
      <c r="J398" s="161"/>
      <c r="M398" s="161"/>
      <c r="N398" s="161"/>
      <c r="R398" s="161"/>
      <c r="S398" s="161"/>
      <c r="W398" s="161"/>
      <c r="X398" s="161"/>
      <c r="Y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L398" s="161"/>
      <c r="AN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BA398" s="161"/>
      <c r="BC398" s="161"/>
    </row>
    <row r="399">
      <c r="B399" s="161"/>
      <c r="C399" s="161"/>
      <c r="D399" s="161"/>
      <c r="F399" s="161"/>
      <c r="G399" s="161"/>
      <c r="H399" s="161"/>
      <c r="I399" s="161"/>
      <c r="J399" s="161"/>
      <c r="M399" s="161"/>
      <c r="N399" s="161"/>
      <c r="R399" s="161"/>
      <c r="S399" s="161"/>
      <c r="W399" s="161"/>
      <c r="X399" s="161"/>
      <c r="Y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L399" s="161"/>
      <c r="AN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BA399" s="161"/>
      <c r="BC399" s="161"/>
    </row>
    <row r="400">
      <c r="B400" s="161"/>
      <c r="C400" s="161"/>
      <c r="D400" s="161"/>
      <c r="F400" s="161"/>
      <c r="G400" s="161"/>
      <c r="H400" s="161"/>
      <c r="I400" s="161"/>
      <c r="J400" s="161"/>
      <c r="M400" s="161"/>
      <c r="N400" s="161"/>
      <c r="R400" s="161"/>
      <c r="S400" s="161"/>
      <c r="W400" s="161"/>
      <c r="X400" s="161"/>
      <c r="Y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L400" s="161"/>
      <c r="AN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BA400" s="161"/>
      <c r="BC400" s="161"/>
    </row>
    <row r="401">
      <c r="B401" s="161"/>
      <c r="C401" s="161"/>
      <c r="D401" s="161"/>
      <c r="F401" s="161"/>
      <c r="G401" s="161"/>
      <c r="H401" s="161"/>
      <c r="I401" s="161"/>
      <c r="J401" s="161"/>
      <c r="M401" s="161"/>
      <c r="N401" s="161"/>
      <c r="R401" s="161"/>
      <c r="S401" s="161"/>
      <c r="W401" s="161"/>
      <c r="X401" s="161"/>
      <c r="Y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L401" s="161"/>
      <c r="AN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BA401" s="161"/>
      <c r="BC401" s="161"/>
    </row>
    <row r="402">
      <c r="B402" s="161"/>
      <c r="C402" s="161"/>
      <c r="D402" s="161"/>
      <c r="F402" s="161"/>
      <c r="G402" s="161"/>
      <c r="H402" s="161"/>
      <c r="I402" s="161"/>
      <c r="J402" s="161"/>
      <c r="M402" s="161"/>
      <c r="N402" s="161"/>
      <c r="R402" s="161"/>
      <c r="S402" s="161"/>
      <c r="W402" s="161"/>
      <c r="X402" s="161"/>
      <c r="Y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L402" s="161"/>
      <c r="AN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BA402" s="161"/>
      <c r="BC402" s="161"/>
    </row>
    <row r="403">
      <c r="B403" s="161"/>
      <c r="C403" s="161"/>
      <c r="D403" s="161"/>
      <c r="F403" s="161"/>
      <c r="G403" s="161"/>
      <c r="H403" s="161"/>
      <c r="I403" s="161"/>
      <c r="J403" s="161"/>
      <c r="M403" s="161"/>
      <c r="N403" s="161"/>
      <c r="R403" s="161"/>
      <c r="S403" s="161"/>
      <c r="W403" s="161"/>
      <c r="X403" s="161"/>
      <c r="Y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L403" s="161"/>
      <c r="AN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BA403" s="161"/>
      <c r="BC403" s="161"/>
    </row>
    <row r="404">
      <c r="B404" s="161"/>
      <c r="C404" s="161"/>
      <c r="D404" s="161"/>
      <c r="F404" s="161"/>
      <c r="G404" s="161"/>
      <c r="H404" s="161"/>
      <c r="I404" s="161"/>
      <c r="J404" s="161"/>
      <c r="M404" s="161"/>
      <c r="N404" s="161"/>
      <c r="R404" s="161"/>
      <c r="S404" s="161"/>
      <c r="W404" s="161"/>
      <c r="X404" s="161"/>
      <c r="Y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L404" s="161"/>
      <c r="AN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BA404" s="161"/>
      <c r="BC404" s="161"/>
    </row>
    <row r="405">
      <c r="B405" s="161"/>
      <c r="C405" s="161"/>
      <c r="D405" s="161"/>
      <c r="F405" s="161"/>
      <c r="G405" s="161"/>
      <c r="H405" s="161"/>
      <c r="I405" s="161"/>
      <c r="J405" s="161"/>
      <c r="M405" s="161"/>
      <c r="N405" s="161"/>
      <c r="R405" s="161"/>
      <c r="S405" s="161"/>
      <c r="W405" s="161"/>
      <c r="X405" s="161"/>
      <c r="Y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L405" s="161"/>
      <c r="AN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BA405" s="161"/>
      <c r="BC405" s="161"/>
    </row>
    <row r="406">
      <c r="B406" s="161"/>
      <c r="C406" s="161"/>
      <c r="D406" s="161"/>
      <c r="F406" s="161"/>
      <c r="G406" s="161"/>
      <c r="H406" s="161"/>
      <c r="I406" s="161"/>
      <c r="J406" s="161"/>
      <c r="M406" s="161"/>
      <c r="N406" s="161"/>
      <c r="R406" s="161"/>
      <c r="S406" s="161"/>
      <c r="W406" s="161"/>
      <c r="X406" s="161"/>
      <c r="Y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L406" s="161"/>
      <c r="AN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BA406" s="161"/>
      <c r="BC406" s="161"/>
    </row>
    <row r="407">
      <c r="B407" s="161"/>
      <c r="C407" s="161"/>
      <c r="D407" s="161"/>
      <c r="F407" s="161"/>
      <c r="G407" s="161"/>
      <c r="H407" s="161"/>
      <c r="I407" s="161"/>
      <c r="J407" s="161"/>
      <c r="M407" s="161"/>
      <c r="N407" s="161"/>
      <c r="R407" s="161"/>
      <c r="S407" s="161"/>
      <c r="W407" s="161"/>
      <c r="X407" s="161"/>
      <c r="Y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L407" s="161"/>
      <c r="AN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BA407" s="161"/>
      <c r="BC407" s="161"/>
    </row>
    <row r="408">
      <c r="B408" s="161"/>
      <c r="C408" s="161"/>
      <c r="D408" s="161"/>
      <c r="F408" s="161"/>
      <c r="G408" s="161"/>
      <c r="H408" s="161"/>
      <c r="I408" s="161"/>
      <c r="J408" s="161"/>
      <c r="M408" s="161"/>
      <c r="N408" s="161"/>
      <c r="R408" s="161"/>
      <c r="S408" s="161"/>
      <c r="W408" s="161"/>
      <c r="X408" s="161"/>
      <c r="Y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L408" s="161"/>
      <c r="AN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BA408" s="161"/>
      <c r="BC408" s="161"/>
    </row>
    <row r="409">
      <c r="B409" s="161"/>
      <c r="C409" s="161"/>
      <c r="D409" s="161"/>
      <c r="F409" s="161"/>
      <c r="G409" s="161"/>
      <c r="H409" s="161"/>
      <c r="I409" s="161"/>
      <c r="J409" s="161"/>
      <c r="M409" s="161"/>
      <c r="N409" s="161"/>
      <c r="R409" s="161"/>
      <c r="S409" s="161"/>
      <c r="W409" s="161"/>
      <c r="X409" s="161"/>
      <c r="Y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L409" s="161"/>
      <c r="AN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BA409" s="161"/>
      <c r="BC409" s="161"/>
    </row>
    <row r="410">
      <c r="B410" s="161"/>
      <c r="C410" s="161"/>
      <c r="D410" s="161"/>
      <c r="F410" s="161"/>
      <c r="G410" s="161"/>
      <c r="H410" s="161"/>
      <c r="I410" s="161"/>
      <c r="J410" s="161"/>
      <c r="M410" s="161"/>
      <c r="N410" s="161"/>
      <c r="R410" s="161"/>
      <c r="S410" s="161"/>
      <c r="W410" s="161"/>
      <c r="X410" s="161"/>
      <c r="Y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L410" s="161"/>
      <c r="AN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BA410" s="161"/>
      <c r="BC410" s="161"/>
    </row>
    <row r="411">
      <c r="B411" s="161"/>
      <c r="C411" s="161"/>
      <c r="D411" s="161"/>
      <c r="F411" s="161"/>
      <c r="G411" s="161"/>
      <c r="H411" s="161"/>
      <c r="I411" s="161"/>
      <c r="J411" s="161"/>
      <c r="M411" s="161"/>
      <c r="N411" s="161"/>
      <c r="R411" s="161"/>
      <c r="S411" s="161"/>
      <c r="W411" s="161"/>
      <c r="X411" s="161"/>
      <c r="Y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L411" s="161"/>
      <c r="AN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BA411" s="161"/>
      <c r="BC411" s="161"/>
    </row>
    <row r="412">
      <c r="B412" s="161"/>
      <c r="C412" s="161"/>
      <c r="D412" s="161"/>
      <c r="F412" s="161"/>
      <c r="G412" s="161"/>
      <c r="H412" s="161"/>
      <c r="I412" s="161"/>
      <c r="J412" s="161"/>
      <c r="M412" s="161"/>
      <c r="N412" s="161"/>
      <c r="R412" s="161"/>
      <c r="S412" s="161"/>
      <c r="W412" s="161"/>
      <c r="X412" s="161"/>
      <c r="Y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L412" s="161"/>
      <c r="AN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BA412" s="161"/>
      <c r="BC412" s="161"/>
    </row>
    <row r="413">
      <c r="B413" s="161"/>
      <c r="C413" s="161"/>
      <c r="D413" s="161"/>
      <c r="F413" s="161"/>
      <c r="G413" s="161"/>
      <c r="H413" s="161"/>
      <c r="I413" s="161"/>
      <c r="J413" s="161"/>
      <c r="M413" s="161"/>
      <c r="N413" s="161"/>
      <c r="R413" s="161"/>
      <c r="S413" s="161"/>
      <c r="W413" s="161"/>
      <c r="X413" s="161"/>
      <c r="Y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L413" s="161"/>
      <c r="AN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BA413" s="161"/>
      <c r="BC413" s="161"/>
    </row>
    <row r="414">
      <c r="B414" s="161"/>
      <c r="C414" s="161"/>
      <c r="D414" s="161"/>
      <c r="F414" s="161"/>
      <c r="G414" s="161"/>
      <c r="H414" s="161"/>
      <c r="I414" s="161"/>
      <c r="J414" s="161"/>
      <c r="M414" s="161"/>
      <c r="N414" s="161"/>
      <c r="R414" s="161"/>
      <c r="S414" s="161"/>
      <c r="W414" s="161"/>
      <c r="X414" s="161"/>
      <c r="Y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L414" s="161"/>
      <c r="AN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BA414" s="161"/>
      <c r="BC414" s="161"/>
    </row>
    <row r="415">
      <c r="B415" s="161"/>
      <c r="C415" s="161"/>
      <c r="D415" s="161"/>
      <c r="F415" s="161"/>
      <c r="G415" s="161"/>
      <c r="H415" s="161"/>
      <c r="I415" s="161"/>
      <c r="J415" s="161"/>
      <c r="M415" s="161"/>
      <c r="N415" s="161"/>
      <c r="R415" s="161"/>
      <c r="S415" s="161"/>
      <c r="W415" s="161"/>
      <c r="X415" s="161"/>
      <c r="Y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L415" s="161"/>
      <c r="AN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BA415" s="161"/>
      <c r="BC415" s="161"/>
    </row>
    <row r="416">
      <c r="B416" s="161"/>
      <c r="C416" s="161"/>
      <c r="D416" s="161"/>
      <c r="F416" s="161"/>
      <c r="G416" s="161"/>
      <c r="H416" s="161"/>
      <c r="I416" s="161"/>
      <c r="J416" s="161"/>
      <c r="M416" s="161"/>
      <c r="N416" s="161"/>
      <c r="R416" s="161"/>
      <c r="S416" s="161"/>
      <c r="W416" s="161"/>
      <c r="X416" s="161"/>
      <c r="Y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L416" s="161"/>
      <c r="AN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BA416" s="161"/>
      <c r="BC416" s="161"/>
    </row>
    <row r="417">
      <c r="B417" s="161"/>
      <c r="C417" s="161"/>
      <c r="D417" s="161"/>
      <c r="F417" s="161"/>
      <c r="G417" s="161"/>
      <c r="H417" s="161"/>
      <c r="I417" s="161"/>
      <c r="J417" s="161"/>
      <c r="M417" s="161"/>
      <c r="N417" s="161"/>
      <c r="R417" s="161"/>
      <c r="S417" s="161"/>
      <c r="W417" s="161"/>
      <c r="X417" s="161"/>
      <c r="Y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L417" s="161"/>
      <c r="AN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BA417" s="161"/>
      <c r="BC417" s="161"/>
    </row>
    <row r="418">
      <c r="B418" s="161"/>
      <c r="C418" s="161"/>
      <c r="D418" s="161"/>
      <c r="F418" s="161"/>
      <c r="G418" s="161"/>
      <c r="H418" s="161"/>
      <c r="I418" s="161"/>
      <c r="J418" s="161"/>
      <c r="M418" s="161"/>
      <c r="N418" s="161"/>
      <c r="R418" s="161"/>
      <c r="S418" s="161"/>
      <c r="W418" s="161"/>
      <c r="X418" s="161"/>
      <c r="Y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L418" s="161"/>
      <c r="AN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BA418" s="161"/>
      <c r="BC418" s="161"/>
    </row>
    <row r="419">
      <c r="B419" s="161"/>
      <c r="C419" s="161"/>
      <c r="D419" s="161"/>
      <c r="F419" s="161"/>
      <c r="G419" s="161"/>
      <c r="H419" s="161"/>
      <c r="I419" s="161"/>
      <c r="J419" s="161"/>
      <c r="M419" s="161"/>
      <c r="N419" s="161"/>
      <c r="R419" s="161"/>
      <c r="S419" s="161"/>
      <c r="W419" s="161"/>
      <c r="X419" s="161"/>
      <c r="Y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L419" s="161"/>
      <c r="AN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BA419" s="161"/>
      <c r="BC419" s="161"/>
    </row>
    <row r="420">
      <c r="B420" s="161"/>
      <c r="C420" s="161"/>
      <c r="D420" s="161"/>
      <c r="F420" s="161"/>
      <c r="G420" s="161"/>
      <c r="H420" s="161"/>
      <c r="I420" s="161"/>
      <c r="J420" s="161"/>
      <c r="M420" s="161"/>
      <c r="N420" s="161"/>
      <c r="R420" s="161"/>
      <c r="S420" s="161"/>
      <c r="W420" s="161"/>
      <c r="X420" s="161"/>
      <c r="Y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L420" s="161"/>
      <c r="AN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BA420" s="161"/>
      <c r="BC420" s="161"/>
    </row>
    <row r="421">
      <c r="B421" s="161"/>
      <c r="C421" s="161"/>
      <c r="D421" s="161"/>
      <c r="F421" s="161"/>
      <c r="G421" s="161"/>
      <c r="H421" s="161"/>
      <c r="I421" s="161"/>
      <c r="J421" s="161"/>
      <c r="M421" s="161"/>
      <c r="N421" s="161"/>
      <c r="R421" s="161"/>
      <c r="S421" s="161"/>
      <c r="W421" s="161"/>
      <c r="X421" s="161"/>
      <c r="Y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L421" s="161"/>
      <c r="AN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BA421" s="161"/>
      <c r="BC421" s="161"/>
    </row>
    <row r="422">
      <c r="B422" s="161"/>
      <c r="C422" s="161"/>
      <c r="D422" s="161"/>
      <c r="F422" s="161"/>
      <c r="G422" s="161"/>
      <c r="H422" s="161"/>
      <c r="I422" s="161"/>
      <c r="J422" s="161"/>
      <c r="M422" s="161"/>
      <c r="N422" s="161"/>
      <c r="R422" s="161"/>
      <c r="S422" s="161"/>
      <c r="W422" s="161"/>
      <c r="X422" s="161"/>
      <c r="Y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L422" s="161"/>
      <c r="AN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BA422" s="161"/>
      <c r="BC422" s="161"/>
    </row>
    <row r="423">
      <c r="B423" s="161"/>
      <c r="C423" s="161"/>
      <c r="D423" s="161"/>
      <c r="F423" s="161"/>
      <c r="G423" s="161"/>
      <c r="H423" s="161"/>
      <c r="I423" s="161"/>
      <c r="J423" s="161"/>
      <c r="M423" s="161"/>
      <c r="N423" s="161"/>
      <c r="R423" s="161"/>
      <c r="S423" s="161"/>
      <c r="W423" s="161"/>
      <c r="X423" s="161"/>
      <c r="Y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L423" s="161"/>
      <c r="AN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BA423" s="161"/>
      <c r="BC423" s="161"/>
    </row>
    <row r="424">
      <c r="B424" s="161"/>
      <c r="C424" s="161"/>
      <c r="D424" s="161"/>
      <c r="F424" s="161"/>
      <c r="G424" s="161"/>
      <c r="H424" s="161"/>
      <c r="I424" s="161"/>
      <c r="J424" s="161"/>
      <c r="M424" s="161"/>
      <c r="N424" s="161"/>
      <c r="R424" s="161"/>
      <c r="S424" s="161"/>
      <c r="W424" s="161"/>
      <c r="X424" s="161"/>
      <c r="Y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L424" s="161"/>
      <c r="AN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BA424" s="161"/>
      <c r="BC424" s="161"/>
    </row>
    <row r="425">
      <c r="B425" s="161"/>
      <c r="C425" s="161"/>
      <c r="D425" s="161"/>
      <c r="F425" s="161"/>
      <c r="G425" s="161"/>
      <c r="H425" s="161"/>
      <c r="I425" s="161"/>
      <c r="J425" s="161"/>
      <c r="M425" s="161"/>
      <c r="N425" s="161"/>
      <c r="R425" s="161"/>
      <c r="S425" s="161"/>
      <c r="W425" s="161"/>
      <c r="X425" s="161"/>
      <c r="Y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L425" s="161"/>
      <c r="AN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BA425" s="161"/>
      <c r="BC425" s="161"/>
    </row>
    <row r="426">
      <c r="B426" s="161"/>
      <c r="C426" s="161"/>
      <c r="D426" s="161"/>
      <c r="F426" s="161"/>
      <c r="G426" s="161"/>
      <c r="H426" s="161"/>
      <c r="I426" s="161"/>
      <c r="J426" s="161"/>
      <c r="M426" s="161"/>
      <c r="N426" s="161"/>
      <c r="R426" s="161"/>
      <c r="S426" s="161"/>
      <c r="W426" s="161"/>
      <c r="X426" s="161"/>
      <c r="Y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L426" s="161"/>
      <c r="AN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BA426" s="161"/>
      <c r="BC426" s="161"/>
    </row>
    <row r="427">
      <c r="B427" s="161"/>
      <c r="C427" s="161"/>
      <c r="D427" s="161"/>
      <c r="F427" s="161"/>
      <c r="G427" s="161"/>
      <c r="H427" s="161"/>
      <c r="I427" s="161"/>
      <c r="J427" s="161"/>
      <c r="M427" s="161"/>
      <c r="N427" s="161"/>
      <c r="R427" s="161"/>
      <c r="S427" s="161"/>
      <c r="W427" s="161"/>
      <c r="X427" s="161"/>
      <c r="Y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L427" s="161"/>
      <c r="AN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BA427" s="161"/>
      <c r="BC427" s="161"/>
    </row>
    <row r="428">
      <c r="B428" s="161"/>
      <c r="C428" s="161"/>
      <c r="D428" s="161"/>
      <c r="F428" s="161"/>
      <c r="G428" s="161"/>
      <c r="H428" s="161"/>
      <c r="I428" s="161"/>
      <c r="J428" s="161"/>
      <c r="M428" s="161"/>
      <c r="N428" s="161"/>
      <c r="R428" s="161"/>
      <c r="S428" s="161"/>
      <c r="W428" s="161"/>
      <c r="X428" s="161"/>
      <c r="Y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L428" s="161"/>
      <c r="AN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BA428" s="161"/>
      <c r="BC428" s="161"/>
    </row>
    <row r="429">
      <c r="B429" s="161"/>
      <c r="C429" s="161"/>
      <c r="D429" s="161"/>
      <c r="F429" s="161"/>
      <c r="G429" s="161"/>
      <c r="H429" s="161"/>
      <c r="I429" s="161"/>
      <c r="J429" s="161"/>
      <c r="M429" s="161"/>
      <c r="N429" s="161"/>
      <c r="R429" s="161"/>
      <c r="S429" s="161"/>
      <c r="W429" s="161"/>
      <c r="X429" s="161"/>
      <c r="Y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L429" s="161"/>
      <c r="AN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BA429" s="161"/>
      <c r="BC429" s="161"/>
    </row>
    <row r="430">
      <c r="B430" s="161"/>
      <c r="C430" s="161"/>
      <c r="D430" s="161"/>
      <c r="F430" s="161"/>
      <c r="G430" s="161"/>
      <c r="H430" s="161"/>
      <c r="I430" s="161"/>
      <c r="J430" s="161"/>
      <c r="M430" s="161"/>
      <c r="N430" s="161"/>
      <c r="R430" s="161"/>
      <c r="S430" s="161"/>
      <c r="W430" s="161"/>
      <c r="X430" s="161"/>
      <c r="Y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L430" s="161"/>
      <c r="AN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BA430" s="161"/>
      <c r="BC430" s="161"/>
    </row>
    <row r="431">
      <c r="B431" s="161"/>
      <c r="C431" s="161"/>
      <c r="D431" s="161"/>
      <c r="F431" s="161"/>
      <c r="G431" s="161"/>
      <c r="H431" s="161"/>
      <c r="I431" s="161"/>
      <c r="J431" s="161"/>
      <c r="M431" s="161"/>
      <c r="N431" s="161"/>
      <c r="R431" s="161"/>
      <c r="S431" s="161"/>
      <c r="W431" s="161"/>
      <c r="X431" s="161"/>
      <c r="Y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L431" s="161"/>
      <c r="AN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BA431" s="161"/>
      <c r="BC431" s="161"/>
    </row>
    <row r="432">
      <c r="B432" s="161"/>
      <c r="C432" s="161"/>
      <c r="D432" s="161"/>
      <c r="F432" s="161"/>
      <c r="G432" s="161"/>
      <c r="H432" s="161"/>
      <c r="I432" s="161"/>
      <c r="J432" s="161"/>
      <c r="M432" s="161"/>
      <c r="N432" s="161"/>
      <c r="R432" s="161"/>
      <c r="S432" s="161"/>
      <c r="W432" s="161"/>
      <c r="X432" s="161"/>
      <c r="Y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L432" s="161"/>
      <c r="AN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BA432" s="161"/>
      <c r="BC432" s="161"/>
    </row>
    <row r="433">
      <c r="B433" s="161"/>
      <c r="C433" s="161"/>
      <c r="D433" s="161"/>
      <c r="F433" s="161"/>
      <c r="G433" s="161"/>
      <c r="H433" s="161"/>
      <c r="I433" s="161"/>
      <c r="J433" s="161"/>
      <c r="M433" s="161"/>
      <c r="N433" s="161"/>
      <c r="R433" s="161"/>
      <c r="S433" s="161"/>
      <c r="W433" s="161"/>
      <c r="X433" s="161"/>
      <c r="Y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L433" s="161"/>
      <c r="AN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BA433" s="161"/>
      <c r="BC433" s="161"/>
    </row>
    <row r="434">
      <c r="B434" s="161"/>
      <c r="C434" s="161"/>
      <c r="D434" s="161"/>
      <c r="F434" s="161"/>
      <c r="G434" s="161"/>
      <c r="H434" s="161"/>
      <c r="I434" s="161"/>
      <c r="J434" s="161"/>
      <c r="M434" s="161"/>
      <c r="N434" s="161"/>
      <c r="R434" s="161"/>
      <c r="S434" s="161"/>
      <c r="W434" s="161"/>
      <c r="X434" s="161"/>
      <c r="Y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L434" s="161"/>
      <c r="AN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BA434" s="161"/>
      <c r="BC434" s="161"/>
    </row>
    <row r="435">
      <c r="B435" s="161"/>
      <c r="C435" s="161"/>
      <c r="D435" s="161"/>
      <c r="F435" s="161"/>
      <c r="G435" s="161"/>
      <c r="H435" s="161"/>
      <c r="I435" s="161"/>
      <c r="J435" s="161"/>
      <c r="M435" s="161"/>
      <c r="N435" s="161"/>
      <c r="R435" s="161"/>
      <c r="S435" s="161"/>
      <c r="W435" s="161"/>
      <c r="X435" s="161"/>
      <c r="Y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L435" s="161"/>
      <c r="AN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BA435" s="161"/>
      <c r="BC435" s="161"/>
    </row>
    <row r="436">
      <c r="B436" s="161"/>
      <c r="C436" s="161"/>
      <c r="D436" s="161"/>
      <c r="F436" s="161"/>
      <c r="G436" s="161"/>
      <c r="H436" s="161"/>
      <c r="I436" s="161"/>
      <c r="J436" s="161"/>
      <c r="M436" s="161"/>
      <c r="N436" s="161"/>
      <c r="R436" s="161"/>
      <c r="S436" s="161"/>
      <c r="W436" s="161"/>
      <c r="X436" s="161"/>
      <c r="Y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L436" s="161"/>
      <c r="AN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BA436" s="161"/>
      <c r="BC436" s="161"/>
    </row>
    <row r="437">
      <c r="B437" s="161"/>
      <c r="C437" s="161"/>
      <c r="D437" s="161"/>
      <c r="F437" s="161"/>
      <c r="G437" s="161"/>
      <c r="H437" s="161"/>
      <c r="I437" s="161"/>
      <c r="J437" s="161"/>
      <c r="M437" s="161"/>
      <c r="N437" s="161"/>
      <c r="R437" s="161"/>
      <c r="S437" s="161"/>
      <c r="W437" s="161"/>
      <c r="X437" s="161"/>
      <c r="Y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L437" s="161"/>
      <c r="AN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BA437" s="161"/>
      <c r="BC437" s="161"/>
    </row>
    <row r="438">
      <c r="B438" s="161"/>
      <c r="C438" s="161"/>
      <c r="D438" s="161"/>
      <c r="F438" s="161"/>
      <c r="G438" s="161"/>
      <c r="H438" s="161"/>
      <c r="I438" s="161"/>
      <c r="J438" s="161"/>
      <c r="M438" s="161"/>
      <c r="N438" s="161"/>
      <c r="R438" s="161"/>
      <c r="S438" s="161"/>
      <c r="W438" s="161"/>
      <c r="X438" s="161"/>
      <c r="Y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L438" s="161"/>
      <c r="AN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BA438" s="161"/>
      <c r="BC438" s="161"/>
    </row>
    <row r="439">
      <c r="B439" s="161"/>
      <c r="C439" s="161"/>
      <c r="D439" s="161"/>
      <c r="F439" s="161"/>
      <c r="G439" s="161"/>
      <c r="H439" s="161"/>
      <c r="I439" s="161"/>
      <c r="J439" s="161"/>
      <c r="M439" s="161"/>
      <c r="N439" s="161"/>
      <c r="R439" s="161"/>
      <c r="S439" s="161"/>
      <c r="W439" s="161"/>
      <c r="X439" s="161"/>
      <c r="Y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L439" s="161"/>
      <c r="AN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BA439" s="161"/>
      <c r="BC439" s="161"/>
    </row>
    <row r="440">
      <c r="B440" s="161"/>
      <c r="C440" s="161"/>
      <c r="D440" s="161"/>
      <c r="F440" s="161"/>
      <c r="G440" s="161"/>
      <c r="H440" s="161"/>
      <c r="I440" s="161"/>
      <c r="J440" s="161"/>
      <c r="M440" s="161"/>
      <c r="N440" s="161"/>
      <c r="R440" s="161"/>
      <c r="S440" s="161"/>
      <c r="W440" s="161"/>
      <c r="X440" s="161"/>
      <c r="Y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L440" s="161"/>
      <c r="AN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BA440" s="161"/>
      <c r="BC440" s="161"/>
    </row>
    <row r="441">
      <c r="B441" s="161"/>
      <c r="C441" s="161"/>
      <c r="D441" s="161"/>
      <c r="F441" s="161"/>
      <c r="G441" s="161"/>
      <c r="H441" s="161"/>
      <c r="I441" s="161"/>
      <c r="J441" s="161"/>
      <c r="M441" s="161"/>
      <c r="N441" s="161"/>
      <c r="R441" s="161"/>
      <c r="S441" s="161"/>
      <c r="W441" s="161"/>
      <c r="X441" s="161"/>
      <c r="Y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L441" s="161"/>
      <c r="AN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BA441" s="161"/>
      <c r="BC441" s="161"/>
    </row>
    <row r="442">
      <c r="B442" s="161"/>
      <c r="C442" s="161"/>
      <c r="D442" s="161"/>
      <c r="F442" s="161"/>
      <c r="G442" s="161"/>
      <c r="H442" s="161"/>
      <c r="I442" s="161"/>
      <c r="J442" s="161"/>
      <c r="M442" s="161"/>
      <c r="N442" s="161"/>
      <c r="R442" s="161"/>
      <c r="S442" s="161"/>
      <c r="W442" s="161"/>
      <c r="X442" s="161"/>
      <c r="Y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L442" s="161"/>
      <c r="AN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BA442" s="161"/>
      <c r="BC442" s="161"/>
    </row>
    <row r="443">
      <c r="B443" s="161"/>
      <c r="C443" s="161"/>
      <c r="D443" s="161"/>
      <c r="F443" s="161"/>
      <c r="G443" s="161"/>
      <c r="H443" s="161"/>
      <c r="I443" s="161"/>
      <c r="J443" s="161"/>
      <c r="M443" s="161"/>
      <c r="N443" s="161"/>
      <c r="R443" s="161"/>
      <c r="S443" s="161"/>
      <c r="W443" s="161"/>
      <c r="X443" s="161"/>
      <c r="Y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L443" s="161"/>
      <c r="AN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BA443" s="161"/>
      <c r="BC443" s="161"/>
    </row>
    <row r="444">
      <c r="B444" s="161"/>
      <c r="C444" s="161"/>
      <c r="D444" s="161"/>
      <c r="F444" s="161"/>
      <c r="G444" s="161"/>
      <c r="H444" s="161"/>
      <c r="I444" s="161"/>
      <c r="J444" s="161"/>
      <c r="M444" s="161"/>
      <c r="N444" s="161"/>
      <c r="R444" s="161"/>
      <c r="S444" s="161"/>
      <c r="W444" s="161"/>
      <c r="X444" s="161"/>
      <c r="Y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L444" s="161"/>
      <c r="AN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BA444" s="161"/>
      <c r="BC444" s="161"/>
    </row>
    <row r="445">
      <c r="B445" s="161"/>
      <c r="C445" s="161"/>
      <c r="D445" s="161"/>
      <c r="F445" s="161"/>
      <c r="G445" s="161"/>
      <c r="H445" s="161"/>
      <c r="I445" s="161"/>
      <c r="J445" s="161"/>
      <c r="M445" s="161"/>
      <c r="N445" s="161"/>
      <c r="R445" s="161"/>
      <c r="S445" s="161"/>
      <c r="W445" s="161"/>
      <c r="X445" s="161"/>
      <c r="Y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L445" s="161"/>
      <c r="AN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BA445" s="161"/>
      <c r="BC445" s="161"/>
    </row>
    <row r="446">
      <c r="B446" s="161"/>
      <c r="C446" s="161"/>
      <c r="D446" s="161"/>
      <c r="F446" s="161"/>
      <c r="G446" s="161"/>
      <c r="H446" s="161"/>
      <c r="I446" s="161"/>
      <c r="J446" s="161"/>
      <c r="M446" s="161"/>
      <c r="N446" s="161"/>
      <c r="R446" s="161"/>
      <c r="S446" s="161"/>
      <c r="W446" s="161"/>
      <c r="X446" s="161"/>
      <c r="Y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L446" s="161"/>
      <c r="AN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BA446" s="161"/>
      <c r="BC446" s="161"/>
    </row>
    <row r="447">
      <c r="B447" s="161"/>
      <c r="C447" s="161"/>
      <c r="D447" s="161"/>
      <c r="F447" s="161"/>
      <c r="G447" s="161"/>
      <c r="H447" s="161"/>
      <c r="I447" s="161"/>
      <c r="J447" s="161"/>
      <c r="M447" s="161"/>
      <c r="N447" s="161"/>
      <c r="R447" s="161"/>
      <c r="S447" s="161"/>
      <c r="W447" s="161"/>
      <c r="X447" s="161"/>
      <c r="Y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L447" s="161"/>
      <c r="AN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BA447" s="161"/>
      <c r="BC447" s="161"/>
    </row>
    <row r="448">
      <c r="B448" s="161"/>
      <c r="C448" s="161"/>
      <c r="D448" s="161"/>
      <c r="F448" s="161"/>
      <c r="G448" s="161"/>
      <c r="H448" s="161"/>
      <c r="I448" s="161"/>
      <c r="J448" s="161"/>
      <c r="M448" s="161"/>
      <c r="N448" s="161"/>
      <c r="R448" s="161"/>
      <c r="S448" s="161"/>
      <c r="W448" s="161"/>
      <c r="X448" s="161"/>
      <c r="Y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L448" s="161"/>
      <c r="AN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BA448" s="161"/>
      <c r="BC448" s="161"/>
    </row>
    <row r="449">
      <c r="B449" s="161"/>
      <c r="C449" s="161"/>
      <c r="D449" s="161"/>
      <c r="F449" s="161"/>
      <c r="G449" s="161"/>
      <c r="H449" s="161"/>
      <c r="I449" s="161"/>
      <c r="J449" s="161"/>
      <c r="M449" s="161"/>
      <c r="N449" s="161"/>
      <c r="R449" s="161"/>
      <c r="S449" s="161"/>
      <c r="W449" s="161"/>
      <c r="X449" s="161"/>
      <c r="Y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L449" s="161"/>
      <c r="AN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BA449" s="161"/>
      <c r="BC449" s="161"/>
    </row>
    <row r="450">
      <c r="B450" s="161"/>
      <c r="C450" s="161"/>
      <c r="D450" s="161"/>
      <c r="F450" s="161"/>
      <c r="G450" s="161"/>
      <c r="H450" s="161"/>
      <c r="I450" s="161"/>
      <c r="J450" s="161"/>
      <c r="M450" s="161"/>
      <c r="N450" s="161"/>
      <c r="R450" s="161"/>
      <c r="S450" s="161"/>
      <c r="W450" s="161"/>
      <c r="X450" s="161"/>
      <c r="Y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L450" s="161"/>
      <c r="AN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BA450" s="161"/>
      <c r="BC450" s="161"/>
    </row>
    <row r="451">
      <c r="B451" s="161"/>
      <c r="C451" s="161"/>
      <c r="D451" s="161"/>
      <c r="F451" s="161"/>
      <c r="G451" s="161"/>
      <c r="H451" s="161"/>
      <c r="I451" s="161"/>
      <c r="J451" s="161"/>
      <c r="M451" s="161"/>
      <c r="N451" s="161"/>
      <c r="R451" s="161"/>
      <c r="S451" s="161"/>
      <c r="W451" s="161"/>
      <c r="X451" s="161"/>
      <c r="Y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L451" s="161"/>
      <c r="AN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BA451" s="161"/>
      <c r="BC451" s="161"/>
    </row>
    <row r="452">
      <c r="B452" s="161"/>
      <c r="C452" s="161"/>
      <c r="D452" s="161"/>
      <c r="F452" s="161"/>
      <c r="G452" s="161"/>
      <c r="H452" s="161"/>
      <c r="I452" s="161"/>
      <c r="J452" s="161"/>
      <c r="M452" s="161"/>
      <c r="N452" s="161"/>
      <c r="R452" s="161"/>
      <c r="S452" s="161"/>
      <c r="W452" s="161"/>
      <c r="X452" s="161"/>
      <c r="Y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L452" s="161"/>
      <c r="AN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BA452" s="161"/>
      <c r="BC452" s="161"/>
    </row>
    <row r="453">
      <c r="B453" s="161"/>
      <c r="C453" s="161"/>
      <c r="D453" s="161"/>
      <c r="F453" s="161"/>
      <c r="G453" s="161"/>
      <c r="H453" s="161"/>
      <c r="I453" s="161"/>
      <c r="J453" s="161"/>
      <c r="M453" s="161"/>
      <c r="N453" s="161"/>
      <c r="R453" s="161"/>
      <c r="S453" s="161"/>
      <c r="W453" s="161"/>
      <c r="X453" s="161"/>
      <c r="Y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L453" s="161"/>
      <c r="AN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BA453" s="161"/>
      <c r="BC453" s="161"/>
    </row>
    <row r="454">
      <c r="B454" s="161"/>
      <c r="C454" s="161"/>
      <c r="D454" s="161"/>
      <c r="F454" s="161"/>
      <c r="G454" s="161"/>
      <c r="H454" s="161"/>
      <c r="I454" s="161"/>
      <c r="J454" s="161"/>
      <c r="M454" s="161"/>
      <c r="N454" s="161"/>
      <c r="R454" s="161"/>
      <c r="S454" s="161"/>
      <c r="W454" s="161"/>
      <c r="X454" s="161"/>
      <c r="Y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L454" s="161"/>
      <c r="AN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BA454" s="161"/>
      <c r="BC454" s="161"/>
    </row>
    <row r="455">
      <c r="B455" s="161"/>
      <c r="C455" s="161"/>
      <c r="D455" s="161"/>
      <c r="F455" s="161"/>
      <c r="G455" s="161"/>
      <c r="H455" s="161"/>
      <c r="I455" s="161"/>
      <c r="J455" s="161"/>
      <c r="M455" s="161"/>
      <c r="N455" s="161"/>
      <c r="R455" s="161"/>
      <c r="S455" s="161"/>
      <c r="W455" s="161"/>
      <c r="X455" s="161"/>
      <c r="Y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L455" s="161"/>
      <c r="AN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BA455" s="161"/>
      <c r="BC455" s="161"/>
    </row>
    <row r="456">
      <c r="B456" s="161"/>
      <c r="C456" s="161"/>
      <c r="D456" s="161"/>
      <c r="F456" s="161"/>
      <c r="G456" s="161"/>
      <c r="H456" s="161"/>
      <c r="I456" s="161"/>
      <c r="J456" s="161"/>
      <c r="M456" s="161"/>
      <c r="N456" s="161"/>
      <c r="R456" s="161"/>
      <c r="S456" s="161"/>
      <c r="W456" s="161"/>
      <c r="X456" s="161"/>
      <c r="Y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L456" s="161"/>
      <c r="AN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BA456" s="161"/>
      <c r="BC456" s="161"/>
    </row>
    <row r="457">
      <c r="B457" s="161"/>
      <c r="C457" s="161"/>
      <c r="D457" s="161"/>
      <c r="F457" s="161"/>
      <c r="G457" s="161"/>
      <c r="H457" s="161"/>
      <c r="I457" s="161"/>
      <c r="J457" s="161"/>
      <c r="M457" s="161"/>
      <c r="N457" s="161"/>
      <c r="R457" s="161"/>
      <c r="S457" s="161"/>
      <c r="W457" s="161"/>
      <c r="X457" s="161"/>
      <c r="Y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L457" s="161"/>
      <c r="AN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BA457" s="161"/>
      <c r="BC457" s="161"/>
    </row>
    <row r="458">
      <c r="B458" s="161"/>
      <c r="C458" s="161"/>
      <c r="D458" s="161"/>
      <c r="F458" s="161"/>
      <c r="G458" s="161"/>
      <c r="H458" s="161"/>
      <c r="I458" s="161"/>
      <c r="J458" s="161"/>
      <c r="M458" s="161"/>
      <c r="N458" s="161"/>
      <c r="R458" s="161"/>
      <c r="S458" s="161"/>
      <c r="W458" s="161"/>
      <c r="X458" s="161"/>
      <c r="Y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L458" s="161"/>
      <c r="AN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BA458" s="161"/>
      <c r="BC458" s="161"/>
    </row>
    <row r="459">
      <c r="B459" s="161"/>
      <c r="C459" s="161"/>
      <c r="D459" s="161"/>
      <c r="F459" s="161"/>
      <c r="G459" s="161"/>
      <c r="H459" s="161"/>
      <c r="I459" s="161"/>
      <c r="J459" s="161"/>
      <c r="M459" s="161"/>
      <c r="N459" s="161"/>
      <c r="R459" s="161"/>
      <c r="S459" s="161"/>
      <c r="W459" s="161"/>
      <c r="X459" s="161"/>
      <c r="Y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L459" s="161"/>
      <c r="AN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BA459" s="161"/>
      <c r="BC459" s="161"/>
    </row>
    <row r="460">
      <c r="B460" s="161"/>
      <c r="C460" s="161"/>
      <c r="D460" s="161"/>
      <c r="F460" s="161"/>
      <c r="G460" s="161"/>
      <c r="H460" s="161"/>
      <c r="I460" s="161"/>
      <c r="J460" s="161"/>
      <c r="M460" s="161"/>
      <c r="N460" s="161"/>
      <c r="R460" s="161"/>
      <c r="S460" s="161"/>
      <c r="W460" s="161"/>
      <c r="X460" s="161"/>
      <c r="Y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L460" s="161"/>
      <c r="AN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BA460" s="161"/>
      <c r="BC460" s="161"/>
    </row>
    <row r="461">
      <c r="B461" s="161"/>
      <c r="C461" s="161"/>
      <c r="D461" s="161"/>
      <c r="F461" s="161"/>
      <c r="G461" s="161"/>
      <c r="H461" s="161"/>
      <c r="I461" s="161"/>
      <c r="J461" s="161"/>
      <c r="M461" s="161"/>
      <c r="N461" s="161"/>
      <c r="R461" s="161"/>
      <c r="S461" s="161"/>
      <c r="W461" s="161"/>
      <c r="X461" s="161"/>
      <c r="Y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L461" s="161"/>
      <c r="AN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BA461" s="161"/>
      <c r="BC461" s="161"/>
    </row>
    <row r="462">
      <c r="B462" s="161"/>
      <c r="C462" s="161"/>
      <c r="D462" s="161"/>
      <c r="F462" s="161"/>
      <c r="G462" s="161"/>
      <c r="H462" s="161"/>
      <c r="I462" s="161"/>
      <c r="J462" s="161"/>
      <c r="M462" s="161"/>
      <c r="N462" s="161"/>
      <c r="R462" s="161"/>
      <c r="S462" s="161"/>
      <c r="W462" s="161"/>
      <c r="X462" s="161"/>
      <c r="Y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L462" s="161"/>
      <c r="AN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BA462" s="161"/>
      <c r="BC462" s="161"/>
    </row>
    <row r="463">
      <c r="B463" s="161"/>
      <c r="C463" s="161"/>
      <c r="D463" s="161"/>
      <c r="F463" s="161"/>
      <c r="G463" s="161"/>
      <c r="H463" s="161"/>
      <c r="I463" s="161"/>
      <c r="J463" s="161"/>
      <c r="M463" s="161"/>
      <c r="N463" s="161"/>
      <c r="R463" s="161"/>
      <c r="S463" s="161"/>
      <c r="W463" s="161"/>
      <c r="X463" s="161"/>
      <c r="Y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L463" s="161"/>
      <c r="AN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BA463" s="161"/>
      <c r="BC463" s="161"/>
    </row>
    <row r="464">
      <c r="B464" s="161"/>
      <c r="C464" s="161"/>
      <c r="D464" s="161"/>
      <c r="F464" s="161"/>
      <c r="G464" s="161"/>
      <c r="H464" s="161"/>
      <c r="I464" s="161"/>
      <c r="J464" s="161"/>
      <c r="M464" s="161"/>
      <c r="N464" s="161"/>
      <c r="R464" s="161"/>
      <c r="S464" s="161"/>
      <c r="W464" s="161"/>
      <c r="X464" s="161"/>
      <c r="Y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L464" s="161"/>
      <c r="AN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BA464" s="161"/>
      <c r="BC464" s="161"/>
    </row>
    <row r="465">
      <c r="B465" s="161"/>
      <c r="C465" s="161"/>
      <c r="D465" s="161"/>
      <c r="F465" s="161"/>
      <c r="G465" s="161"/>
      <c r="H465" s="161"/>
      <c r="I465" s="161"/>
      <c r="J465" s="161"/>
      <c r="M465" s="161"/>
      <c r="N465" s="161"/>
      <c r="R465" s="161"/>
      <c r="S465" s="161"/>
      <c r="W465" s="161"/>
      <c r="X465" s="161"/>
      <c r="Y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L465" s="161"/>
      <c r="AN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BA465" s="161"/>
      <c r="BC465" s="161"/>
    </row>
    <row r="466">
      <c r="B466" s="161"/>
      <c r="C466" s="161"/>
      <c r="D466" s="161"/>
      <c r="F466" s="161"/>
      <c r="G466" s="161"/>
      <c r="H466" s="161"/>
      <c r="I466" s="161"/>
      <c r="J466" s="161"/>
      <c r="M466" s="161"/>
      <c r="N466" s="161"/>
      <c r="R466" s="161"/>
      <c r="S466" s="161"/>
      <c r="W466" s="161"/>
      <c r="X466" s="161"/>
      <c r="Y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L466" s="161"/>
      <c r="AN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BA466" s="161"/>
      <c r="BC466" s="161"/>
    </row>
    <row r="467">
      <c r="B467" s="161"/>
      <c r="C467" s="161"/>
      <c r="D467" s="161"/>
      <c r="F467" s="161"/>
      <c r="G467" s="161"/>
      <c r="H467" s="161"/>
      <c r="I467" s="161"/>
      <c r="J467" s="161"/>
      <c r="M467" s="161"/>
      <c r="N467" s="161"/>
      <c r="R467" s="161"/>
      <c r="S467" s="161"/>
      <c r="W467" s="161"/>
      <c r="X467" s="161"/>
      <c r="Y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L467" s="161"/>
      <c r="AN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BA467" s="161"/>
      <c r="BC467" s="161"/>
    </row>
    <row r="468">
      <c r="B468" s="161"/>
      <c r="C468" s="161"/>
      <c r="D468" s="161"/>
      <c r="F468" s="161"/>
      <c r="G468" s="161"/>
      <c r="H468" s="161"/>
      <c r="I468" s="161"/>
      <c r="J468" s="161"/>
      <c r="M468" s="161"/>
      <c r="N468" s="161"/>
      <c r="R468" s="161"/>
      <c r="S468" s="161"/>
      <c r="W468" s="161"/>
      <c r="X468" s="161"/>
      <c r="Y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L468" s="161"/>
      <c r="AN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BA468" s="161"/>
      <c r="BC468" s="161"/>
    </row>
    <row r="469">
      <c r="B469" s="161"/>
      <c r="C469" s="161"/>
      <c r="D469" s="161"/>
      <c r="F469" s="161"/>
      <c r="G469" s="161"/>
      <c r="H469" s="161"/>
      <c r="I469" s="161"/>
      <c r="J469" s="161"/>
      <c r="M469" s="161"/>
      <c r="N469" s="161"/>
      <c r="R469" s="161"/>
      <c r="S469" s="161"/>
      <c r="W469" s="161"/>
      <c r="X469" s="161"/>
      <c r="Y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L469" s="161"/>
      <c r="AN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BA469" s="161"/>
      <c r="BC469" s="161"/>
    </row>
    <row r="470">
      <c r="B470" s="161"/>
      <c r="C470" s="161"/>
      <c r="D470" s="161"/>
      <c r="F470" s="161"/>
      <c r="G470" s="161"/>
      <c r="H470" s="161"/>
      <c r="I470" s="161"/>
      <c r="J470" s="161"/>
      <c r="M470" s="161"/>
      <c r="N470" s="161"/>
      <c r="R470" s="161"/>
      <c r="S470" s="161"/>
      <c r="W470" s="161"/>
      <c r="X470" s="161"/>
      <c r="Y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L470" s="161"/>
      <c r="AN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BA470" s="161"/>
      <c r="BC470" s="161"/>
    </row>
    <row r="471">
      <c r="B471" s="161"/>
      <c r="C471" s="161"/>
      <c r="D471" s="161"/>
      <c r="F471" s="161"/>
      <c r="G471" s="161"/>
      <c r="H471" s="161"/>
      <c r="I471" s="161"/>
      <c r="J471" s="161"/>
      <c r="M471" s="161"/>
      <c r="N471" s="161"/>
      <c r="R471" s="161"/>
      <c r="S471" s="161"/>
      <c r="W471" s="161"/>
      <c r="X471" s="161"/>
      <c r="Y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L471" s="161"/>
      <c r="AN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BA471" s="161"/>
      <c r="BC471" s="161"/>
    </row>
    <row r="472">
      <c r="B472" s="161"/>
      <c r="C472" s="161"/>
      <c r="D472" s="161"/>
      <c r="F472" s="161"/>
      <c r="G472" s="161"/>
      <c r="H472" s="161"/>
      <c r="I472" s="161"/>
      <c r="J472" s="161"/>
      <c r="M472" s="161"/>
      <c r="N472" s="161"/>
      <c r="R472" s="161"/>
      <c r="S472" s="161"/>
      <c r="W472" s="161"/>
      <c r="X472" s="161"/>
      <c r="Y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L472" s="161"/>
      <c r="AN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BA472" s="161"/>
      <c r="BC472" s="161"/>
    </row>
    <row r="473">
      <c r="B473" s="161"/>
      <c r="C473" s="161"/>
      <c r="D473" s="161"/>
      <c r="F473" s="161"/>
      <c r="G473" s="161"/>
      <c r="H473" s="161"/>
      <c r="I473" s="161"/>
      <c r="J473" s="161"/>
      <c r="M473" s="161"/>
      <c r="N473" s="161"/>
      <c r="R473" s="161"/>
      <c r="S473" s="161"/>
      <c r="W473" s="161"/>
      <c r="X473" s="161"/>
      <c r="Y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L473" s="161"/>
      <c r="AN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BA473" s="161"/>
      <c r="BC473" s="161"/>
    </row>
    <row r="474">
      <c r="B474" s="161"/>
      <c r="C474" s="161"/>
      <c r="D474" s="161"/>
      <c r="F474" s="161"/>
      <c r="G474" s="161"/>
      <c r="H474" s="161"/>
      <c r="I474" s="161"/>
      <c r="J474" s="161"/>
      <c r="M474" s="161"/>
      <c r="N474" s="161"/>
      <c r="R474" s="161"/>
      <c r="S474" s="161"/>
      <c r="W474" s="161"/>
      <c r="X474" s="161"/>
      <c r="Y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L474" s="161"/>
      <c r="AN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BA474" s="161"/>
      <c r="BC474" s="161"/>
    </row>
    <row r="475">
      <c r="B475" s="161"/>
      <c r="C475" s="161"/>
      <c r="D475" s="161"/>
      <c r="F475" s="161"/>
      <c r="G475" s="161"/>
      <c r="H475" s="161"/>
      <c r="I475" s="161"/>
      <c r="J475" s="161"/>
      <c r="M475" s="161"/>
      <c r="N475" s="161"/>
      <c r="R475" s="161"/>
      <c r="S475" s="161"/>
      <c r="W475" s="161"/>
      <c r="X475" s="161"/>
      <c r="Y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L475" s="161"/>
      <c r="AN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BA475" s="161"/>
      <c r="BC475" s="161"/>
    </row>
    <row r="476">
      <c r="B476" s="161"/>
      <c r="C476" s="161"/>
      <c r="D476" s="161"/>
      <c r="F476" s="161"/>
      <c r="G476" s="161"/>
      <c r="H476" s="161"/>
      <c r="I476" s="161"/>
      <c r="J476" s="161"/>
      <c r="M476" s="161"/>
      <c r="N476" s="161"/>
      <c r="R476" s="161"/>
      <c r="S476" s="161"/>
      <c r="W476" s="161"/>
      <c r="X476" s="161"/>
      <c r="Y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L476" s="161"/>
      <c r="AN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BA476" s="161"/>
      <c r="BC476" s="161"/>
    </row>
    <row r="477">
      <c r="B477" s="161"/>
      <c r="C477" s="161"/>
      <c r="D477" s="161"/>
      <c r="F477" s="161"/>
      <c r="G477" s="161"/>
      <c r="H477" s="161"/>
      <c r="I477" s="161"/>
      <c r="J477" s="161"/>
      <c r="M477" s="161"/>
      <c r="N477" s="161"/>
      <c r="R477" s="161"/>
      <c r="S477" s="161"/>
      <c r="W477" s="161"/>
      <c r="X477" s="161"/>
      <c r="Y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L477" s="161"/>
      <c r="AN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BA477" s="161"/>
      <c r="BC477" s="161"/>
    </row>
    <row r="478">
      <c r="B478" s="161"/>
      <c r="C478" s="161"/>
      <c r="D478" s="161"/>
      <c r="F478" s="161"/>
      <c r="G478" s="161"/>
      <c r="H478" s="161"/>
      <c r="I478" s="161"/>
      <c r="J478" s="161"/>
      <c r="M478" s="161"/>
      <c r="N478" s="161"/>
      <c r="R478" s="161"/>
      <c r="S478" s="161"/>
      <c r="W478" s="161"/>
      <c r="X478" s="161"/>
      <c r="Y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L478" s="161"/>
      <c r="AN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BA478" s="161"/>
      <c r="BC478" s="161"/>
    </row>
    <row r="479">
      <c r="B479" s="161"/>
      <c r="C479" s="161"/>
      <c r="D479" s="161"/>
      <c r="F479" s="161"/>
      <c r="G479" s="161"/>
      <c r="H479" s="161"/>
      <c r="I479" s="161"/>
      <c r="J479" s="161"/>
      <c r="M479" s="161"/>
      <c r="N479" s="161"/>
      <c r="R479" s="161"/>
      <c r="S479" s="161"/>
      <c r="W479" s="161"/>
      <c r="X479" s="161"/>
      <c r="Y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L479" s="161"/>
      <c r="AN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BA479" s="161"/>
      <c r="BC479" s="161"/>
    </row>
    <row r="480">
      <c r="B480" s="161"/>
      <c r="C480" s="161"/>
      <c r="D480" s="161"/>
      <c r="F480" s="161"/>
      <c r="G480" s="161"/>
      <c r="H480" s="161"/>
      <c r="I480" s="161"/>
      <c r="J480" s="161"/>
      <c r="M480" s="161"/>
      <c r="N480" s="161"/>
      <c r="R480" s="161"/>
      <c r="S480" s="161"/>
      <c r="W480" s="161"/>
      <c r="X480" s="161"/>
      <c r="Y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L480" s="161"/>
      <c r="AN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BA480" s="161"/>
      <c r="BC480" s="161"/>
    </row>
    <row r="481">
      <c r="B481" s="161"/>
      <c r="C481" s="161"/>
      <c r="D481" s="161"/>
      <c r="F481" s="161"/>
      <c r="G481" s="161"/>
      <c r="H481" s="161"/>
      <c r="I481" s="161"/>
      <c r="J481" s="161"/>
      <c r="M481" s="161"/>
      <c r="N481" s="161"/>
      <c r="R481" s="161"/>
      <c r="S481" s="161"/>
      <c r="W481" s="161"/>
      <c r="X481" s="161"/>
      <c r="Y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L481" s="161"/>
      <c r="AN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BA481" s="161"/>
      <c r="BC481" s="161"/>
    </row>
    <row r="482">
      <c r="B482" s="161"/>
      <c r="C482" s="161"/>
      <c r="D482" s="161"/>
      <c r="F482" s="161"/>
      <c r="G482" s="161"/>
      <c r="H482" s="161"/>
      <c r="I482" s="161"/>
      <c r="J482" s="161"/>
      <c r="M482" s="161"/>
      <c r="N482" s="161"/>
      <c r="R482" s="161"/>
      <c r="S482" s="161"/>
      <c r="W482" s="161"/>
      <c r="X482" s="161"/>
      <c r="Y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L482" s="161"/>
      <c r="AN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BA482" s="161"/>
      <c r="BC482" s="161"/>
    </row>
    <row r="483">
      <c r="B483" s="161"/>
      <c r="C483" s="161"/>
      <c r="D483" s="161"/>
      <c r="F483" s="161"/>
      <c r="G483" s="161"/>
      <c r="H483" s="161"/>
      <c r="I483" s="161"/>
      <c r="J483" s="161"/>
      <c r="M483" s="161"/>
      <c r="N483" s="161"/>
      <c r="R483" s="161"/>
      <c r="S483" s="161"/>
      <c r="W483" s="161"/>
      <c r="X483" s="161"/>
      <c r="Y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L483" s="161"/>
      <c r="AN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BA483" s="161"/>
      <c r="BC483" s="161"/>
    </row>
    <row r="484">
      <c r="B484" s="161"/>
      <c r="C484" s="161"/>
      <c r="D484" s="161"/>
      <c r="F484" s="161"/>
      <c r="G484" s="161"/>
      <c r="H484" s="161"/>
      <c r="I484" s="161"/>
      <c r="J484" s="161"/>
      <c r="M484" s="161"/>
      <c r="N484" s="161"/>
      <c r="R484" s="161"/>
      <c r="S484" s="161"/>
      <c r="W484" s="161"/>
      <c r="X484" s="161"/>
      <c r="Y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L484" s="161"/>
      <c r="AN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BA484" s="161"/>
      <c r="BC484" s="161"/>
    </row>
    <row r="485">
      <c r="B485" s="161"/>
      <c r="C485" s="161"/>
      <c r="D485" s="161"/>
      <c r="F485" s="161"/>
      <c r="G485" s="161"/>
      <c r="H485" s="161"/>
      <c r="I485" s="161"/>
      <c r="J485" s="161"/>
      <c r="M485" s="161"/>
      <c r="N485" s="161"/>
      <c r="R485" s="161"/>
      <c r="S485" s="161"/>
      <c r="W485" s="161"/>
      <c r="X485" s="161"/>
      <c r="Y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L485" s="161"/>
      <c r="AN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BA485" s="161"/>
      <c r="BC485" s="161"/>
    </row>
    <row r="486">
      <c r="B486" s="161"/>
      <c r="C486" s="161"/>
      <c r="D486" s="161"/>
      <c r="F486" s="161"/>
      <c r="G486" s="161"/>
      <c r="H486" s="161"/>
      <c r="I486" s="161"/>
      <c r="J486" s="161"/>
      <c r="M486" s="161"/>
      <c r="N486" s="161"/>
      <c r="R486" s="161"/>
      <c r="S486" s="161"/>
      <c r="W486" s="161"/>
      <c r="X486" s="161"/>
      <c r="Y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L486" s="161"/>
      <c r="AN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BA486" s="161"/>
      <c r="BC486" s="161"/>
    </row>
    <row r="487">
      <c r="B487" s="161"/>
      <c r="C487" s="161"/>
      <c r="D487" s="161"/>
      <c r="F487" s="161"/>
      <c r="G487" s="161"/>
      <c r="H487" s="161"/>
      <c r="I487" s="161"/>
      <c r="J487" s="161"/>
      <c r="M487" s="161"/>
      <c r="N487" s="161"/>
      <c r="R487" s="161"/>
      <c r="S487" s="161"/>
      <c r="W487" s="161"/>
      <c r="X487" s="161"/>
      <c r="Y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L487" s="161"/>
      <c r="AN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BA487" s="161"/>
      <c r="BC487" s="161"/>
    </row>
    <row r="488">
      <c r="B488" s="161"/>
      <c r="C488" s="161"/>
      <c r="D488" s="161"/>
      <c r="F488" s="161"/>
      <c r="G488" s="161"/>
      <c r="H488" s="161"/>
      <c r="I488" s="161"/>
      <c r="J488" s="161"/>
      <c r="M488" s="161"/>
      <c r="N488" s="161"/>
      <c r="R488" s="161"/>
      <c r="S488" s="161"/>
      <c r="W488" s="161"/>
      <c r="X488" s="161"/>
      <c r="Y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L488" s="161"/>
      <c r="AN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BA488" s="161"/>
      <c r="BC488" s="161"/>
    </row>
    <row r="489">
      <c r="B489" s="161"/>
      <c r="C489" s="161"/>
      <c r="D489" s="161"/>
      <c r="F489" s="161"/>
      <c r="G489" s="161"/>
      <c r="H489" s="161"/>
      <c r="I489" s="161"/>
      <c r="J489" s="161"/>
      <c r="M489" s="161"/>
      <c r="N489" s="161"/>
      <c r="R489" s="161"/>
      <c r="S489" s="161"/>
      <c r="W489" s="161"/>
      <c r="X489" s="161"/>
      <c r="Y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L489" s="161"/>
      <c r="AN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BA489" s="161"/>
      <c r="BC489" s="161"/>
    </row>
    <row r="490">
      <c r="B490" s="161"/>
      <c r="C490" s="161"/>
      <c r="D490" s="161"/>
      <c r="F490" s="161"/>
      <c r="G490" s="161"/>
      <c r="H490" s="161"/>
      <c r="I490" s="161"/>
      <c r="J490" s="161"/>
      <c r="M490" s="161"/>
      <c r="N490" s="161"/>
      <c r="R490" s="161"/>
      <c r="S490" s="161"/>
      <c r="W490" s="161"/>
      <c r="X490" s="161"/>
      <c r="Y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L490" s="161"/>
      <c r="AN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BA490" s="161"/>
      <c r="BC490" s="161"/>
    </row>
    <row r="491">
      <c r="B491" s="161"/>
      <c r="C491" s="161"/>
      <c r="D491" s="161"/>
      <c r="F491" s="161"/>
      <c r="G491" s="161"/>
      <c r="H491" s="161"/>
      <c r="I491" s="161"/>
      <c r="J491" s="161"/>
      <c r="M491" s="161"/>
      <c r="N491" s="161"/>
      <c r="R491" s="161"/>
      <c r="S491" s="161"/>
      <c r="W491" s="161"/>
      <c r="X491" s="161"/>
      <c r="Y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L491" s="161"/>
      <c r="AN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BA491" s="161"/>
      <c r="BC491" s="161"/>
    </row>
    <row r="492">
      <c r="B492" s="161"/>
      <c r="C492" s="161"/>
      <c r="D492" s="161"/>
      <c r="F492" s="161"/>
      <c r="G492" s="161"/>
      <c r="H492" s="161"/>
      <c r="I492" s="161"/>
      <c r="J492" s="161"/>
      <c r="M492" s="161"/>
      <c r="N492" s="161"/>
      <c r="R492" s="161"/>
      <c r="S492" s="161"/>
      <c r="W492" s="161"/>
      <c r="X492" s="161"/>
      <c r="Y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L492" s="161"/>
      <c r="AN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BA492" s="161"/>
      <c r="BC492" s="161"/>
    </row>
    <row r="493">
      <c r="B493" s="161"/>
      <c r="C493" s="161"/>
      <c r="D493" s="161"/>
      <c r="F493" s="161"/>
      <c r="G493" s="161"/>
      <c r="H493" s="161"/>
      <c r="I493" s="161"/>
      <c r="J493" s="161"/>
      <c r="M493" s="161"/>
      <c r="N493" s="161"/>
      <c r="R493" s="161"/>
      <c r="S493" s="161"/>
      <c r="W493" s="161"/>
      <c r="X493" s="161"/>
      <c r="Y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L493" s="161"/>
      <c r="AN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BA493" s="161"/>
      <c r="BC493" s="161"/>
    </row>
    <row r="494">
      <c r="B494" s="161"/>
      <c r="C494" s="161"/>
      <c r="D494" s="161"/>
      <c r="F494" s="161"/>
      <c r="G494" s="161"/>
      <c r="H494" s="161"/>
      <c r="I494" s="161"/>
      <c r="J494" s="161"/>
      <c r="M494" s="161"/>
      <c r="N494" s="161"/>
      <c r="R494" s="161"/>
      <c r="S494" s="161"/>
      <c r="W494" s="161"/>
      <c r="X494" s="161"/>
      <c r="Y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L494" s="161"/>
      <c r="AN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BA494" s="161"/>
      <c r="BC494" s="161"/>
    </row>
    <row r="495">
      <c r="B495" s="161"/>
      <c r="C495" s="161"/>
      <c r="D495" s="161"/>
      <c r="F495" s="161"/>
      <c r="G495" s="161"/>
      <c r="H495" s="161"/>
      <c r="I495" s="161"/>
      <c r="J495" s="161"/>
      <c r="M495" s="161"/>
      <c r="N495" s="161"/>
      <c r="R495" s="161"/>
      <c r="S495" s="161"/>
      <c r="W495" s="161"/>
      <c r="X495" s="161"/>
      <c r="Y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L495" s="161"/>
      <c r="AN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BA495" s="161"/>
      <c r="BC495" s="161"/>
    </row>
    <row r="496">
      <c r="B496" s="161"/>
      <c r="C496" s="161"/>
      <c r="D496" s="161"/>
      <c r="F496" s="161"/>
      <c r="G496" s="161"/>
      <c r="H496" s="161"/>
      <c r="I496" s="161"/>
      <c r="J496" s="161"/>
      <c r="M496" s="161"/>
      <c r="N496" s="161"/>
      <c r="R496" s="161"/>
      <c r="S496" s="161"/>
      <c r="W496" s="161"/>
      <c r="X496" s="161"/>
      <c r="Y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L496" s="161"/>
      <c r="AN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BA496" s="161"/>
      <c r="BC496" s="161"/>
    </row>
    <row r="497">
      <c r="B497" s="161"/>
      <c r="C497" s="161"/>
      <c r="D497" s="161"/>
      <c r="F497" s="161"/>
      <c r="G497" s="161"/>
      <c r="H497" s="161"/>
      <c r="I497" s="161"/>
      <c r="J497" s="161"/>
      <c r="M497" s="161"/>
      <c r="N497" s="161"/>
      <c r="R497" s="161"/>
      <c r="S497" s="161"/>
      <c r="W497" s="161"/>
      <c r="X497" s="161"/>
      <c r="Y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L497" s="161"/>
      <c r="AN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BA497" s="161"/>
      <c r="BC497" s="161"/>
    </row>
    <row r="498">
      <c r="B498" s="161"/>
      <c r="C498" s="161"/>
      <c r="D498" s="161"/>
      <c r="F498" s="161"/>
      <c r="G498" s="161"/>
      <c r="H498" s="161"/>
      <c r="I498" s="161"/>
      <c r="J498" s="161"/>
      <c r="M498" s="161"/>
      <c r="N498" s="161"/>
      <c r="R498" s="161"/>
      <c r="S498" s="161"/>
      <c r="W498" s="161"/>
      <c r="X498" s="161"/>
      <c r="Y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L498" s="161"/>
      <c r="AN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BA498" s="161"/>
      <c r="BC498" s="161"/>
    </row>
    <row r="499">
      <c r="B499" s="161"/>
      <c r="C499" s="161"/>
      <c r="D499" s="161"/>
      <c r="F499" s="161"/>
      <c r="G499" s="161"/>
      <c r="H499" s="161"/>
      <c r="I499" s="161"/>
      <c r="J499" s="161"/>
      <c r="M499" s="161"/>
      <c r="N499" s="161"/>
      <c r="R499" s="161"/>
      <c r="S499" s="161"/>
      <c r="W499" s="161"/>
      <c r="X499" s="161"/>
      <c r="Y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L499" s="161"/>
      <c r="AN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BA499" s="161"/>
      <c r="BC499" s="161"/>
    </row>
    <row r="500">
      <c r="B500" s="161"/>
      <c r="C500" s="161"/>
      <c r="D500" s="161"/>
      <c r="F500" s="161"/>
      <c r="G500" s="161"/>
      <c r="H500" s="161"/>
      <c r="I500" s="161"/>
      <c r="J500" s="161"/>
      <c r="M500" s="161"/>
      <c r="N500" s="161"/>
      <c r="R500" s="161"/>
      <c r="S500" s="161"/>
      <c r="W500" s="161"/>
      <c r="X500" s="161"/>
      <c r="Y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L500" s="161"/>
      <c r="AN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BA500" s="161"/>
      <c r="BC500" s="161"/>
    </row>
    <row r="501">
      <c r="B501" s="161"/>
      <c r="C501" s="161"/>
      <c r="D501" s="161"/>
      <c r="F501" s="161"/>
      <c r="G501" s="161"/>
      <c r="H501" s="161"/>
      <c r="I501" s="161"/>
      <c r="J501" s="161"/>
      <c r="M501" s="161"/>
      <c r="N501" s="161"/>
      <c r="R501" s="161"/>
      <c r="S501" s="161"/>
      <c r="W501" s="161"/>
      <c r="X501" s="161"/>
      <c r="Y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L501" s="161"/>
      <c r="AN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BA501" s="161"/>
      <c r="BC501" s="161"/>
    </row>
    <row r="502">
      <c r="B502" s="161"/>
      <c r="C502" s="161"/>
      <c r="D502" s="161"/>
      <c r="F502" s="161"/>
      <c r="G502" s="161"/>
      <c r="H502" s="161"/>
      <c r="I502" s="161"/>
      <c r="J502" s="161"/>
      <c r="M502" s="161"/>
      <c r="N502" s="161"/>
      <c r="R502" s="161"/>
      <c r="S502" s="161"/>
      <c r="W502" s="161"/>
      <c r="X502" s="161"/>
      <c r="Y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L502" s="161"/>
      <c r="AN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BA502" s="161"/>
      <c r="BC502" s="161"/>
    </row>
    <row r="503">
      <c r="B503" s="161"/>
      <c r="C503" s="161"/>
      <c r="D503" s="161"/>
      <c r="F503" s="161"/>
      <c r="G503" s="161"/>
      <c r="H503" s="161"/>
      <c r="I503" s="161"/>
      <c r="J503" s="161"/>
      <c r="M503" s="161"/>
      <c r="N503" s="161"/>
      <c r="R503" s="161"/>
      <c r="S503" s="161"/>
      <c r="W503" s="161"/>
      <c r="X503" s="161"/>
      <c r="Y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L503" s="161"/>
      <c r="AN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BA503" s="161"/>
      <c r="BC503" s="161"/>
    </row>
    <row r="504">
      <c r="B504" s="161"/>
      <c r="C504" s="161"/>
      <c r="D504" s="161"/>
      <c r="F504" s="161"/>
      <c r="G504" s="161"/>
      <c r="H504" s="161"/>
      <c r="I504" s="161"/>
      <c r="J504" s="161"/>
      <c r="M504" s="161"/>
      <c r="N504" s="161"/>
      <c r="R504" s="161"/>
      <c r="S504" s="161"/>
      <c r="W504" s="161"/>
      <c r="X504" s="161"/>
      <c r="Y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L504" s="161"/>
      <c r="AN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BA504" s="161"/>
      <c r="BC504" s="161"/>
    </row>
    <row r="505">
      <c r="B505" s="161"/>
      <c r="C505" s="161"/>
      <c r="D505" s="161"/>
      <c r="F505" s="161"/>
      <c r="G505" s="161"/>
      <c r="H505" s="161"/>
      <c r="I505" s="161"/>
      <c r="J505" s="161"/>
      <c r="M505" s="161"/>
      <c r="N505" s="161"/>
      <c r="R505" s="161"/>
      <c r="S505" s="161"/>
      <c r="W505" s="161"/>
      <c r="X505" s="161"/>
      <c r="Y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L505" s="161"/>
      <c r="AN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BA505" s="161"/>
      <c r="BC505" s="161"/>
    </row>
    <row r="506">
      <c r="B506" s="161"/>
      <c r="C506" s="161"/>
      <c r="D506" s="161"/>
      <c r="F506" s="161"/>
      <c r="G506" s="161"/>
      <c r="H506" s="161"/>
      <c r="I506" s="161"/>
      <c r="J506" s="161"/>
      <c r="M506" s="161"/>
      <c r="N506" s="161"/>
      <c r="R506" s="161"/>
      <c r="S506" s="161"/>
      <c r="W506" s="161"/>
      <c r="X506" s="161"/>
      <c r="Y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L506" s="161"/>
      <c r="AN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BA506" s="161"/>
      <c r="BC506" s="161"/>
    </row>
    <row r="507">
      <c r="B507" s="161"/>
      <c r="C507" s="161"/>
      <c r="D507" s="161"/>
      <c r="F507" s="161"/>
      <c r="G507" s="161"/>
      <c r="H507" s="161"/>
      <c r="I507" s="161"/>
      <c r="J507" s="161"/>
      <c r="M507" s="161"/>
      <c r="N507" s="161"/>
      <c r="R507" s="161"/>
      <c r="S507" s="161"/>
      <c r="W507" s="161"/>
      <c r="X507" s="161"/>
      <c r="Y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L507" s="161"/>
      <c r="AN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BA507" s="161"/>
      <c r="BC507" s="161"/>
    </row>
    <row r="508">
      <c r="B508" s="161"/>
      <c r="C508" s="161"/>
      <c r="D508" s="161"/>
      <c r="F508" s="161"/>
      <c r="G508" s="161"/>
      <c r="H508" s="161"/>
      <c r="I508" s="161"/>
      <c r="J508" s="161"/>
      <c r="M508" s="161"/>
      <c r="N508" s="161"/>
      <c r="R508" s="161"/>
      <c r="S508" s="161"/>
      <c r="W508" s="161"/>
      <c r="X508" s="161"/>
      <c r="Y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L508" s="161"/>
      <c r="AN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BA508" s="161"/>
      <c r="BC508" s="161"/>
    </row>
    <row r="509">
      <c r="B509" s="161"/>
      <c r="C509" s="161"/>
      <c r="D509" s="161"/>
      <c r="F509" s="161"/>
      <c r="G509" s="161"/>
      <c r="H509" s="161"/>
      <c r="I509" s="161"/>
      <c r="J509" s="161"/>
      <c r="M509" s="161"/>
      <c r="N509" s="161"/>
      <c r="R509" s="161"/>
      <c r="S509" s="161"/>
      <c r="W509" s="161"/>
      <c r="X509" s="161"/>
      <c r="Y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L509" s="161"/>
      <c r="AN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BA509" s="161"/>
      <c r="BC509" s="161"/>
    </row>
    <row r="510">
      <c r="B510" s="161"/>
      <c r="C510" s="161"/>
      <c r="D510" s="161"/>
      <c r="F510" s="161"/>
      <c r="G510" s="161"/>
      <c r="H510" s="161"/>
      <c r="I510" s="161"/>
      <c r="J510" s="161"/>
      <c r="M510" s="161"/>
      <c r="N510" s="161"/>
      <c r="R510" s="161"/>
      <c r="S510" s="161"/>
      <c r="W510" s="161"/>
      <c r="X510" s="161"/>
      <c r="Y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L510" s="161"/>
      <c r="AN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BA510" s="161"/>
      <c r="BC510" s="161"/>
    </row>
    <row r="511">
      <c r="B511" s="161"/>
      <c r="C511" s="161"/>
      <c r="D511" s="161"/>
      <c r="F511" s="161"/>
      <c r="G511" s="161"/>
      <c r="H511" s="161"/>
      <c r="I511" s="161"/>
      <c r="J511" s="161"/>
      <c r="M511" s="161"/>
      <c r="N511" s="161"/>
      <c r="R511" s="161"/>
      <c r="S511" s="161"/>
      <c r="W511" s="161"/>
      <c r="X511" s="161"/>
      <c r="Y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L511" s="161"/>
      <c r="AN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BA511" s="161"/>
      <c r="BC511" s="161"/>
    </row>
    <row r="512">
      <c r="B512" s="161"/>
      <c r="C512" s="161"/>
      <c r="D512" s="161"/>
      <c r="F512" s="161"/>
      <c r="G512" s="161"/>
      <c r="H512" s="161"/>
      <c r="I512" s="161"/>
      <c r="J512" s="161"/>
      <c r="M512" s="161"/>
      <c r="N512" s="161"/>
      <c r="R512" s="161"/>
      <c r="S512" s="161"/>
      <c r="W512" s="161"/>
      <c r="X512" s="161"/>
      <c r="Y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L512" s="161"/>
      <c r="AN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BA512" s="161"/>
      <c r="BC512" s="161"/>
    </row>
    <row r="513">
      <c r="B513" s="161"/>
      <c r="C513" s="161"/>
      <c r="D513" s="161"/>
      <c r="F513" s="161"/>
      <c r="G513" s="161"/>
      <c r="H513" s="161"/>
      <c r="I513" s="161"/>
      <c r="J513" s="161"/>
      <c r="M513" s="161"/>
      <c r="N513" s="161"/>
      <c r="R513" s="161"/>
      <c r="S513" s="161"/>
      <c r="W513" s="161"/>
      <c r="X513" s="161"/>
      <c r="Y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L513" s="161"/>
      <c r="AN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BA513" s="161"/>
      <c r="BC513" s="161"/>
    </row>
    <row r="514">
      <c r="B514" s="161"/>
      <c r="C514" s="161"/>
      <c r="D514" s="161"/>
      <c r="F514" s="161"/>
      <c r="G514" s="161"/>
      <c r="H514" s="161"/>
      <c r="I514" s="161"/>
      <c r="J514" s="161"/>
      <c r="M514" s="161"/>
      <c r="N514" s="161"/>
      <c r="R514" s="161"/>
      <c r="S514" s="161"/>
      <c r="W514" s="161"/>
      <c r="X514" s="161"/>
      <c r="Y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L514" s="161"/>
      <c r="AN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BA514" s="161"/>
      <c r="BC514" s="161"/>
    </row>
    <row r="515">
      <c r="B515" s="161"/>
      <c r="C515" s="161"/>
      <c r="D515" s="161"/>
      <c r="F515" s="161"/>
      <c r="G515" s="161"/>
      <c r="H515" s="161"/>
      <c r="I515" s="161"/>
      <c r="J515" s="161"/>
      <c r="M515" s="161"/>
      <c r="N515" s="161"/>
      <c r="R515" s="161"/>
      <c r="S515" s="161"/>
      <c r="W515" s="161"/>
      <c r="X515" s="161"/>
      <c r="Y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L515" s="161"/>
      <c r="AN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BA515" s="161"/>
      <c r="BC515" s="161"/>
    </row>
    <row r="516">
      <c r="B516" s="161"/>
      <c r="C516" s="161"/>
      <c r="D516" s="161"/>
      <c r="F516" s="161"/>
      <c r="G516" s="161"/>
      <c r="H516" s="161"/>
      <c r="I516" s="161"/>
      <c r="J516" s="161"/>
      <c r="M516" s="161"/>
      <c r="N516" s="161"/>
      <c r="R516" s="161"/>
      <c r="S516" s="161"/>
      <c r="W516" s="161"/>
      <c r="X516" s="161"/>
      <c r="Y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L516" s="161"/>
      <c r="AN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BA516" s="161"/>
      <c r="BC516" s="161"/>
    </row>
    <row r="517">
      <c r="B517" s="161"/>
      <c r="C517" s="161"/>
      <c r="D517" s="161"/>
      <c r="F517" s="161"/>
      <c r="G517" s="161"/>
      <c r="H517" s="161"/>
      <c r="I517" s="161"/>
      <c r="J517" s="161"/>
      <c r="M517" s="161"/>
      <c r="N517" s="161"/>
      <c r="R517" s="161"/>
      <c r="S517" s="161"/>
      <c r="W517" s="161"/>
      <c r="X517" s="161"/>
      <c r="Y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L517" s="161"/>
      <c r="AN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BA517" s="161"/>
      <c r="BC517" s="161"/>
    </row>
    <row r="518">
      <c r="B518" s="161"/>
      <c r="C518" s="161"/>
      <c r="D518" s="161"/>
      <c r="F518" s="161"/>
      <c r="G518" s="161"/>
      <c r="H518" s="161"/>
      <c r="I518" s="161"/>
      <c r="J518" s="161"/>
      <c r="M518" s="161"/>
      <c r="N518" s="161"/>
      <c r="R518" s="161"/>
      <c r="S518" s="161"/>
      <c r="W518" s="161"/>
      <c r="X518" s="161"/>
      <c r="Y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L518" s="161"/>
      <c r="AN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BA518" s="161"/>
      <c r="BC518" s="161"/>
    </row>
    <row r="519">
      <c r="B519" s="161"/>
      <c r="C519" s="161"/>
      <c r="D519" s="161"/>
      <c r="F519" s="161"/>
      <c r="G519" s="161"/>
      <c r="H519" s="161"/>
      <c r="I519" s="161"/>
      <c r="J519" s="161"/>
      <c r="M519" s="161"/>
      <c r="N519" s="161"/>
      <c r="R519" s="161"/>
      <c r="S519" s="161"/>
      <c r="W519" s="161"/>
      <c r="X519" s="161"/>
      <c r="Y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L519" s="161"/>
      <c r="AN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BA519" s="161"/>
      <c r="BC519" s="161"/>
    </row>
    <row r="520">
      <c r="B520" s="161"/>
      <c r="C520" s="161"/>
      <c r="D520" s="161"/>
      <c r="F520" s="161"/>
      <c r="G520" s="161"/>
      <c r="H520" s="161"/>
      <c r="I520" s="161"/>
      <c r="J520" s="161"/>
      <c r="M520" s="161"/>
      <c r="N520" s="161"/>
      <c r="R520" s="161"/>
      <c r="S520" s="161"/>
      <c r="W520" s="161"/>
      <c r="X520" s="161"/>
      <c r="Y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L520" s="161"/>
      <c r="AN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BA520" s="161"/>
      <c r="BC520" s="161"/>
    </row>
    <row r="521">
      <c r="B521" s="161"/>
      <c r="C521" s="161"/>
      <c r="D521" s="161"/>
      <c r="F521" s="161"/>
      <c r="G521" s="161"/>
      <c r="H521" s="161"/>
      <c r="I521" s="161"/>
      <c r="J521" s="161"/>
      <c r="M521" s="161"/>
      <c r="N521" s="161"/>
      <c r="R521" s="161"/>
      <c r="S521" s="161"/>
      <c r="W521" s="161"/>
      <c r="X521" s="161"/>
      <c r="Y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L521" s="161"/>
      <c r="AN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BA521" s="161"/>
      <c r="BC521" s="161"/>
    </row>
    <row r="522">
      <c r="B522" s="161"/>
      <c r="C522" s="161"/>
      <c r="D522" s="161"/>
      <c r="F522" s="161"/>
      <c r="G522" s="161"/>
      <c r="H522" s="161"/>
      <c r="I522" s="161"/>
      <c r="J522" s="161"/>
      <c r="M522" s="161"/>
      <c r="N522" s="161"/>
      <c r="R522" s="161"/>
      <c r="S522" s="161"/>
      <c r="W522" s="161"/>
      <c r="X522" s="161"/>
      <c r="Y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L522" s="161"/>
      <c r="AN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BA522" s="161"/>
      <c r="BC522" s="161"/>
    </row>
    <row r="523">
      <c r="B523" s="161"/>
      <c r="C523" s="161"/>
      <c r="D523" s="161"/>
      <c r="F523" s="161"/>
      <c r="G523" s="161"/>
      <c r="H523" s="161"/>
      <c r="I523" s="161"/>
      <c r="J523" s="161"/>
      <c r="M523" s="161"/>
      <c r="N523" s="161"/>
      <c r="R523" s="161"/>
      <c r="S523" s="161"/>
      <c r="W523" s="161"/>
      <c r="X523" s="161"/>
      <c r="Y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L523" s="161"/>
      <c r="AN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BA523" s="161"/>
      <c r="BC523" s="161"/>
    </row>
    <row r="524">
      <c r="B524" s="161"/>
      <c r="C524" s="161"/>
      <c r="D524" s="161"/>
      <c r="F524" s="161"/>
      <c r="G524" s="161"/>
      <c r="H524" s="161"/>
      <c r="I524" s="161"/>
      <c r="J524" s="161"/>
      <c r="M524" s="161"/>
      <c r="N524" s="161"/>
      <c r="R524" s="161"/>
      <c r="S524" s="161"/>
      <c r="W524" s="161"/>
      <c r="X524" s="161"/>
      <c r="Y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L524" s="161"/>
      <c r="AN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BA524" s="161"/>
      <c r="BC524" s="161"/>
    </row>
    <row r="525">
      <c r="B525" s="161"/>
      <c r="C525" s="161"/>
      <c r="D525" s="161"/>
      <c r="F525" s="161"/>
      <c r="G525" s="161"/>
      <c r="H525" s="161"/>
      <c r="I525" s="161"/>
      <c r="J525" s="161"/>
      <c r="M525" s="161"/>
      <c r="N525" s="161"/>
      <c r="R525" s="161"/>
      <c r="S525" s="161"/>
      <c r="W525" s="161"/>
      <c r="X525" s="161"/>
      <c r="Y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L525" s="161"/>
      <c r="AN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BA525" s="161"/>
      <c r="BC525" s="161"/>
    </row>
    <row r="526">
      <c r="B526" s="161"/>
      <c r="C526" s="161"/>
      <c r="D526" s="161"/>
      <c r="F526" s="161"/>
      <c r="G526" s="161"/>
      <c r="H526" s="161"/>
      <c r="I526" s="161"/>
      <c r="J526" s="161"/>
      <c r="M526" s="161"/>
      <c r="N526" s="161"/>
      <c r="R526" s="161"/>
      <c r="S526" s="161"/>
      <c r="W526" s="161"/>
      <c r="X526" s="161"/>
      <c r="Y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L526" s="161"/>
      <c r="AN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BA526" s="161"/>
      <c r="BC526" s="161"/>
    </row>
    <row r="527">
      <c r="B527" s="161"/>
      <c r="C527" s="161"/>
      <c r="D527" s="161"/>
      <c r="F527" s="161"/>
      <c r="G527" s="161"/>
      <c r="H527" s="161"/>
      <c r="I527" s="161"/>
      <c r="J527" s="161"/>
      <c r="M527" s="161"/>
      <c r="N527" s="161"/>
      <c r="R527" s="161"/>
      <c r="S527" s="161"/>
      <c r="W527" s="161"/>
      <c r="X527" s="161"/>
      <c r="Y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L527" s="161"/>
      <c r="AN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BA527" s="161"/>
      <c r="BC527" s="161"/>
    </row>
    <row r="528">
      <c r="B528" s="161"/>
      <c r="C528" s="161"/>
      <c r="D528" s="161"/>
      <c r="F528" s="161"/>
      <c r="G528" s="161"/>
      <c r="H528" s="161"/>
      <c r="I528" s="161"/>
      <c r="J528" s="161"/>
      <c r="M528" s="161"/>
      <c r="N528" s="161"/>
      <c r="R528" s="161"/>
      <c r="S528" s="161"/>
      <c r="W528" s="161"/>
      <c r="X528" s="161"/>
      <c r="Y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L528" s="161"/>
      <c r="AN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BA528" s="161"/>
      <c r="BC528" s="161"/>
    </row>
    <row r="529">
      <c r="B529" s="161"/>
      <c r="C529" s="161"/>
      <c r="D529" s="161"/>
      <c r="F529" s="161"/>
      <c r="G529" s="161"/>
      <c r="H529" s="161"/>
      <c r="I529" s="161"/>
      <c r="J529" s="161"/>
      <c r="M529" s="161"/>
      <c r="N529" s="161"/>
      <c r="R529" s="161"/>
      <c r="S529" s="161"/>
      <c r="W529" s="161"/>
      <c r="X529" s="161"/>
      <c r="Y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L529" s="161"/>
      <c r="AN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BA529" s="161"/>
      <c r="BC529" s="161"/>
    </row>
    <row r="530">
      <c r="B530" s="161"/>
      <c r="C530" s="161"/>
      <c r="D530" s="161"/>
      <c r="F530" s="161"/>
      <c r="G530" s="161"/>
      <c r="H530" s="161"/>
      <c r="I530" s="161"/>
      <c r="J530" s="161"/>
      <c r="M530" s="161"/>
      <c r="N530" s="161"/>
      <c r="R530" s="161"/>
      <c r="S530" s="161"/>
      <c r="W530" s="161"/>
      <c r="X530" s="161"/>
      <c r="Y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L530" s="161"/>
      <c r="AN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BA530" s="161"/>
      <c r="BC530" s="161"/>
    </row>
    <row r="531">
      <c r="B531" s="161"/>
      <c r="C531" s="161"/>
      <c r="D531" s="161"/>
      <c r="F531" s="161"/>
      <c r="G531" s="161"/>
      <c r="H531" s="161"/>
      <c r="I531" s="161"/>
      <c r="J531" s="161"/>
      <c r="M531" s="161"/>
      <c r="N531" s="161"/>
      <c r="R531" s="161"/>
      <c r="S531" s="161"/>
      <c r="W531" s="161"/>
      <c r="X531" s="161"/>
      <c r="Y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L531" s="161"/>
      <c r="AN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BA531" s="161"/>
      <c r="BC531" s="161"/>
    </row>
    <row r="532">
      <c r="B532" s="161"/>
      <c r="C532" s="161"/>
      <c r="D532" s="161"/>
      <c r="F532" s="161"/>
      <c r="G532" s="161"/>
      <c r="H532" s="161"/>
      <c r="I532" s="161"/>
      <c r="J532" s="161"/>
      <c r="M532" s="161"/>
      <c r="N532" s="161"/>
      <c r="R532" s="161"/>
      <c r="S532" s="161"/>
      <c r="W532" s="161"/>
      <c r="X532" s="161"/>
      <c r="Y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L532" s="161"/>
      <c r="AN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BA532" s="161"/>
      <c r="BC532" s="161"/>
    </row>
    <row r="533">
      <c r="B533" s="161"/>
      <c r="C533" s="161"/>
      <c r="D533" s="161"/>
      <c r="F533" s="161"/>
      <c r="G533" s="161"/>
      <c r="H533" s="161"/>
      <c r="I533" s="161"/>
      <c r="J533" s="161"/>
      <c r="M533" s="161"/>
      <c r="N533" s="161"/>
      <c r="R533" s="161"/>
      <c r="S533" s="161"/>
      <c r="W533" s="161"/>
      <c r="X533" s="161"/>
      <c r="Y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L533" s="161"/>
      <c r="AN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BA533" s="161"/>
      <c r="BC533" s="161"/>
    </row>
    <row r="534">
      <c r="B534" s="161"/>
      <c r="C534" s="161"/>
      <c r="D534" s="161"/>
      <c r="F534" s="161"/>
      <c r="G534" s="161"/>
      <c r="H534" s="161"/>
      <c r="I534" s="161"/>
      <c r="J534" s="161"/>
      <c r="M534" s="161"/>
      <c r="N534" s="161"/>
      <c r="R534" s="161"/>
      <c r="S534" s="161"/>
      <c r="W534" s="161"/>
      <c r="X534" s="161"/>
      <c r="Y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L534" s="161"/>
      <c r="AN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BA534" s="161"/>
      <c r="BC534" s="161"/>
    </row>
    <row r="535">
      <c r="B535" s="161"/>
      <c r="C535" s="161"/>
      <c r="D535" s="161"/>
      <c r="F535" s="161"/>
      <c r="G535" s="161"/>
      <c r="H535" s="161"/>
      <c r="I535" s="161"/>
      <c r="J535" s="161"/>
      <c r="M535" s="161"/>
      <c r="N535" s="161"/>
      <c r="R535" s="161"/>
      <c r="S535" s="161"/>
      <c r="W535" s="161"/>
      <c r="X535" s="161"/>
      <c r="Y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L535" s="161"/>
      <c r="AN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BA535" s="161"/>
      <c r="BC535" s="161"/>
    </row>
    <row r="536">
      <c r="B536" s="161"/>
      <c r="C536" s="161"/>
      <c r="D536" s="161"/>
      <c r="F536" s="161"/>
      <c r="G536" s="161"/>
      <c r="H536" s="161"/>
      <c r="I536" s="161"/>
      <c r="J536" s="161"/>
      <c r="M536" s="161"/>
      <c r="N536" s="161"/>
      <c r="R536" s="161"/>
      <c r="S536" s="161"/>
      <c r="W536" s="161"/>
      <c r="X536" s="161"/>
      <c r="Y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L536" s="161"/>
      <c r="AN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BA536" s="161"/>
      <c r="BC536" s="161"/>
    </row>
    <row r="537">
      <c r="B537" s="161"/>
      <c r="C537" s="161"/>
      <c r="D537" s="161"/>
      <c r="F537" s="161"/>
      <c r="G537" s="161"/>
      <c r="H537" s="161"/>
      <c r="I537" s="161"/>
      <c r="J537" s="161"/>
      <c r="M537" s="161"/>
      <c r="N537" s="161"/>
      <c r="R537" s="161"/>
      <c r="S537" s="161"/>
      <c r="W537" s="161"/>
      <c r="X537" s="161"/>
      <c r="Y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L537" s="161"/>
      <c r="AN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BA537" s="161"/>
      <c r="BC537" s="161"/>
    </row>
    <row r="538">
      <c r="B538" s="161"/>
      <c r="C538" s="161"/>
      <c r="D538" s="161"/>
      <c r="F538" s="161"/>
      <c r="G538" s="161"/>
      <c r="H538" s="161"/>
      <c r="I538" s="161"/>
      <c r="J538" s="161"/>
      <c r="M538" s="161"/>
      <c r="N538" s="161"/>
      <c r="R538" s="161"/>
      <c r="S538" s="161"/>
      <c r="W538" s="161"/>
      <c r="X538" s="161"/>
      <c r="Y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L538" s="161"/>
      <c r="AN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BA538" s="161"/>
      <c r="BC538" s="161"/>
    </row>
    <row r="539">
      <c r="B539" s="161"/>
      <c r="C539" s="161"/>
      <c r="D539" s="161"/>
      <c r="F539" s="161"/>
      <c r="G539" s="161"/>
      <c r="H539" s="161"/>
      <c r="I539" s="161"/>
      <c r="J539" s="161"/>
      <c r="M539" s="161"/>
      <c r="N539" s="161"/>
      <c r="R539" s="161"/>
      <c r="S539" s="161"/>
      <c r="W539" s="161"/>
      <c r="X539" s="161"/>
      <c r="Y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L539" s="161"/>
      <c r="AN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BA539" s="161"/>
      <c r="BC539" s="161"/>
    </row>
    <row r="540">
      <c r="B540" s="161"/>
      <c r="C540" s="161"/>
      <c r="D540" s="161"/>
      <c r="F540" s="161"/>
      <c r="G540" s="161"/>
      <c r="H540" s="161"/>
      <c r="I540" s="161"/>
      <c r="J540" s="161"/>
      <c r="M540" s="161"/>
      <c r="N540" s="161"/>
      <c r="R540" s="161"/>
      <c r="S540" s="161"/>
      <c r="W540" s="161"/>
      <c r="X540" s="161"/>
      <c r="Y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L540" s="161"/>
      <c r="AN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BA540" s="161"/>
      <c r="BC540" s="161"/>
    </row>
    <row r="541">
      <c r="B541" s="161"/>
      <c r="C541" s="161"/>
      <c r="D541" s="161"/>
      <c r="F541" s="161"/>
      <c r="G541" s="161"/>
      <c r="H541" s="161"/>
      <c r="I541" s="161"/>
      <c r="J541" s="161"/>
      <c r="M541" s="161"/>
      <c r="N541" s="161"/>
      <c r="R541" s="161"/>
      <c r="S541" s="161"/>
      <c r="W541" s="161"/>
      <c r="X541" s="161"/>
      <c r="Y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L541" s="161"/>
      <c r="AN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BA541" s="161"/>
      <c r="BC541" s="161"/>
    </row>
    <row r="542">
      <c r="B542" s="161"/>
      <c r="C542" s="161"/>
      <c r="D542" s="161"/>
      <c r="F542" s="161"/>
      <c r="G542" s="161"/>
      <c r="H542" s="161"/>
      <c r="I542" s="161"/>
      <c r="J542" s="161"/>
      <c r="M542" s="161"/>
      <c r="N542" s="161"/>
      <c r="R542" s="161"/>
      <c r="S542" s="161"/>
      <c r="W542" s="161"/>
      <c r="X542" s="161"/>
      <c r="Y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L542" s="161"/>
      <c r="AN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BA542" s="161"/>
      <c r="BC542" s="161"/>
    </row>
    <row r="543">
      <c r="B543" s="161"/>
      <c r="C543" s="161"/>
      <c r="D543" s="161"/>
      <c r="F543" s="161"/>
      <c r="G543" s="161"/>
      <c r="H543" s="161"/>
      <c r="I543" s="161"/>
      <c r="J543" s="161"/>
      <c r="M543" s="161"/>
      <c r="N543" s="161"/>
      <c r="R543" s="161"/>
      <c r="S543" s="161"/>
      <c r="W543" s="161"/>
      <c r="X543" s="161"/>
      <c r="Y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L543" s="161"/>
      <c r="AN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BA543" s="161"/>
      <c r="BC543" s="161"/>
    </row>
    <row r="544">
      <c r="B544" s="161"/>
      <c r="C544" s="161"/>
      <c r="D544" s="161"/>
      <c r="F544" s="161"/>
      <c r="G544" s="161"/>
      <c r="H544" s="161"/>
      <c r="I544" s="161"/>
      <c r="J544" s="161"/>
      <c r="M544" s="161"/>
      <c r="N544" s="161"/>
      <c r="R544" s="161"/>
      <c r="S544" s="161"/>
      <c r="W544" s="161"/>
      <c r="X544" s="161"/>
      <c r="Y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L544" s="161"/>
      <c r="AN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BA544" s="161"/>
      <c r="BC544" s="161"/>
    </row>
    <row r="545">
      <c r="B545" s="161"/>
      <c r="C545" s="161"/>
      <c r="D545" s="161"/>
      <c r="F545" s="161"/>
      <c r="G545" s="161"/>
      <c r="H545" s="161"/>
      <c r="I545" s="161"/>
      <c r="J545" s="161"/>
      <c r="M545" s="161"/>
      <c r="N545" s="161"/>
      <c r="R545" s="161"/>
      <c r="S545" s="161"/>
      <c r="W545" s="161"/>
      <c r="X545" s="161"/>
      <c r="Y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L545" s="161"/>
      <c r="AN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BA545" s="161"/>
      <c r="BC545" s="161"/>
    </row>
    <row r="546">
      <c r="B546" s="161"/>
      <c r="C546" s="161"/>
      <c r="D546" s="161"/>
      <c r="F546" s="161"/>
      <c r="G546" s="161"/>
      <c r="H546" s="161"/>
      <c r="I546" s="161"/>
      <c r="J546" s="161"/>
      <c r="M546" s="161"/>
      <c r="N546" s="161"/>
      <c r="R546" s="161"/>
      <c r="S546" s="161"/>
      <c r="W546" s="161"/>
      <c r="X546" s="161"/>
      <c r="Y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L546" s="161"/>
      <c r="AN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BA546" s="161"/>
      <c r="BC546" s="161"/>
    </row>
    <row r="547">
      <c r="B547" s="161"/>
      <c r="C547" s="161"/>
      <c r="D547" s="161"/>
      <c r="F547" s="161"/>
      <c r="G547" s="161"/>
      <c r="H547" s="161"/>
      <c r="I547" s="161"/>
      <c r="J547" s="161"/>
      <c r="M547" s="161"/>
      <c r="N547" s="161"/>
      <c r="R547" s="161"/>
      <c r="S547" s="161"/>
      <c r="W547" s="161"/>
      <c r="X547" s="161"/>
      <c r="Y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L547" s="161"/>
      <c r="AN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BA547" s="161"/>
      <c r="BC547" s="161"/>
    </row>
    <row r="548">
      <c r="B548" s="161"/>
      <c r="C548" s="161"/>
      <c r="D548" s="161"/>
      <c r="F548" s="161"/>
      <c r="G548" s="161"/>
      <c r="H548" s="161"/>
      <c r="I548" s="161"/>
      <c r="J548" s="161"/>
      <c r="M548" s="161"/>
      <c r="N548" s="161"/>
      <c r="R548" s="161"/>
      <c r="S548" s="161"/>
      <c r="W548" s="161"/>
      <c r="X548" s="161"/>
      <c r="Y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L548" s="161"/>
      <c r="AN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BA548" s="161"/>
      <c r="BC548" s="161"/>
    </row>
    <row r="549">
      <c r="B549" s="161"/>
      <c r="C549" s="161"/>
      <c r="D549" s="161"/>
      <c r="F549" s="161"/>
      <c r="G549" s="161"/>
      <c r="H549" s="161"/>
      <c r="I549" s="161"/>
      <c r="J549" s="161"/>
      <c r="M549" s="161"/>
      <c r="N549" s="161"/>
      <c r="R549" s="161"/>
      <c r="S549" s="161"/>
      <c r="W549" s="161"/>
      <c r="X549" s="161"/>
      <c r="Y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L549" s="161"/>
      <c r="AN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BA549" s="161"/>
      <c r="BC549" s="161"/>
    </row>
    <row r="550">
      <c r="B550" s="161"/>
      <c r="C550" s="161"/>
      <c r="D550" s="161"/>
      <c r="F550" s="161"/>
      <c r="G550" s="161"/>
      <c r="H550" s="161"/>
      <c r="I550" s="161"/>
      <c r="J550" s="161"/>
      <c r="M550" s="161"/>
      <c r="N550" s="161"/>
      <c r="R550" s="161"/>
      <c r="S550" s="161"/>
      <c r="W550" s="161"/>
      <c r="X550" s="161"/>
      <c r="Y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L550" s="161"/>
      <c r="AN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BA550" s="161"/>
      <c r="BC550" s="161"/>
    </row>
    <row r="551">
      <c r="B551" s="161"/>
      <c r="C551" s="161"/>
      <c r="D551" s="161"/>
      <c r="F551" s="161"/>
      <c r="G551" s="161"/>
      <c r="H551" s="161"/>
      <c r="I551" s="161"/>
      <c r="J551" s="161"/>
      <c r="M551" s="161"/>
      <c r="N551" s="161"/>
      <c r="R551" s="161"/>
      <c r="S551" s="161"/>
      <c r="W551" s="161"/>
      <c r="X551" s="161"/>
      <c r="Y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L551" s="161"/>
      <c r="AN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BA551" s="161"/>
      <c r="BC551" s="161"/>
    </row>
    <row r="552">
      <c r="B552" s="161"/>
      <c r="C552" s="161"/>
      <c r="D552" s="161"/>
      <c r="F552" s="161"/>
      <c r="G552" s="161"/>
      <c r="H552" s="161"/>
      <c r="I552" s="161"/>
      <c r="J552" s="161"/>
      <c r="M552" s="161"/>
      <c r="N552" s="161"/>
      <c r="R552" s="161"/>
      <c r="S552" s="161"/>
      <c r="W552" s="161"/>
      <c r="X552" s="161"/>
      <c r="Y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L552" s="161"/>
      <c r="AN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BA552" s="161"/>
      <c r="BC552" s="161"/>
    </row>
    <row r="553">
      <c r="B553" s="161"/>
      <c r="C553" s="161"/>
      <c r="D553" s="161"/>
      <c r="F553" s="161"/>
      <c r="G553" s="161"/>
      <c r="H553" s="161"/>
      <c r="I553" s="161"/>
      <c r="J553" s="161"/>
      <c r="M553" s="161"/>
      <c r="N553" s="161"/>
      <c r="R553" s="161"/>
      <c r="S553" s="161"/>
      <c r="W553" s="161"/>
      <c r="X553" s="161"/>
      <c r="Y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L553" s="161"/>
      <c r="AN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BA553" s="161"/>
      <c r="BC553" s="161"/>
    </row>
    <row r="554">
      <c r="B554" s="161"/>
      <c r="C554" s="161"/>
      <c r="D554" s="161"/>
      <c r="F554" s="161"/>
      <c r="G554" s="161"/>
      <c r="H554" s="161"/>
      <c r="I554" s="161"/>
      <c r="J554" s="161"/>
      <c r="M554" s="161"/>
      <c r="N554" s="161"/>
      <c r="R554" s="161"/>
      <c r="S554" s="161"/>
      <c r="W554" s="161"/>
      <c r="X554" s="161"/>
      <c r="Y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L554" s="161"/>
      <c r="AN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BA554" s="161"/>
      <c r="BC554" s="161"/>
    </row>
    <row r="555">
      <c r="B555" s="161"/>
      <c r="C555" s="161"/>
      <c r="D555" s="161"/>
      <c r="F555" s="161"/>
      <c r="G555" s="161"/>
      <c r="H555" s="161"/>
      <c r="I555" s="161"/>
      <c r="J555" s="161"/>
      <c r="M555" s="161"/>
      <c r="N555" s="161"/>
      <c r="R555" s="161"/>
      <c r="S555" s="161"/>
      <c r="W555" s="161"/>
      <c r="X555" s="161"/>
      <c r="Y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L555" s="161"/>
      <c r="AN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BA555" s="161"/>
      <c r="BC555" s="161"/>
    </row>
    <row r="556">
      <c r="B556" s="161"/>
      <c r="C556" s="161"/>
      <c r="D556" s="161"/>
      <c r="F556" s="161"/>
      <c r="G556" s="161"/>
      <c r="H556" s="161"/>
      <c r="I556" s="161"/>
      <c r="J556" s="161"/>
      <c r="M556" s="161"/>
      <c r="N556" s="161"/>
      <c r="R556" s="161"/>
      <c r="S556" s="161"/>
      <c r="W556" s="161"/>
      <c r="X556" s="161"/>
      <c r="Y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L556" s="161"/>
      <c r="AN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BA556" s="161"/>
      <c r="BC556" s="161"/>
    </row>
    <row r="557">
      <c r="B557" s="161"/>
      <c r="C557" s="161"/>
      <c r="D557" s="161"/>
      <c r="F557" s="161"/>
      <c r="G557" s="161"/>
      <c r="H557" s="161"/>
      <c r="I557" s="161"/>
      <c r="J557" s="161"/>
      <c r="M557" s="161"/>
      <c r="N557" s="161"/>
      <c r="R557" s="161"/>
      <c r="S557" s="161"/>
      <c r="W557" s="161"/>
      <c r="X557" s="161"/>
      <c r="Y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L557" s="161"/>
      <c r="AN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BA557" s="161"/>
      <c r="BC557" s="161"/>
    </row>
    <row r="558">
      <c r="B558" s="161"/>
      <c r="C558" s="161"/>
      <c r="D558" s="161"/>
      <c r="F558" s="161"/>
      <c r="G558" s="161"/>
      <c r="H558" s="161"/>
      <c r="I558" s="161"/>
      <c r="J558" s="161"/>
      <c r="M558" s="161"/>
      <c r="N558" s="161"/>
      <c r="R558" s="161"/>
      <c r="S558" s="161"/>
      <c r="W558" s="161"/>
      <c r="X558" s="161"/>
      <c r="Y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L558" s="161"/>
      <c r="AN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BA558" s="161"/>
      <c r="BC558" s="161"/>
    </row>
    <row r="559">
      <c r="B559" s="161"/>
      <c r="C559" s="161"/>
      <c r="D559" s="161"/>
      <c r="F559" s="161"/>
      <c r="G559" s="161"/>
      <c r="H559" s="161"/>
      <c r="I559" s="161"/>
      <c r="J559" s="161"/>
      <c r="M559" s="161"/>
      <c r="N559" s="161"/>
      <c r="R559" s="161"/>
      <c r="S559" s="161"/>
      <c r="W559" s="161"/>
      <c r="X559" s="161"/>
      <c r="Y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L559" s="161"/>
      <c r="AN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BA559" s="161"/>
      <c r="BC559" s="161"/>
    </row>
    <row r="560">
      <c r="B560" s="161"/>
      <c r="C560" s="161"/>
      <c r="D560" s="161"/>
      <c r="F560" s="161"/>
      <c r="G560" s="161"/>
      <c r="H560" s="161"/>
      <c r="I560" s="161"/>
      <c r="J560" s="161"/>
      <c r="M560" s="161"/>
      <c r="N560" s="161"/>
      <c r="R560" s="161"/>
      <c r="S560" s="161"/>
      <c r="W560" s="161"/>
      <c r="X560" s="161"/>
      <c r="Y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L560" s="161"/>
      <c r="AN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BA560" s="161"/>
      <c r="BC560" s="161"/>
    </row>
    <row r="561">
      <c r="B561" s="161"/>
      <c r="C561" s="161"/>
      <c r="D561" s="161"/>
      <c r="F561" s="161"/>
      <c r="G561" s="161"/>
      <c r="H561" s="161"/>
      <c r="I561" s="161"/>
      <c r="J561" s="161"/>
      <c r="M561" s="161"/>
      <c r="N561" s="161"/>
      <c r="R561" s="161"/>
      <c r="S561" s="161"/>
      <c r="W561" s="161"/>
      <c r="X561" s="161"/>
      <c r="Y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L561" s="161"/>
      <c r="AN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BA561" s="161"/>
      <c r="BC561" s="161"/>
    </row>
    <row r="562">
      <c r="B562" s="161"/>
      <c r="C562" s="161"/>
      <c r="D562" s="161"/>
      <c r="F562" s="161"/>
      <c r="G562" s="161"/>
      <c r="H562" s="161"/>
      <c r="I562" s="161"/>
      <c r="J562" s="161"/>
      <c r="M562" s="161"/>
      <c r="N562" s="161"/>
      <c r="R562" s="161"/>
      <c r="S562" s="161"/>
      <c r="W562" s="161"/>
      <c r="X562" s="161"/>
      <c r="Y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L562" s="161"/>
      <c r="AN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BA562" s="161"/>
      <c r="BC562" s="161"/>
    </row>
    <row r="563">
      <c r="B563" s="161"/>
      <c r="C563" s="161"/>
      <c r="D563" s="161"/>
      <c r="F563" s="161"/>
      <c r="G563" s="161"/>
      <c r="H563" s="161"/>
      <c r="I563" s="161"/>
      <c r="J563" s="161"/>
      <c r="M563" s="161"/>
      <c r="N563" s="161"/>
      <c r="R563" s="161"/>
      <c r="S563" s="161"/>
      <c r="W563" s="161"/>
      <c r="X563" s="161"/>
      <c r="Y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L563" s="161"/>
      <c r="AN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BA563" s="161"/>
      <c r="BC563" s="161"/>
    </row>
    <row r="564">
      <c r="B564" s="161"/>
      <c r="C564" s="161"/>
      <c r="D564" s="161"/>
      <c r="F564" s="161"/>
      <c r="G564" s="161"/>
      <c r="H564" s="161"/>
      <c r="I564" s="161"/>
      <c r="J564" s="161"/>
      <c r="M564" s="161"/>
      <c r="N564" s="161"/>
      <c r="R564" s="161"/>
      <c r="S564" s="161"/>
      <c r="W564" s="161"/>
      <c r="X564" s="161"/>
      <c r="Y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L564" s="161"/>
      <c r="AN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BA564" s="161"/>
      <c r="BC564" s="161"/>
    </row>
    <row r="565">
      <c r="B565" s="161"/>
      <c r="C565" s="161"/>
      <c r="D565" s="161"/>
      <c r="F565" s="161"/>
      <c r="G565" s="161"/>
      <c r="H565" s="161"/>
      <c r="I565" s="161"/>
      <c r="J565" s="161"/>
      <c r="M565" s="161"/>
      <c r="N565" s="161"/>
      <c r="R565" s="161"/>
      <c r="S565" s="161"/>
      <c r="W565" s="161"/>
      <c r="X565" s="161"/>
      <c r="Y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L565" s="161"/>
      <c r="AN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BA565" s="161"/>
      <c r="BC565" s="161"/>
    </row>
    <row r="566">
      <c r="B566" s="161"/>
      <c r="C566" s="161"/>
      <c r="D566" s="161"/>
      <c r="F566" s="161"/>
      <c r="G566" s="161"/>
      <c r="H566" s="161"/>
      <c r="I566" s="161"/>
      <c r="J566" s="161"/>
      <c r="M566" s="161"/>
      <c r="N566" s="161"/>
      <c r="R566" s="161"/>
      <c r="S566" s="161"/>
      <c r="W566" s="161"/>
      <c r="X566" s="161"/>
      <c r="Y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L566" s="161"/>
      <c r="AN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BA566" s="161"/>
      <c r="BC566" s="161"/>
    </row>
    <row r="567">
      <c r="B567" s="161"/>
      <c r="C567" s="161"/>
      <c r="D567" s="161"/>
      <c r="F567" s="161"/>
      <c r="G567" s="161"/>
      <c r="H567" s="161"/>
      <c r="I567" s="161"/>
      <c r="J567" s="161"/>
      <c r="M567" s="161"/>
      <c r="N567" s="161"/>
      <c r="R567" s="161"/>
      <c r="S567" s="161"/>
      <c r="W567" s="161"/>
      <c r="X567" s="161"/>
      <c r="Y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L567" s="161"/>
      <c r="AN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BA567" s="161"/>
      <c r="BC567" s="161"/>
    </row>
    <row r="568">
      <c r="B568" s="161"/>
      <c r="C568" s="161"/>
      <c r="D568" s="161"/>
      <c r="F568" s="161"/>
      <c r="G568" s="161"/>
      <c r="H568" s="161"/>
      <c r="I568" s="161"/>
      <c r="J568" s="161"/>
      <c r="M568" s="161"/>
      <c r="N568" s="161"/>
      <c r="R568" s="161"/>
      <c r="S568" s="161"/>
      <c r="W568" s="161"/>
      <c r="X568" s="161"/>
      <c r="Y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L568" s="161"/>
      <c r="AN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BA568" s="161"/>
      <c r="BC568" s="161"/>
    </row>
    <row r="569">
      <c r="B569" s="161"/>
      <c r="C569" s="161"/>
      <c r="D569" s="161"/>
      <c r="F569" s="161"/>
      <c r="G569" s="161"/>
      <c r="H569" s="161"/>
      <c r="I569" s="161"/>
      <c r="J569" s="161"/>
      <c r="M569" s="161"/>
      <c r="N569" s="161"/>
      <c r="R569" s="161"/>
      <c r="S569" s="161"/>
      <c r="W569" s="161"/>
      <c r="X569" s="161"/>
      <c r="Y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L569" s="161"/>
      <c r="AN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BA569" s="161"/>
      <c r="BC569" s="161"/>
    </row>
    <row r="570">
      <c r="B570" s="161"/>
      <c r="C570" s="161"/>
      <c r="D570" s="161"/>
      <c r="F570" s="161"/>
      <c r="G570" s="161"/>
      <c r="H570" s="161"/>
      <c r="I570" s="161"/>
      <c r="J570" s="161"/>
      <c r="M570" s="161"/>
      <c r="N570" s="161"/>
      <c r="R570" s="161"/>
      <c r="S570" s="161"/>
      <c r="W570" s="161"/>
      <c r="X570" s="161"/>
      <c r="Y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L570" s="161"/>
      <c r="AN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BA570" s="161"/>
      <c r="BC570" s="161"/>
    </row>
    <row r="571">
      <c r="B571" s="161"/>
      <c r="C571" s="161"/>
      <c r="D571" s="161"/>
      <c r="F571" s="161"/>
      <c r="G571" s="161"/>
      <c r="H571" s="161"/>
      <c r="I571" s="161"/>
      <c r="J571" s="161"/>
      <c r="M571" s="161"/>
      <c r="N571" s="161"/>
      <c r="R571" s="161"/>
      <c r="S571" s="161"/>
      <c r="W571" s="161"/>
      <c r="X571" s="161"/>
      <c r="Y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L571" s="161"/>
      <c r="AN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BA571" s="161"/>
      <c r="BC571" s="161"/>
    </row>
    <row r="572">
      <c r="B572" s="161"/>
      <c r="C572" s="161"/>
      <c r="D572" s="161"/>
      <c r="F572" s="161"/>
      <c r="G572" s="161"/>
      <c r="H572" s="161"/>
      <c r="I572" s="161"/>
      <c r="J572" s="161"/>
      <c r="M572" s="161"/>
      <c r="N572" s="161"/>
      <c r="R572" s="161"/>
      <c r="S572" s="161"/>
      <c r="W572" s="161"/>
      <c r="X572" s="161"/>
      <c r="Y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L572" s="161"/>
      <c r="AN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BA572" s="161"/>
      <c r="BC572" s="161"/>
    </row>
    <row r="573">
      <c r="B573" s="161"/>
      <c r="C573" s="161"/>
      <c r="D573" s="161"/>
      <c r="F573" s="161"/>
      <c r="G573" s="161"/>
      <c r="H573" s="161"/>
      <c r="I573" s="161"/>
      <c r="J573" s="161"/>
      <c r="M573" s="161"/>
      <c r="N573" s="161"/>
      <c r="R573" s="161"/>
      <c r="S573" s="161"/>
      <c r="W573" s="161"/>
      <c r="X573" s="161"/>
      <c r="Y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L573" s="161"/>
      <c r="AN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BA573" s="161"/>
      <c r="BC573" s="161"/>
    </row>
    <row r="574">
      <c r="B574" s="161"/>
      <c r="C574" s="161"/>
      <c r="D574" s="161"/>
      <c r="F574" s="161"/>
      <c r="G574" s="161"/>
      <c r="H574" s="161"/>
      <c r="I574" s="161"/>
      <c r="J574" s="161"/>
      <c r="M574" s="161"/>
      <c r="N574" s="161"/>
      <c r="R574" s="161"/>
      <c r="S574" s="161"/>
      <c r="W574" s="161"/>
      <c r="X574" s="161"/>
      <c r="Y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L574" s="161"/>
      <c r="AN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BA574" s="161"/>
      <c r="BC574" s="161"/>
    </row>
    <row r="575">
      <c r="B575" s="161"/>
      <c r="C575" s="161"/>
      <c r="D575" s="161"/>
      <c r="F575" s="161"/>
      <c r="G575" s="161"/>
      <c r="H575" s="161"/>
      <c r="I575" s="161"/>
      <c r="J575" s="161"/>
      <c r="M575" s="161"/>
      <c r="N575" s="161"/>
      <c r="R575" s="161"/>
      <c r="S575" s="161"/>
      <c r="W575" s="161"/>
      <c r="X575" s="161"/>
      <c r="Y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L575" s="161"/>
      <c r="AN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BA575" s="161"/>
      <c r="BC575" s="161"/>
    </row>
    <row r="576">
      <c r="B576" s="161"/>
      <c r="C576" s="161"/>
      <c r="D576" s="161"/>
      <c r="F576" s="161"/>
      <c r="G576" s="161"/>
      <c r="H576" s="161"/>
      <c r="I576" s="161"/>
      <c r="J576" s="161"/>
      <c r="M576" s="161"/>
      <c r="N576" s="161"/>
      <c r="R576" s="161"/>
      <c r="S576" s="161"/>
      <c r="W576" s="161"/>
      <c r="X576" s="161"/>
      <c r="Y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L576" s="161"/>
      <c r="AN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BA576" s="161"/>
      <c r="BC576" s="161"/>
    </row>
    <row r="577">
      <c r="B577" s="161"/>
      <c r="C577" s="161"/>
      <c r="D577" s="161"/>
      <c r="F577" s="161"/>
      <c r="G577" s="161"/>
      <c r="H577" s="161"/>
      <c r="I577" s="161"/>
      <c r="J577" s="161"/>
      <c r="M577" s="161"/>
      <c r="N577" s="161"/>
      <c r="R577" s="161"/>
      <c r="S577" s="161"/>
      <c r="W577" s="161"/>
      <c r="X577" s="161"/>
      <c r="Y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L577" s="161"/>
      <c r="AN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BA577" s="161"/>
      <c r="BC577" s="161"/>
    </row>
    <row r="578">
      <c r="B578" s="161"/>
      <c r="C578" s="161"/>
      <c r="D578" s="161"/>
      <c r="F578" s="161"/>
      <c r="G578" s="161"/>
      <c r="H578" s="161"/>
      <c r="I578" s="161"/>
      <c r="J578" s="161"/>
      <c r="M578" s="161"/>
      <c r="N578" s="161"/>
      <c r="R578" s="161"/>
      <c r="S578" s="161"/>
      <c r="W578" s="161"/>
      <c r="X578" s="161"/>
      <c r="Y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L578" s="161"/>
      <c r="AN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BA578" s="161"/>
      <c r="BC578" s="161"/>
    </row>
    <row r="579">
      <c r="B579" s="161"/>
      <c r="C579" s="161"/>
      <c r="D579" s="161"/>
      <c r="F579" s="161"/>
      <c r="G579" s="161"/>
      <c r="H579" s="161"/>
      <c r="I579" s="161"/>
      <c r="J579" s="161"/>
      <c r="M579" s="161"/>
      <c r="N579" s="161"/>
      <c r="R579" s="161"/>
      <c r="S579" s="161"/>
      <c r="W579" s="161"/>
      <c r="X579" s="161"/>
      <c r="Y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L579" s="161"/>
      <c r="AN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BA579" s="161"/>
      <c r="BC579" s="161"/>
    </row>
    <row r="580">
      <c r="B580" s="161"/>
      <c r="C580" s="161"/>
      <c r="D580" s="161"/>
      <c r="F580" s="161"/>
      <c r="G580" s="161"/>
      <c r="H580" s="161"/>
      <c r="I580" s="161"/>
      <c r="J580" s="161"/>
      <c r="M580" s="161"/>
      <c r="N580" s="161"/>
      <c r="R580" s="161"/>
      <c r="S580" s="161"/>
      <c r="W580" s="161"/>
      <c r="X580" s="161"/>
      <c r="Y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L580" s="161"/>
      <c r="AN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BA580" s="161"/>
      <c r="BC580" s="161"/>
    </row>
    <row r="581">
      <c r="B581" s="161"/>
      <c r="C581" s="161"/>
      <c r="D581" s="161"/>
      <c r="F581" s="161"/>
      <c r="G581" s="161"/>
      <c r="H581" s="161"/>
      <c r="I581" s="161"/>
      <c r="J581" s="161"/>
      <c r="M581" s="161"/>
      <c r="N581" s="161"/>
      <c r="R581" s="161"/>
      <c r="S581" s="161"/>
      <c r="W581" s="161"/>
      <c r="X581" s="161"/>
      <c r="Y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L581" s="161"/>
      <c r="AN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BA581" s="161"/>
      <c r="BC581" s="161"/>
    </row>
    <row r="582">
      <c r="B582" s="161"/>
      <c r="C582" s="161"/>
      <c r="D582" s="161"/>
      <c r="F582" s="161"/>
      <c r="G582" s="161"/>
      <c r="H582" s="161"/>
      <c r="I582" s="161"/>
      <c r="J582" s="161"/>
      <c r="M582" s="161"/>
      <c r="N582" s="161"/>
      <c r="R582" s="161"/>
      <c r="S582" s="161"/>
      <c r="W582" s="161"/>
      <c r="X582" s="161"/>
      <c r="Y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L582" s="161"/>
      <c r="AN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BA582" s="161"/>
      <c r="BC582" s="161"/>
    </row>
    <row r="583">
      <c r="B583" s="161"/>
      <c r="C583" s="161"/>
      <c r="D583" s="161"/>
      <c r="F583" s="161"/>
      <c r="G583" s="161"/>
      <c r="H583" s="161"/>
      <c r="I583" s="161"/>
      <c r="J583" s="161"/>
      <c r="M583" s="161"/>
      <c r="N583" s="161"/>
      <c r="R583" s="161"/>
      <c r="S583" s="161"/>
      <c r="W583" s="161"/>
      <c r="X583" s="161"/>
      <c r="Y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L583" s="161"/>
      <c r="AN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BA583" s="161"/>
      <c r="BC583" s="161"/>
    </row>
    <row r="584">
      <c r="B584" s="161"/>
      <c r="C584" s="161"/>
      <c r="D584" s="161"/>
      <c r="F584" s="161"/>
      <c r="G584" s="161"/>
      <c r="H584" s="161"/>
      <c r="I584" s="161"/>
      <c r="J584" s="161"/>
      <c r="M584" s="161"/>
      <c r="N584" s="161"/>
      <c r="R584" s="161"/>
      <c r="S584" s="161"/>
      <c r="W584" s="161"/>
      <c r="X584" s="161"/>
      <c r="Y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L584" s="161"/>
      <c r="AN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BA584" s="161"/>
      <c r="BC584" s="161"/>
    </row>
    <row r="585">
      <c r="B585" s="161"/>
      <c r="C585" s="161"/>
      <c r="D585" s="161"/>
      <c r="F585" s="161"/>
      <c r="G585" s="161"/>
      <c r="H585" s="161"/>
      <c r="I585" s="161"/>
      <c r="J585" s="161"/>
      <c r="M585" s="161"/>
      <c r="N585" s="161"/>
      <c r="R585" s="161"/>
      <c r="S585" s="161"/>
      <c r="W585" s="161"/>
      <c r="X585" s="161"/>
      <c r="Y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L585" s="161"/>
      <c r="AN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BA585" s="161"/>
      <c r="BC585" s="161"/>
    </row>
    <row r="586">
      <c r="B586" s="161"/>
      <c r="C586" s="161"/>
      <c r="D586" s="161"/>
      <c r="F586" s="161"/>
      <c r="G586" s="161"/>
      <c r="H586" s="161"/>
      <c r="I586" s="161"/>
      <c r="J586" s="161"/>
      <c r="M586" s="161"/>
      <c r="N586" s="161"/>
      <c r="R586" s="161"/>
      <c r="S586" s="161"/>
      <c r="W586" s="161"/>
      <c r="X586" s="161"/>
      <c r="Y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L586" s="161"/>
      <c r="AN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BA586" s="161"/>
      <c r="BC586" s="161"/>
    </row>
    <row r="587">
      <c r="B587" s="161"/>
      <c r="C587" s="161"/>
      <c r="D587" s="161"/>
      <c r="F587" s="161"/>
      <c r="G587" s="161"/>
      <c r="H587" s="161"/>
      <c r="I587" s="161"/>
      <c r="J587" s="161"/>
      <c r="M587" s="161"/>
      <c r="N587" s="161"/>
      <c r="R587" s="161"/>
      <c r="S587" s="161"/>
      <c r="W587" s="161"/>
      <c r="X587" s="161"/>
      <c r="Y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L587" s="161"/>
      <c r="AN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BA587" s="161"/>
      <c r="BC587" s="161"/>
    </row>
    <row r="588">
      <c r="B588" s="161"/>
      <c r="C588" s="161"/>
      <c r="D588" s="161"/>
      <c r="F588" s="161"/>
      <c r="G588" s="161"/>
      <c r="H588" s="161"/>
      <c r="I588" s="161"/>
      <c r="J588" s="161"/>
      <c r="M588" s="161"/>
      <c r="N588" s="161"/>
      <c r="R588" s="161"/>
      <c r="S588" s="161"/>
      <c r="W588" s="161"/>
      <c r="X588" s="161"/>
      <c r="Y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L588" s="161"/>
      <c r="AN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BA588" s="161"/>
      <c r="BC588" s="161"/>
    </row>
    <row r="589">
      <c r="B589" s="161"/>
      <c r="C589" s="161"/>
      <c r="D589" s="161"/>
      <c r="F589" s="161"/>
      <c r="G589" s="161"/>
      <c r="H589" s="161"/>
      <c r="I589" s="161"/>
      <c r="J589" s="161"/>
      <c r="M589" s="161"/>
      <c r="N589" s="161"/>
      <c r="R589" s="161"/>
      <c r="S589" s="161"/>
      <c r="W589" s="161"/>
      <c r="X589" s="161"/>
      <c r="Y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L589" s="161"/>
      <c r="AN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BA589" s="161"/>
      <c r="BC589" s="161"/>
    </row>
    <row r="590">
      <c r="B590" s="161"/>
      <c r="C590" s="161"/>
      <c r="D590" s="161"/>
      <c r="F590" s="161"/>
      <c r="G590" s="161"/>
      <c r="H590" s="161"/>
      <c r="I590" s="161"/>
      <c r="J590" s="161"/>
      <c r="M590" s="161"/>
      <c r="N590" s="161"/>
      <c r="R590" s="161"/>
      <c r="S590" s="161"/>
      <c r="W590" s="161"/>
      <c r="X590" s="161"/>
      <c r="Y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L590" s="161"/>
      <c r="AN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BA590" s="161"/>
      <c r="BC590" s="161"/>
    </row>
    <row r="591">
      <c r="B591" s="161"/>
      <c r="C591" s="161"/>
      <c r="D591" s="161"/>
      <c r="F591" s="161"/>
      <c r="G591" s="161"/>
      <c r="H591" s="161"/>
      <c r="I591" s="161"/>
      <c r="J591" s="161"/>
      <c r="M591" s="161"/>
      <c r="N591" s="161"/>
      <c r="R591" s="161"/>
      <c r="S591" s="161"/>
      <c r="W591" s="161"/>
      <c r="X591" s="161"/>
      <c r="Y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L591" s="161"/>
      <c r="AN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BA591" s="161"/>
      <c r="BC591" s="161"/>
    </row>
    <row r="592">
      <c r="B592" s="161"/>
      <c r="C592" s="161"/>
      <c r="D592" s="161"/>
      <c r="F592" s="161"/>
      <c r="G592" s="161"/>
      <c r="H592" s="161"/>
      <c r="I592" s="161"/>
      <c r="J592" s="161"/>
      <c r="M592" s="161"/>
      <c r="N592" s="161"/>
      <c r="R592" s="161"/>
      <c r="S592" s="161"/>
      <c r="W592" s="161"/>
      <c r="X592" s="161"/>
      <c r="Y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L592" s="161"/>
      <c r="AN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BA592" s="161"/>
      <c r="BC592" s="161"/>
    </row>
    <row r="593">
      <c r="B593" s="161"/>
      <c r="C593" s="161"/>
      <c r="D593" s="161"/>
      <c r="F593" s="161"/>
      <c r="G593" s="161"/>
      <c r="H593" s="161"/>
      <c r="I593" s="161"/>
      <c r="J593" s="161"/>
      <c r="M593" s="161"/>
      <c r="N593" s="161"/>
      <c r="R593" s="161"/>
      <c r="S593" s="161"/>
      <c r="W593" s="161"/>
      <c r="X593" s="161"/>
      <c r="Y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L593" s="161"/>
      <c r="AN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BA593" s="161"/>
      <c r="BC593" s="161"/>
    </row>
    <row r="594">
      <c r="B594" s="161"/>
      <c r="C594" s="161"/>
      <c r="D594" s="161"/>
      <c r="F594" s="161"/>
      <c r="G594" s="161"/>
      <c r="H594" s="161"/>
      <c r="I594" s="161"/>
      <c r="J594" s="161"/>
      <c r="M594" s="161"/>
      <c r="N594" s="161"/>
      <c r="R594" s="161"/>
      <c r="S594" s="161"/>
      <c r="W594" s="161"/>
      <c r="X594" s="161"/>
      <c r="Y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L594" s="161"/>
      <c r="AN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BA594" s="161"/>
      <c r="BC594" s="161"/>
    </row>
    <row r="595">
      <c r="B595" s="161"/>
      <c r="C595" s="161"/>
      <c r="D595" s="161"/>
      <c r="F595" s="161"/>
      <c r="G595" s="161"/>
      <c r="H595" s="161"/>
      <c r="I595" s="161"/>
      <c r="J595" s="161"/>
      <c r="M595" s="161"/>
      <c r="N595" s="161"/>
      <c r="R595" s="161"/>
      <c r="S595" s="161"/>
      <c r="W595" s="161"/>
      <c r="X595" s="161"/>
      <c r="Y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L595" s="161"/>
      <c r="AN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BA595" s="161"/>
      <c r="BC595" s="161"/>
    </row>
    <row r="596">
      <c r="B596" s="161"/>
      <c r="C596" s="161"/>
      <c r="D596" s="161"/>
      <c r="F596" s="161"/>
      <c r="G596" s="161"/>
      <c r="H596" s="161"/>
      <c r="I596" s="161"/>
      <c r="J596" s="161"/>
      <c r="M596" s="161"/>
      <c r="N596" s="161"/>
      <c r="R596" s="161"/>
      <c r="S596" s="161"/>
      <c r="W596" s="161"/>
      <c r="X596" s="161"/>
      <c r="Y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L596" s="161"/>
      <c r="AN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BA596" s="161"/>
      <c r="BC596" s="161"/>
    </row>
    <row r="597">
      <c r="B597" s="161"/>
      <c r="C597" s="161"/>
      <c r="D597" s="161"/>
      <c r="F597" s="161"/>
      <c r="G597" s="161"/>
      <c r="H597" s="161"/>
      <c r="I597" s="161"/>
      <c r="J597" s="161"/>
      <c r="M597" s="161"/>
      <c r="N597" s="161"/>
      <c r="R597" s="161"/>
      <c r="S597" s="161"/>
      <c r="W597" s="161"/>
      <c r="X597" s="161"/>
      <c r="Y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L597" s="161"/>
      <c r="AN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BA597" s="161"/>
      <c r="BC597" s="161"/>
    </row>
    <row r="598">
      <c r="B598" s="161"/>
      <c r="C598" s="161"/>
      <c r="D598" s="161"/>
      <c r="F598" s="161"/>
      <c r="G598" s="161"/>
      <c r="H598" s="161"/>
      <c r="I598" s="161"/>
      <c r="J598" s="161"/>
      <c r="M598" s="161"/>
      <c r="N598" s="161"/>
      <c r="R598" s="161"/>
      <c r="S598" s="161"/>
      <c r="W598" s="161"/>
      <c r="X598" s="161"/>
      <c r="Y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L598" s="161"/>
      <c r="AN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BA598" s="161"/>
      <c r="BC598" s="161"/>
    </row>
    <row r="599">
      <c r="B599" s="161"/>
      <c r="C599" s="161"/>
      <c r="D599" s="161"/>
      <c r="F599" s="161"/>
      <c r="G599" s="161"/>
      <c r="H599" s="161"/>
      <c r="I599" s="161"/>
      <c r="J599" s="161"/>
      <c r="M599" s="161"/>
      <c r="N599" s="161"/>
      <c r="R599" s="161"/>
      <c r="S599" s="161"/>
      <c r="W599" s="161"/>
      <c r="X599" s="161"/>
      <c r="Y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L599" s="161"/>
      <c r="AN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BA599" s="161"/>
      <c r="BC599" s="161"/>
    </row>
    <row r="600">
      <c r="B600" s="161"/>
      <c r="C600" s="161"/>
      <c r="D600" s="161"/>
      <c r="F600" s="161"/>
      <c r="G600" s="161"/>
      <c r="H600" s="161"/>
      <c r="I600" s="161"/>
      <c r="J600" s="161"/>
      <c r="M600" s="161"/>
      <c r="N600" s="161"/>
      <c r="R600" s="161"/>
      <c r="S600" s="161"/>
      <c r="W600" s="161"/>
      <c r="X600" s="161"/>
      <c r="Y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L600" s="161"/>
      <c r="AN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BA600" s="161"/>
      <c r="BC600" s="161"/>
    </row>
    <row r="601">
      <c r="B601" s="161"/>
      <c r="C601" s="161"/>
      <c r="D601" s="161"/>
      <c r="F601" s="161"/>
      <c r="G601" s="161"/>
      <c r="H601" s="161"/>
      <c r="I601" s="161"/>
      <c r="J601" s="161"/>
      <c r="M601" s="161"/>
      <c r="N601" s="161"/>
      <c r="R601" s="161"/>
      <c r="S601" s="161"/>
      <c r="W601" s="161"/>
      <c r="X601" s="161"/>
      <c r="Y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L601" s="161"/>
      <c r="AN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BA601" s="161"/>
      <c r="BC601" s="161"/>
    </row>
    <row r="602">
      <c r="B602" s="161"/>
      <c r="C602" s="161"/>
      <c r="D602" s="161"/>
      <c r="F602" s="161"/>
      <c r="G602" s="161"/>
      <c r="H602" s="161"/>
      <c r="I602" s="161"/>
      <c r="J602" s="161"/>
      <c r="M602" s="161"/>
      <c r="N602" s="161"/>
      <c r="R602" s="161"/>
      <c r="S602" s="161"/>
      <c r="W602" s="161"/>
      <c r="X602" s="161"/>
      <c r="Y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L602" s="161"/>
      <c r="AN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BA602" s="161"/>
      <c r="BC602" s="161"/>
    </row>
    <row r="603">
      <c r="B603" s="161"/>
      <c r="C603" s="161"/>
      <c r="D603" s="161"/>
      <c r="F603" s="161"/>
      <c r="G603" s="161"/>
      <c r="H603" s="161"/>
      <c r="I603" s="161"/>
      <c r="J603" s="161"/>
      <c r="M603" s="161"/>
      <c r="N603" s="161"/>
      <c r="R603" s="161"/>
      <c r="S603" s="161"/>
      <c r="W603" s="161"/>
      <c r="X603" s="161"/>
      <c r="Y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L603" s="161"/>
      <c r="AN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BA603" s="161"/>
      <c r="BC603" s="161"/>
    </row>
    <row r="604">
      <c r="B604" s="161"/>
      <c r="C604" s="161"/>
      <c r="D604" s="161"/>
      <c r="F604" s="161"/>
      <c r="G604" s="161"/>
      <c r="H604" s="161"/>
      <c r="I604" s="161"/>
      <c r="J604" s="161"/>
      <c r="M604" s="161"/>
      <c r="N604" s="161"/>
      <c r="R604" s="161"/>
      <c r="S604" s="161"/>
      <c r="W604" s="161"/>
      <c r="X604" s="161"/>
      <c r="Y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L604" s="161"/>
      <c r="AN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BA604" s="161"/>
      <c r="BC604" s="161"/>
    </row>
    <row r="605">
      <c r="B605" s="161"/>
      <c r="C605" s="161"/>
      <c r="D605" s="161"/>
      <c r="F605" s="161"/>
      <c r="G605" s="161"/>
      <c r="H605" s="161"/>
      <c r="I605" s="161"/>
      <c r="J605" s="161"/>
      <c r="M605" s="161"/>
      <c r="N605" s="161"/>
      <c r="R605" s="161"/>
      <c r="S605" s="161"/>
      <c r="W605" s="161"/>
      <c r="X605" s="161"/>
      <c r="Y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L605" s="161"/>
      <c r="AN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BA605" s="161"/>
      <c r="BC605" s="161"/>
    </row>
    <row r="606">
      <c r="B606" s="161"/>
      <c r="C606" s="161"/>
      <c r="D606" s="161"/>
      <c r="F606" s="161"/>
      <c r="G606" s="161"/>
      <c r="H606" s="161"/>
      <c r="I606" s="161"/>
      <c r="J606" s="161"/>
      <c r="M606" s="161"/>
      <c r="N606" s="161"/>
      <c r="R606" s="161"/>
      <c r="S606" s="161"/>
      <c r="W606" s="161"/>
      <c r="X606" s="161"/>
      <c r="Y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L606" s="161"/>
      <c r="AN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BA606" s="161"/>
      <c r="BC606" s="161"/>
    </row>
    <row r="607">
      <c r="B607" s="161"/>
      <c r="C607" s="161"/>
      <c r="D607" s="161"/>
      <c r="F607" s="161"/>
      <c r="G607" s="161"/>
      <c r="H607" s="161"/>
      <c r="I607" s="161"/>
      <c r="J607" s="161"/>
      <c r="M607" s="161"/>
      <c r="N607" s="161"/>
      <c r="R607" s="161"/>
      <c r="S607" s="161"/>
      <c r="W607" s="161"/>
      <c r="X607" s="161"/>
      <c r="Y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L607" s="161"/>
      <c r="AN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BA607" s="161"/>
      <c r="BC607" s="161"/>
    </row>
    <row r="608">
      <c r="B608" s="161"/>
      <c r="C608" s="161"/>
      <c r="D608" s="161"/>
      <c r="F608" s="161"/>
      <c r="G608" s="161"/>
      <c r="H608" s="161"/>
      <c r="I608" s="161"/>
      <c r="J608" s="161"/>
      <c r="M608" s="161"/>
      <c r="N608" s="161"/>
      <c r="R608" s="161"/>
      <c r="S608" s="161"/>
      <c r="W608" s="161"/>
      <c r="X608" s="161"/>
      <c r="Y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L608" s="161"/>
      <c r="AN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BA608" s="161"/>
      <c r="BC608" s="161"/>
    </row>
    <row r="609">
      <c r="B609" s="161"/>
      <c r="C609" s="161"/>
      <c r="D609" s="161"/>
      <c r="F609" s="161"/>
      <c r="G609" s="161"/>
      <c r="H609" s="161"/>
      <c r="I609" s="161"/>
      <c r="J609" s="161"/>
      <c r="M609" s="161"/>
      <c r="N609" s="161"/>
      <c r="R609" s="161"/>
      <c r="S609" s="161"/>
      <c r="W609" s="161"/>
      <c r="X609" s="161"/>
      <c r="Y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L609" s="161"/>
      <c r="AN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BA609" s="161"/>
      <c r="BC609" s="161"/>
    </row>
    <row r="610">
      <c r="B610" s="161"/>
      <c r="C610" s="161"/>
      <c r="D610" s="161"/>
      <c r="F610" s="161"/>
      <c r="G610" s="161"/>
      <c r="H610" s="161"/>
      <c r="I610" s="161"/>
      <c r="J610" s="161"/>
      <c r="M610" s="161"/>
      <c r="N610" s="161"/>
      <c r="R610" s="161"/>
      <c r="S610" s="161"/>
      <c r="W610" s="161"/>
      <c r="X610" s="161"/>
      <c r="Y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L610" s="161"/>
      <c r="AN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BA610" s="161"/>
      <c r="BC610" s="161"/>
    </row>
    <row r="611">
      <c r="B611" s="161"/>
      <c r="C611" s="161"/>
      <c r="D611" s="161"/>
      <c r="F611" s="161"/>
      <c r="G611" s="161"/>
      <c r="H611" s="161"/>
      <c r="I611" s="161"/>
      <c r="J611" s="161"/>
      <c r="M611" s="161"/>
      <c r="N611" s="161"/>
      <c r="R611" s="161"/>
      <c r="S611" s="161"/>
      <c r="W611" s="161"/>
      <c r="X611" s="161"/>
      <c r="Y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L611" s="161"/>
      <c r="AN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BA611" s="161"/>
      <c r="BC611" s="161"/>
    </row>
    <row r="612">
      <c r="B612" s="161"/>
      <c r="C612" s="161"/>
      <c r="D612" s="161"/>
      <c r="F612" s="161"/>
      <c r="G612" s="161"/>
      <c r="H612" s="161"/>
      <c r="I612" s="161"/>
      <c r="J612" s="161"/>
      <c r="M612" s="161"/>
      <c r="N612" s="161"/>
      <c r="R612" s="161"/>
      <c r="S612" s="161"/>
      <c r="W612" s="161"/>
      <c r="X612" s="161"/>
      <c r="Y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L612" s="161"/>
      <c r="AN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BA612" s="161"/>
      <c r="BC612" s="161"/>
    </row>
    <row r="613">
      <c r="B613" s="161"/>
      <c r="C613" s="161"/>
      <c r="D613" s="161"/>
      <c r="F613" s="161"/>
      <c r="G613" s="161"/>
      <c r="H613" s="161"/>
      <c r="I613" s="161"/>
      <c r="J613" s="161"/>
      <c r="M613" s="161"/>
      <c r="N613" s="161"/>
      <c r="R613" s="161"/>
      <c r="S613" s="161"/>
      <c r="W613" s="161"/>
      <c r="X613" s="161"/>
      <c r="Y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L613" s="161"/>
      <c r="AN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BA613" s="161"/>
      <c r="BC613" s="161"/>
    </row>
    <row r="614">
      <c r="B614" s="161"/>
      <c r="C614" s="161"/>
      <c r="D614" s="161"/>
      <c r="F614" s="161"/>
      <c r="G614" s="161"/>
      <c r="H614" s="161"/>
      <c r="I614" s="161"/>
      <c r="J614" s="161"/>
      <c r="M614" s="161"/>
      <c r="N614" s="161"/>
      <c r="R614" s="161"/>
      <c r="S614" s="161"/>
      <c r="W614" s="161"/>
      <c r="X614" s="161"/>
      <c r="Y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L614" s="161"/>
      <c r="AN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BA614" s="161"/>
      <c r="BC614" s="161"/>
    </row>
    <row r="615">
      <c r="B615" s="161"/>
      <c r="C615" s="161"/>
      <c r="D615" s="161"/>
      <c r="F615" s="161"/>
      <c r="G615" s="161"/>
      <c r="H615" s="161"/>
      <c r="I615" s="161"/>
      <c r="J615" s="161"/>
      <c r="M615" s="161"/>
      <c r="N615" s="161"/>
      <c r="R615" s="161"/>
      <c r="S615" s="161"/>
      <c r="W615" s="161"/>
      <c r="X615" s="161"/>
      <c r="Y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L615" s="161"/>
      <c r="AN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BA615" s="161"/>
      <c r="BC615" s="161"/>
    </row>
    <row r="616">
      <c r="B616" s="161"/>
      <c r="C616" s="161"/>
      <c r="D616" s="161"/>
      <c r="F616" s="161"/>
      <c r="G616" s="161"/>
      <c r="H616" s="161"/>
      <c r="I616" s="161"/>
      <c r="J616" s="161"/>
      <c r="M616" s="161"/>
      <c r="N616" s="161"/>
      <c r="R616" s="161"/>
      <c r="S616" s="161"/>
      <c r="W616" s="161"/>
      <c r="X616" s="161"/>
      <c r="Y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L616" s="161"/>
      <c r="AN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BA616" s="161"/>
      <c r="BC616" s="161"/>
    </row>
    <row r="617">
      <c r="B617" s="161"/>
      <c r="C617" s="161"/>
      <c r="D617" s="161"/>
      <c r="F617" s="161"/>
      <c r="G617" s="161"/>
      <c r="H617" s="161"/>
      <c r="I617" s="161"/>
      <c r="J617" s="161"/>
      <c r="M617" s="161"/>
      <c r="N617" s="161"/>
      <c r="R617" s="161"/>
      <c r="S617" s="161"/>
      <c r="W617" s="161"/>
      <c r="X617" s="161"/>
      <c r="Y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L617" s="161"/>
      <c r="AN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BA617" s="161"/>
      <c r="BC617" s="161"/>
    </row>
    <row r="618">
      <c r="B618" s="161"/>
      <c r="C618" s="161"/>
      <c r="D618" s="161"/>
      <c r="F618" s="161"/>
      <c r="G618" s="161"/>
      <c r="H618" s="161"/>
      <c r="I618" s="161"/>
      <c r="J618" s="161"/>
      <c r="M618" s="161"/>
      <c r="N618" s="161"/>
      <c r="R618" s="161"/>
      <c r="S618" s="161"/>
      <c r="W618" s="161"/>
      <c r="X618" s="161"/>
      <c r="Y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L618" s="161"/>
      <c r="AN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BA618" s="161"/>
      <c r="BC618" s="161"/>
    </row>
    <row r="619">
      <c r="B619" s="161"/>
      <c r="C619" s="161"/>
      <c r="D619" s="161"/>
      <c r="F619" s="161"/>
      <c r="G619" s="161"/>
      <c r="H619" s="161"/>
      <c r="I619" s="161"/>
      <c r="J619" s="161"/>
      <c r="M619" s="161"/>
      <c r="N619" s="161"/>
      <c r="R619" s="161"/>
      <c r="S619" s="161"/>
      <c r="W619" s="161"/>
      <c r="X619" s="161"/>
      <c r="Y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L619" s="161"/>
      <c r="AN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BA619" s="161"/>
      <c r="BC619" s="161"/>
    </row>
    <row r="620">
      <c r="B620" s="161"/>
      <c r="C620" s="161"/>
      <c r="D620" s="161"/>
      <c r="F620" s="161"/>
      <c r="G620" s="161"/>
      <c r="H620" s="161"/>
      <c r="I620" s="161"/>
      <c r="J620" s="161"/>
      <c r="M620" s="161"/>
      <c r="N620" s="161"/>
      <c r="R620" s="161"/>
      <c r="S620" s="161"/>
      <c r="W620" s="161"/>
      <c r="X620" s="161"/>
      <c r="Y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L620" s="161"/>
      <c r="AN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BA620" s="161"/>
      <c r="BC620" s="161"/>
    </row>
    <row r="621">
      <c r="B621" s="161"/>
      <c r="C621" s="161"/>
      <c r="D621" s="161"/>
      <c r="F621" s="161"/>
      <c r="G621" s="161"/>
      <c r="H621" s="161"/>
      <c r="I621" s="161"/>
      <c r="J621" s="161"/>
      <c r="M621" s="161"/>
      <c r="N621" s="161"/>
      <c r="R621" s="161"/>
      <c r="S621" s="161"/>
      <c r="W621" s="161"/>
      <c r="X621" s="161"/>
      <c r="Y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L621" s="161"/>
      <c r="AN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BA621" s="161"/>
      <c r="BC621" s="161"/>
    </row>
    <row r="622">
      <c r="B622" s="161"/>
      <c r="C622" s="161"/>
      <c r="D622" s="161"/>
      <c r="F622" s="161"/>
      <c r="G622" s="161"/>
      <c r="H622" s="161"/>
      <c r="I622" s="161"/>
      <c r="J622" s="161"/>
      <c r="M622" s="161"/>
      <c r="N622" s="161"/>
      <c r="R622" s="161"/>
      <c r="S622" s="161"/>
      <c r="W622" s="161"/>
      <c r="X622" s="161"/>
      <c r="Y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L622" s="161"/>
      <c r="AN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BA622" s="161"/>
      <c r="BC622" s="161"/>
    </row>
    <row r="623">
      <c r="B623" s="161"/>
      <c r="C623" s="161"/>
      <c r="D623" s="161"/>
      <c r="F623" s="161"/>
      <c r="G623" s="161"/>
      <c r="H623" s="161"/>
      <c r="I623" s="161"/>
      <c r="J623" s="161"/>
      <c r="M623" s="161"/>
      <c r="N623" s="161"/>
      <c r="R623" s="161"/>
      <c r="S623" s="161"/>
      <c r="W623" s="161"/>
      <c r="X623" s="161"/>
      <c r="Y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L623" s="161"/>
      <c r="AN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BA623" s="161"/>
      <c r="BC623" s="161"/>
    </row>
    <row r="624">
      <c r="B624" s="161"/>
      <c r="C624" s="161"/>
      <c r="D624" s="161"/>
      <c r="F624" s="161"/>
      <c r="G624" s="161"/>
      <c r="H624" s="161"/>
      <c r="I624" s="161"/>
      <c r="J624" s="161"/>
      <c r="M624" s="161"/>
      <c r="N624" s="161"/>
      <c r="R624" s="161"/>
      <c r="S624" s="161"/>
      <c r="W624" s="161"/>
      <c r="X624" s="161"/>
      <c r="Y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L624" s="161"/>
      <c r="AN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BA624" s="161"/>
      <c r="BC624" s="161"/>
    </row>
    <row r="625">
      <c r="B625" s="161"/>
      <c r="C625" s="161"/>
      <c r="D625" s="161"/>
      <c r="F625" s="161"/>
      <c r="G625" s="161"/>
      <c r="H625" s="161"/>
      <c r="I625" s="161"/>
      <c r="J625" s="161"/>
      <c r="M625" s="161"/>
      <c r="N625" s="161"/>
      <c r="R625" s="161"/>
      <c r="S625" s="161"/>
      <c r="W625" s="161"/>
      <c r="X625" s="161"/>
      <c r="Y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L625" s="161"/>
      <c r="AN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BA625" s="161"/>
      <c r="BC625" s="161"/>
    </row>
    <row r="626">
      <c r="B626" s="161"/>
      <c r="C626" s="161"/>
      <c r="D626" s="161"/>
      <c r="F626" s="161"/>
      <c r="G626" s="161"/>
      <c r="H626" s="161"/>
      <c r="I626" s="161"/>
      <c r="J626" s="161"/>
      <c r="M626" s="161"/>
      <c r="N626" s="161"/>
      <c r="R626" s="161"/>
      <c r="S626" s="161"/>
      <c r="W626" s="161"/>
      <c r="X626" s="161"/>
      <c r="Y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L626" s="161"/>
      <c r="AN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BA626" s="161"/>
      <c r="BC626" s="161"/>
    </row>
    <row r="627">
      <c r="B627" s="161"/>
      <c r="C627" s="161"/>
      <c r="D627" s="161"/>
      <c r="F627" s="161"/>
      <c r="G627" s="161"/>
      <c r="H627" s="161"/>
      <c r="I627" s="161"/>
      <c r="J627" s="161"/>
      <c r="M627" s="161"/>
      <c r="N627" s="161"/>
      <c r="R627" s="161"/>
      <c r="S627" s="161"/>
      <c r="W627" s="161"/>
      <c r="X627" s="161"/>
      <c r="Y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L627" s="161"/>
      <c r="AN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BA627" s="161"/>
      <c r="BC627" s="161"/>
    </row>
    <row r="628">
      <c r="B628" s="161"/>
      <c r="C628" s="161"/>
      <c r="D628" s="161"/>
      <c r="F628" s="161"/>
      <c r="G628" s="161"/>
      <c r="H628" s="161"/>
      <c r="I628" s="161"/>
      <c r="J628" s="161"/>
      <c r="M628" s="161"/>
      <c r="N628" s="161"/>
      <c r="R628" s="161"/>
      <c r="S628" s="161"/>
      <c r="W628" s="161"/>
      <c r="X628" s="161"/>
      <c r="Y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L628" s="161"/>
      <c r="AN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BA628" s="161"/>
      <c r="BC628" s="161"/>
    </row>
    <row r="629">
      <c r="B629" s="161"/>
      <c r="C629" s="161"/>
      <c r="D629" s="161"/>
      <c r="F629" s="161"/>
      <c r="G629" s="161"/>
      <c r="H629" s="161"/>
      <c r="I629" s="161"/>
      <c r="J629" s="161"/>
      <c r="M629" s="161"/>
      <c r="N629" s="161"/>
      <c r="R629" s="161"/>
      <c r="S629" s="161"/>
      <c r="W629" s="161"/>
      <c r="X629" s="161"/>
      <c r="Y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L629" s="161"/>
      <c r="AN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BA629" s="161"/>
      <c r="BC629" s="161"/>
    </row>
    <row r="630">
      <c r="B630" s="161"/>
      <c r="C630" s="161"/>
      <c r="D630" s="161"/>
      <c r="F630" s="161"/>
      <c r="G630" s="161"/>
      <c r="H630" s="161"/>
      <c r="I630" s="161"/>
      <c r="J630" s="161"/>
      <c r="M630" s="161"/>
      <c r="N630" s="161"/>
      <c r="R630" s="161"/>
      <c r="S630" s="161"/>
      <c r="W630" s="161"/>
      <c r="X630" s="161"/>
      <c r="Y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L630" s="161"/>
      <c r="AN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BA630" s="161"/>
      <c r="BC630" s="161"/>
    </row>
    <row r="631">
      <c r="B631" s="161"/>
      <c r="C631" s="161"/>
      <c r="D631" s="161"/>
      <c r="F631" s="161"/>
      <c r="G631" s="161"/>
      <c r="H631" s="161"/>
      <c r="I631" s="161"/>
      <c r="J631" s="161"/>
      <c r="M631" s="161"/>
      <c r="N631" s="161"/>
      <c r="R631" s="161"/>
      <c r="S631" s="161"/>
      <c r="W631" s="161"/>
      <c r="X631" s="161"/>
      <c r="Y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L631" s="161"/>
      <c r="AN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BA631" s="161"/>
      <c r="BC631" s="161"/>
    </row>
    <row r="632">
      <c r="B632" s="161"/>
      <c r="C632" s="161"/>
      <c r="D632" s="161"/>
      <c r="F632" s="161"/>
      <c r="G632" s="161"/>
      <c r="H632" s="161"/>
      <c r="I632" s="161"/>
      <c r="J632" s="161"/>
      <c r="M632" s="161"/>
      <c r="N632" s="161"/>
      <c r="R632" s="161"/>
      <c r="S632" s="161"/>
      <c r="W632" s="161"/>
      <c r="X632" s="161"/>
      <c r="Y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L632" s="161"/>
      <c r="AN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BA632" s="161"/>
      <c r="BC632" s="161"/>
    </row>
    <row r="633">
      <c r="B633" s="161"/>
      <c r="C633" s="161"/>
      <c r="D633" s="161"/>
      <c r="F633" s="161"/>
      <c r="G633" s="161"/>
      <c r="H633" s="161"/>
      <c r="I633" s="161"/>
      <c r="J633" s="161"/>
      <c r="M633" s="161"/>
      <c r="N633" s="161"/>
      <c r="R633" s="161"/>
      <c r="S633" s="161"/>
      <c r="W633" s="161"/>
      <c r="X633" s="161"/>
      <c r="Y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L633" s="161"/>
      <c r="AN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BA633" s="161"/>
      <c r="BC633" s="161"/>
    </row>
    <row r="634">
      <c r="B634" s="161"/>
      <c r="C634" s="161"/>
      <c r="D634" s="161"/>
      <c r="F634" s="161"/>
      <c r="G634" s="161"/>
      <c r="H634" s="161"/>
      <c r="I634" s="161"/>
      <c r="J634" s="161"/>
      <c r="M634" s="161"/>
      <c r="N634" s="161"/>
      <c r="R634" s="161"/>
      <c r="S634" s="161"/>
      <c r="W634" s="161"/>
      <c r="X634" s="161"/>
      <c r="Y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L634" s="161"/>
      <c r="AN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BA634" s="161"/>
      <c r="BC634" s="161"/>
    </row>
    <row r="635">
      <c r="B635" s="161"/>
      <c r="C635" s="161"/>
      <c r="D635" s="161"/>
      <c r="F635" s="161"/>
      <c r="G635" s="161"/>
      <c r="H635" s="161"/>
      <c r="I635" s="161"/>
      <c r="J635" s="161"/>
      <c r="M635" s="161"/>
      <c r="N635" s="161"/>
      <c r="R635" s="161"/>
      <c r="S635" s="161"/>
      <c r="W635" s="161"/>
      <c r="X635" s="161"/>
      <c r="Y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L635" s="161"/>
      <c r="AN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BA635" s="161"/>
      <c r="BC635" s="161"/>
    </row>
    <row r="636">
      <c r="B636" s="161"/>
      <c r="C636" s="161"/>
      <c r="D636" s="161"/>
      <c r="F636" s="161"/>
      <c r="G636" s="161"/>
      <c r="H636" s="161"/>
      <c r="I636" s="161"/>
      <c r="J636" s="161"/>
      <c r="M636" s="161"/>
      <c r="N636" s="161"/>
      <c r="R636" s="161"/>
      <c r="S636" s="161"/>
      <c r="W636" s="161"/>
      <c r="X636" s="161"/>
      <c r="Y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L636" s="161"/>
      <c r="AN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BA636" s="161"/>
      <c r="BC636" s="161"/>
    </row>
    <row r="637">
      <c r="B637" s="161"/>
      <c r="C637" s="161"/>
      <c r="D637" s="161"/>
      <c r="F637" s="161"/>
      <c r="G637" s="161"/>
      <c r="H637" s="161"/>
      <c r="I637" s="161"/>
      <c r="J637" s="161"/>
      <c r="M637" s="161"/>
      <c r="N637" s="161"/>
      <c r="R637" s="161"/>
      <c r="S637" s="161"/>
      <c r="W637" s="161"/>
      <c r="X637" s="161"/>
      <c r="Y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L637" s="161"/>
      <c r="AN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BA637" s="161"/>
      <c r="BC637" s="161"/>
    </row>
    <row r="638">
      <c r="B638" s="161"/>
      <c r="C638" s="161"/>
      <c r="D638" s="161"/>
      <c r="F638" s="161"/>
      <c r="G638" s="161"/>
      <c r="H638" s="161"/>
      <c r="I638" s="161"/>
      <c r="J638" s="161"/>
      <c r="M638" s="161"/>
      <c r="N638" s="161"/>
      <c r="R638" s="161"/>
      <c r="S638" s="161"/>
      <c r="W638" s="161"/>
      <c r="X638" s="161"/>
      <c r="Y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L638" s="161"/>
      <c r="AN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BA638" s="161"/>
      <c r="BC638" s="161"/>
    </row>
    <row r="639">
      <c r="B639" s="161"/>
      <c r="C639" s="161"/>
      <c r="D639" s="161"/>
      <c r="F639" s="161"/>
      <c r="G639" s="161"/>
      <c r="H639" s="161"/>
      <c r="I639" s="161"/>
      <c r="J639" s="161"/>
      <c r="M639" s="161"/>
      <c r="N639" s="161"/>
      <c r="R639" s="161"/>
      <c r="S639" s="161"/>
      <c r="W639" s="161"/>
      <c r="X639" s="161"/>
      <c r="Y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L639" s="161"/>
      <c r="AN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BA639" s="161"/>
      <c r="BC639" s="161"/>
    </row>
    <row r="640">
      <c r="B640" s="161"/>
      <c r="C640" s="161"/>
      <c r="D640" s="161"/>
      <c r="F640" s="161"/>
      <c r="G640" s="161"/>
      <c r="H640" s="161"/>
      <c r="I640" s="161"/>
      <c r="J640" s="161"/>
      <c r="M640" s="161"/>
      <c r="N640" s="161"/>
      <c r="R640" s="161"/>
      <c r="S640" s="161"/>
      <c r="W640" s="161"/>
      <c r="X640" s="161"/>
      <c r="Y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L640" s="161"/>
      <c r="AN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BA640" s="161"/>
      <c r="BC640" s="161"/>
    </row>
    <row r="641">
      <c r="B641" s="161"/>
      <c r="C641" s="161"/>
      <c r="D641" s="161"/>
      <c r="F641" s="161"/>
      <c r="G641" s="161"/>
      <c r="H641" s="161"/>
      <c r="I641" s="161"/>
      <c r="J641" s="161"/>
      <c r="M641" s="161"/>
      <c r="N641" s="161"/>
      <c r="R641" s="161"/>
      <c r="S641" s="161"/>
      <c r="W641" s="161"/>
      <c r="X641" s="161"/>
      <c r="Y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L641" s="161"/>
      <c r="AN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BA641" s="161"/>
      <c r="BC641" s="161"/>
    </row>
    <row r="642">
      <c r="B642" s="161"/>
      <c r="C642" s="161"/>
      <c r="D642" s="161"/>
      <c r="F642" s="161"/>
      <c r="G642" s="161"/>
      <c r="H642" s="161"/>
      <c r="I642" s="161"/>
      <c r="J642" s="161"/>
      <c r="M642" s="161"/>
      <c r="N642" s="161"/>
      <c r="R642" s="161"/>
      <c r="S642" s="161"/>
      <c r="W642" s="161"/>
      <c r="X642" s="161"/>
      <c r="Y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L642" s="161"/>
      <c r="AN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BA642" s="161"/>
      <c r="BC642" s="161"/>
    </row>
    <row r="643">
      <c r="B643" s="161"/>
      <c r="C643" s="161"/>
      <c r="D643" s="161"/>
      <c r="F643" s="161"/>
      <c r="G643" s="161"/>
      <c r="H643" s="161"/>
      <c r="I643" s="161"/>
      <c r="J643" s="161"/>
      <c r="M643" s="161"/>
      <c r="N643" s="161"/>
      <c r="R643" s="161"/>
      <c r="S643" s="161"/>
      <c r="W643" s="161"/>
      <c r="X643" s="161"/>
      <c r="Y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L643" s="161"/>
      <c r="AN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BA643" s="161"/>
      <c r="BC643" s="161"/>
    </row>
    <row r="644">
      <c r="B644" s="161"/>
      <c r="C644" s="161"/>
      <c r="D644" s="161"/>
      <c r="F644" s="161"/>
      <c r="G644" s="161"/>
      <c r="H644" s="161"/>
      <c r="I644" s="161"/>
      <c r="J644" s="161"/>
      <c r="M644" s="161"/>
      <c r="N644" s="161"/>
      <c r="R644" s="161"/>
      <c r="S644" s="161"/>
      <c r="W644" s="161"/>
      <c r="X644" s="161"/>
      <c r="Y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L644" s="161"/>
      <c r="AN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BA644" s="161"/>
      <c r="BC644" s="161"/>
    </row>
    <row r="645">
      <c r="B645" s="161"/>
      <c r="C645" s="161"/>
      <c r="D645" s="161"/>
      <c r="F645" s="161"/>
      <c r="G645" s="161"/>
      <c r="H645" s="161"/>
      <c r="I645" s="161"/>
      <c r="J645" s="161"/>
      <c r="M645" s="161"/>
      <c r="N645" s="161"/>
      <c r="R645" s="161"/>
      <c r="S645" s="161"/>
      <c r="W645" s="161"/>
      <c r="X645" s="161"/>
      <c r="Y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L645" s="161"/>
      <c r="AN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BA645" s="161"/>
      <c r="BC645" s="161"/>
    </row>
    <row r="646">
      <c r="B646" s="161"/>
      <c r="C646" s="161"/>
      <c r="D646" s="161"/>
      <c r="F646" s="161"/>
      <c r="G646" s="161"/>
      <c r="H646" s="161"/>
      <c r="I646" s="161"/>
      <c r="J646" s="161"/>
      <c r="M646" s="161"/>
      <c r="N646" s="161"/>
      <c r="R646" s="161"/>
      <c r="S646" s="161"/>
      <c r="W646" s="161"/>
      <c r="X646" s="161"/>
      <c r="Y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L646" s="161"/>
      <c r="AN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BA646" s="161"/>
      <c r="BC646" s="161"/>
    </row>
    <row r="647">
      <c r="B647" s="161"/>
      <c r="C647" s="161"/>
      <c r="D647" s="161"/>
      <c r="F647" s="161"/>
      <c r="G647" s="161"/>
      <c r="H647" s="161"/>
      <c r="I647" s="161"/>
      <c r="J647" s="161"/>
      <c r="M647" s="161"/>
      <c r="N647" s="161"/>
      <c r="R647" s="161"/>
      <c r="S647" s="161"/>
      <c r="W647" s="161"/>
      <c r="X647" s="161"/>
      <c r="Y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L647" s="161"/>
      <c r="AN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BA647" s="161"/>
      <c r="BC647" s="161"/>
    </row>
    <row r="648">
      <c r="B648" s="161"/>
      <c r="C648" s="161"/>
      <c r="D648" s="161"/>
      <c r="F648" s="161"/>
      <c r="G648" s="161"/>
      <c r="H648" s="161"/>
      <c r="I648" s="161"/>
      <c r="J648" s="161"/>
      <c r="M648" s="161"/>
      <c r="N648" s="161"/>
      <c r="R648" s="161"/>
      <c r="S648" s="161"/>
      <c r="W648" s="161"/>
      <c r="X648" s="161"/>
      <c r="Y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L648" s="161"/>
      <c r="AN648" s="161"/>
      <c r="AP648" s="161"/>
      <c r="AQ648" s="161"/>
      <c r="AR648" s="161"/>
      <c r="AS648" s="161"/>
      <c r="AT648" s="161"/>
      <c r="AU648" s="161"/>
      <c r="AV648" s="161"/>
      <c r="AW648" s="161"/>
      <c r="AX648" s="161"/>
      <c r="BA648" s="161"/>
      <c r="BC648" s="161"/>
    </row>
    <row r="649">
      <c r="B649" s="161"/>
      <c r="C649" s="161"/>
      <c r="D649" s="161"/>
      <c r="F649" s="161"/>
      <c r="G649" s="161"/>
      <c r="H649" s="161"/>
      <c r="I649" s="161"/>
      <c r="J649" s="161"/>
      <c r="M649" s="161"/>
      <c r="N649" s="161"/>
      <c r="R649" s="161"/>
      <c r="S649" s="161"/>
      <c r="W649" s="161"/>
      <c r="X649" s="161"/>
      <c r="Y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L649" s="161"/>
      <c r="AN649" s="161"/>
      <c r="AP649" s="161"/>
      <c r="AQ649" s="161"/>
      <c r="AR649" s="161"/>
      <c r="AS649" s="161"/>
      <c r="AT649" s="161"/>
      <c r="AU649" s="161"/>
      <c r="AV649" s="161"/>
      <c r="AW649" s="161"/>
      <c r="AX649" s="161"/>
      <c r="BA649" s="161"/>
      <c r="BC649" s="161"/>
    </row>
    <row r="650">
      <c r="B650" s="161"/>
      <c r="C650" s="161"/>
      <c r="D650" s="161"/>
      <c r="F650" s="161"/>
      <c r="G650" s="161"/>
      <c r="H650" s="161"/>
      <c r="I650" s="161"/>
      <c r="J650" s="161"/>
      <c r="M650" s="161"/>
      <c r="N650" s="161"/>
      <c r="R650" s="161"/>
      <c r="S650" s="161"/>
      <c r="W650" s="161"/>
      <c r="X650" s="161"/>
      <c r="Y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L650" s="161"/>
      <c r="AN650" s="161"/>
      <c r="AP650" s="161"/>
      <c r="AQ650" s="161"/>
      <c r="AR650" s="161"/>
      <c r="AS650" s="161"/>
      <c r="AT650" s="161"/>
      <c r="AU650" s="161"/>
      <c r="AV650" s="161"/>
      <c r="AW650" s="161"/>
      <c r="AX650" s="161"/>
      <c r="BA650" s="161"/>
      <c r="BC650" s="161"/>
    </row>
    <row r="651">
      <c r="B651" s="161"/>
      <c r="C651" s="161"/>
      <c r="D651" s="161"/>
      <c r="F651" s="161"/>
      <c r="G651" s="161"/>
      <c r="H651" s="161"/>
      <c r="I651" s="161"/>
      <c r="J651" s="161"/>
      <c r="M651" s="161"/>
      <c r="N651" s="161"/>
      <c r="R651" s="161"/>
      <c r="S651" s="161"/>
      <c r="W651" s="161"/>
      <c r="X651" s="161"/>
      <c r="Y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L651" s="161"/>
      <c r="AN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BA651" s="161"/>
      <c r="BC651" s="161"/>
    </row>
    <row r="652">
      <c r="B652" s="161"/>
      <c r="C652" s="161"/>
      <c r="D652" s="161"/>
      <c r="F652" s="161"/>
      <c r="G652" s="161"/>
      <c r="H652" s="161"/>
      <c r="I652" s="161"/>
      <c r="J652" s="161"/>
      <c r="M652" s="161"/>
      <c r="N652" s="161"/>
      <c r="R652" s="161"/>
      <c r="S652" s="161"/>
      <c r="W652" s="161"/>
      <c r="X652" s="161"/>
      <c r="Y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L652" s="161"/>
      <c r="AN652" s="161"/>
      <c r="AP652" s="161"/>
      <c r="AQ652" s="161"/>
      <c r="AR652" s="161"/>
      <c r="AS652" s="161"/>
      <c r="AT652" s="161"/>
      <c r="AU652" s="161"/>
      <c r="AV652" s="161"/>
      <c r="AW652" s="161"/>
      <c r="AX652" s="161"/>
      <c r="BA652" s="161"/>
      <c r="BC652" s="161"/>
    </row>
    <row r="653">
      <c r="B653" s="161"/>
      <c r="C653" s="161"/>
      <c r="D653" s="161"/>
      <c r="F653" s="161"/>
      <c r="G653" s="161"/>
      <c r="H653" s="161"/>
      <c r="I653" s="161"/>
      <c r="J653" s="161"/>
      <c r="M653" s="161"/>
      <c r="N653" s="161"/>
      <c r="R653" s="161"/>
      <c r="S653" s="161"/>
      <c r="W653" s="161"/>
      <c r="X653" s="161"/>
      <c r="Y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L653" s="161"/>
      <c r="AN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BA653" s="161"/>
      <c r="BC653" s="161"/>
    </row>
    <row r="654">
      <c r="B654" s="161"/>
      <c r="C654" s="161"/>
      <c r="D654" s="161"/>
      <c r="F654" s="161"/>
      <c r="G654" s="161"/>
      <c r="H654" s="161"/>
      <c r="I654" s="161"/>
      <c r="J654" s="161"/>
      <c r="M654" s="161"/>
      <c r="N654" s="161"/>
      <c r="R654" s="161"/>
      <c r="S654" s="161"/>
      <c r="W654" s="161"/>
      <c r="X654" s="161"/>
      <c r="Y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L654" s="161"/>
      <c r="AN654" s="161"/>
      <c r="AP654" s="161"/>
      <c r="AQ654" s="161"/>
      <c r="AR654" s="161"/>
      <c r="AS654" s="161"/>
      <c r="AT654" s="161"/>
      <c r="AU654" s="161"/>
      <c r="AV654" s="161"/>
      <c r="AW654" s="161"/>
      <c r="AX654" s="161"/>
      <c r="BA654" s="161"/>
      <c r="BC654" s="161"/>
    </row>
    <row r="655">
      <c r="B655" s="161"/>
      <c r="C655" s="161"/>
      <c r="D655" s="161"/>
      <c r="F655" s="161"/>
      <c r="G655" s="161"/>
      <c r="H655" s="161"/>
      <c r="I655" s="161"/>
      <c r="J655" s="161"/>
      <c r="M655" s="161"/>
      <c r="N655" s="161"/>
      <c r="R655" s="161"/>
      <c r="S655" s="161"/>
      <c r="W655" s="161"/>
      <c r="X655" s="161"/>
      <c r="Y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L655" s="161"/>
      <c r="AN655" s="161"/>
      <c r="AP655" s="161"/>
      <c r="AQ655" s="161"/>
      <c r="AR655" s="161"/>
      <c r="AS655" s="161"/>
      <c r="AT655" s="161"/>
      <c r="AU655" s="161"/>
      <c r="AV655" s="161"/>
      <c r="AW655" s="161"/>
      <c r="AX655" s="161"/>
      <c r="BA655" s="161"/>
      <c r="BC655" s="161"/>
    </row>
    <row r="656">
      <c r="B656" s="161"/>
      <c r="C656" s="161"/>
      <c r="D656" s="161"/>
      <c r="F656" s="161"/>
      <c r="G656" s="161"/>
      <c r="H656" s="161"/>
      <c r="I656" s="161"/>
      <c r="J656" s="161"/>
      <c r="M656" s="161"/>
      <c r="N656" s="161"/>
      <c r="R656" s="161"/>
      <c r="S656" s="161"/>
      <c r="W656" s="161"/>
      <c r="X656" s="161"/>
      <c r="Y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L656" s="161"/>
      <c r="AN656" s="161"/>
      <c r="AP656" s="161"/>
      <c r="AQ656" s="161"/>
      <c r="AR656" s="161"/>
      <c r="AS656" s="161"/>
      <c r="AT656" s="161"/>
      <c r="AU656" s="161"/>
      <c r="AV656" s="161"/>
      <c r="AW656" s="161"/>
      <c r="AX656" s="161"/>
      <c r="BA656" s="161"/>
      <c r="BC656" s="161"/>
    </row>
    <row r="657">
      <c r="B657" s="161"/>
      <c r="C657" s="161"/>
      <c r="D657" s="161"/>
      <c r="F657" s="161"/>
      <c r="G657" s="161"/>
      <c r="H657" s="161"/>
      <c r="I657" s="161"/>
      <c r="J657" s="161"/>
      <c r="M657" s="161"/>
      <c r="N657" s="161"/>
      <c r="R657" s="161"/>
      <c r="S657" s="161"/>
      <c r="W657" s="161"/>
      <c r="X657" s="161"/>
      <c r="Y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L657" s="161"/>
      <c r="AN657" s="161"/>
      <c r="AP657" s="161"/>
      <c r="AQ657" s="161"/>
      <c r="AR657" s="161"/>
      <c r="AS657" s="161"/>
      <c r="AT657" s="161"/>
      <c r="AU657" s="161"/>
      <c r="AV657" s="161"/>
      <c r="AW657" s="161"/>
      <c r="AX657" s="161"/>
      <c r="BA657" s="161"/>
      <c r="BC657" s="161"/>
    </row>
    <row r="658">
      <c r="B658" s="161"/>
      <c r="C658" s="161"/>
      <c r="D658" s="161"/>
      <c r="F658" s="161"/>
      <c r="G658" s="161"/>
      <c r="H658" s="161"/>
      <c r="I658" s="161"/>
      <c r="J658" s="161"/>
      <c r="M658" s="161"/>
      <c r="N658" s="161"/>
      <c r="R658" s="161"/>
      <c r="S658" s="161"/>
      <c r="W658" s="161"/>
      <c r="X658" s="161"/>
      <c r="Y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L658" s="161"/>
      <c r="AN658" s="161"/>
      <c r="AP658" s="161"/>
      <c r="AQ658" s="161"/>
      <c r="AR658" s="161"/>
      <c r="AS658" s="161"/>
      <c r="AT658" s="161"/>
      <c r="AU658" s="161"/>
      <c r="AV658" s="161"/>
      <c r="AW658" s="161"/>
      <c r="AX658" s="161"/>
      <c r="BA658" s="161"/>
      <c r="BC658" s="161"/>
    </row>
    <row r="659">
      <c r="B659" s="161"/>
      <c r="C659" s="161"/>
      <c r="D659" s="161"/>
      <c r="F659" s="161"/>
      <c r="G659" s="161"/>
      <c r="H659" s="161"/>
      <c r="I659" s="161"/>
      <c r="J659" s="161"/>
      <c r="M659" s="161"/>
      <c r="N659" s="161"/>
      <c r="R659" s="161"/>
      <c r="S659" s="161"/>
      <c r="W659" s="161"/>
      <c r="X659" s="161"/>
      <c r="Y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L659" s="161"/>
      <c r="AN659" s="161"/>
      <c r="AP659" s="161"/>
      <c r="AQ659" s="161"/>
      <c r="AR659" s="161"/>
      <c r="AS659" s="161"/>
      <c r="AT659" s="161"/>
      <c r="AU659" s="161"/>
      <c r="AV659" s="161"/>
      <c r="AW659" s="161"/>
      <c r="AX659" s="161"/>
      <c r="BA659" s="161"/>
      <c r="BC659" s="161"/>
    </row>
    <row r="660">
      <c r="B660" s="161"/>
      <c r="C660" s="161"/>
      <c r="D660" s="161"/>
      <c r="F660" s="161"/>
      <c r="G660" s="161"/>
      <c r="H660" s="161"/>
      <c r="I660" s="161"/>
      <c r="J660" s="161"/>
      <c r="M660" s="161"/>
      <c r="N660" s="161"/>
      <c r="R660" s="161"/>
      <c r="S660" s="161"/>
      <c r="W660" s="161"/>
      <c r="X660" s="161"/>
      <c r="Y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L660" s="161"/>
      <c r="AN660" s="161"/>
      <c r="AP660" s="161"/>
      <c r="AQ660" s="161"/>
      <c r="AR660" s="161"/>
      <c r="AS660" s="161"/>
      <c r="AT660" s="161"/>
      <c r="AU660" s="161"/>
      <c r="AV660" s="161"/>
      <c r="AW660" s="161"/>
      <c r="AX660" s="161"/>
      <c r="BA660" s="161"/>
      <c r="BC660" s="161"/>
    </row>
    <row r="661">
      <c r="B661" s="161"/>
      <c r="C661" s="161"/>
      <c r="D661" s="161"/>
      <c r="F661" s="161"/>
      <c r="G661" s="161"/>
      <c r="H661" s="161"/>
      <c r="I661" s="161"/>
      <c r="J661" s="161"/>
      <c r="M661" s="161"/>
      <c r="N661" s="161"/>
      <c r="R661" s="161"/>
      <c r="S661" s="161"/>
      <c r="W661" s="161"/>
      <c r="X661" s="161"/>
      <c r="Y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L661" s="161"/>
      <c r="AN661" s="161"/>
      <c r="AP661" s="161"/>
      <c r="AQ661" s="161"/>
      <c r="AR661" s="161"/>
      <c r="AS661" s="161"/>
      <c r="AT661" s="161"/>
      <c r="AU661" s="161"/>
      <c r="AV661" s="161"/>
      <c r="AW661" s="161"/>
      <c r="AX661" s="161"/>
      <c r="BA661" s="161"/>
      <c r="BC661" s="161"/>
    </row>
    <row r="662">
      <c r="B662" s="161"/>
      <c r="C662" s="161"/>
      <c r="D662" s="161"/>
      <c r="F662" s="161"/>
      <c r="G662" s="161"/>
      <c r="H662" s="161"/>
      <c r="I662" s="161"/>
      <c r="J662" s="161"/>
      <c r="M662" s="161"/>
      <c r="N662" s="161"/>
      <c r="R662" s="161"/>
      <c r="S662" s="161"/>
      <c r="W662" s="161"/>
      <c r="X662" s="161"/>
      <c r="Y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L662" s="161"/>
      <c r="AN662" s="161"/>
      <c r="AP662" s="161"/>
      <c r="AQ662" s="161"/>
      <c r="AR662" s="161"/>
      <c r="AS662" s="161"/>
      <c r="AT662" s="161"/>
      <c r="AU662" s="161"/>
      <c r="AV662" s="161"/>
      <c r="AW662" s="161"/>
      <c r="AX662" s="161"/>
      <c r="BA662" s="161"/>
      <c r="BC662" s="161"/>
    </row>
    <row r="663">
      <c r="B663" s="161"/>
      <c r="C663" s="161"/>
      <c r="D663" s="161"/>
      <c r="F663" s="161"/>
      <c r="G663" s="161"/>
      <c r="H663" s="161"/>
      <c r="I663" s="161"/>
      <c r="J663" s="161"/>
      <c r="M663" s="161"/>
      <c r="N663" s="161"/>
      <c r="R663" s="161"/>
      <c r="S663" s="161"/>
      <c r="W663" s="161"/>
      <c r="X663" s="161"/>
      <c r="Y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L663" s="161"/>
      <c r="AN663" s="161"/>
      <c r="AP663" s="161"/>
      <c r="AQ663" s="161"/>
      <c r="AR663" s="161"/>
      <c r="AS663" s="161"/>
      <c r="AT663" s="161"/>
      <c r="AU663" s="161"/>
      <c r="AV663" s="161"/>
      <c r="AW663" s="161"/>
      <c r="AX663" s="161"/>
      <c r="BA663" s="161"/>
      <c r="BC663" s="161"/>
    </row>
    <row r="664">
      <c r="B664" s="161"/>
      <c r="C664" s="161"/>
      <c r="D664" s="161"/>
      <c r="F664" s="161"/>
      <c r="G664" s="161"/>
      <c r="H664" s="161"/>
      <c r="I664" s="161"/>
      <c r="J664" s="161"/>
      <c r="M664" s="161"/>
      <c r="N664" s="161"/>
      <c r="R664" s="161"/>
      <c r="S664" s="161"/>
      <c r="W664" s="161"/>
      <c r="X664" s="161"/>
      <c r="Y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L664" s="161"/>
      <c r="AN664" s="161"/>
      <c r="AP664" s="161"/>
      <c r="AQ664" s="161"/>
      <c r="AR664" s="161"/>
      <c r="AS664" s="161"/>
      <c r="AT664" s="161"/>
      <c r="AU664" s="161"/>
      <c r="AV664" s="161"/>
      <c r="AW664" s="161"/>
      <c r="AX664" s="161"/>
      <c r="BA664" s="161"/>
      <c r="BC664" s="161"/>
    </row>
    <row r="665">
      <c r="B665" s="161"/>
      <c r="C665" s="161"/>
      <c r="D665" s="161"/>
      <c r="F665" s="161"/>
      <c r="G665" s="161"/>
      <c r="H665" s="161"/>
      <c r="I665" s="161"/>
      <c r="J665" s="161"/>
      <c r="M665" s="161"/>
      <c r="N665" s="161"/>
      <c r="R665" s="161"/>
      <c r="S665" s="161"/>
      <c r="W665" s="161"/>
      <c r="X665" s="161"/>
      <c r="Y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L665" s="161"/>
      <c r="AN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BA665" s="161"/>
      <c r="BC665" s="161"/>
    </row>
    <row r="666">
      <c r="B666" s="161"/>
      <c r="C666" s="161"/>
      <c r="D666" s="161"/>
      <c r="F666" s="161"/>
      <c r="G666" s="161"/>
      <c r="H666" s="161"/>
      <c r="I666" s="161"/>
      <c r="J666" s="161"/>
      <c r="M666" s="161"/>
      <c r="N666" s="161"/>
      <c r="R666" s="161"/>
      <c r="S666" s="161"/>
      <c r="W666" s="161"/>
      <c r="X666" s="161"/>
      <c r="Y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L666" s="161"/>
      <c r="AN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BA666" s="161"/>
      <c r="BC666" s="161"/>
    </row>
    <row r="667">
      <c r="B667" s="161"/>
      <c r="C667" s="161"/>
      <c r="D667" s="161"/>
      <c r="F667" s="161"/>
      <c r="G667" s="161"/>
      <c r="H667" s="161"/>
      <c r="I667" s="161"/>
      <c r="J667" s="161"/>
      <c r="M667" s="161"/>
      <c r="N667" s="161"/>
      <c r="R667" s="161"/>
      <c r="S667" s="161"/>
      <c r="W667" s="161"/>
      <c r="X667" s="161"/>
      <c r="Y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L667" s="161"/>
      <c r="AN667" s="161"/>
      <c r="AP667" s="161"/>
      <c r="AQ667" s="161"/>
      <c r="AR667" s="161"/>
      <c r="AS667" s="161"/>
      <c r="AT667" s="161"/>
      <c r="AU667" s="161"/>
      <c r="AV667" s="161"/>
      <c r="AW667" s="161"/>
      <c r="AX667" s="161"/>
      <c r="BA667" s="161"/>
      <c r="BC667" s="161"/>
    </row>
    <row r="668">
      <c r="B668" s="161"/>
      <c r="C668" s="161"/>
      <c r="D668" s="161"/>
      <c r="F668" s="161"/>
      <c r="G668" s="161"/>
      <c r="H668" s="161"/>
      <c r="I668" s="161"/>
      <c r="J668" s="161"/>
      <c r="M668" s="161"/>
      <c r="N668" s="161"/>
      <c r="R668" s="161"/>
      <c r="S668" s="161"/>
      <c r="W668" s="161"/>
      <c r="X668" s="161"/>
      <c r="Y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L668" s="161"/>
      <c r="AN668" s="161"/>
      <c r="AP668" s="161"/>
      <c r="AQ668" s="161"/>
      <c r="AR668" s="161"/>
      <c r="AS668" s="161"/>
      <c r="AT668" s="161"/>
      <c r="AU668" s="161"/>
      <c r="AV668" s="161"/>
      <c r="AW668" s="161"/>
      <c r="AX668" s="161"/>
      <c r="BA668" s="161"/>
      <c r="BC668" s="161"/>
    </row>
    <row r="669">
      <c r="B669" s="161"/>
      <c r="C669" s="161"/>
      <c r="D669" s="161"/>
      <c r="F669" s="161"/>
      <c r="G669" s="161"/>
      <c r="H669" s="161"/>
      <c r="I669" s="161"/>
      <c r="J669" s="161"/>
      <c r="M669" s="161"/>
      <c r="N669" s="161"/>
      <c r="R669" s="161"/>
      <c r="S669" s="161"/>
      <c r="W669" s="161"/>
      <c r="X669" s="161"/>
      <c r="Y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L669" s="161"/>
      <c r="AN669" s="161"/>
      <c r="AP669" s="161"/>
      <c r="AQ669" s="161"/>
      <c r="AR669" s="161"/>
      <c r="AS669" s="161"/>
      <c r="AT669" s="161"/>
      <c r="AU669" s="161"/>
      <c r="AV669" s="161"/>
      <c r="AW669" s="161"/>
      <c r="AX669" s="161"/>
      <c r="BA669" s="161"/>
      <c r="BC669" s="161"/>
    </row>
    <row r="670">
      <c r="B670" s="161"/>
      <c r="C670" s="161"/>
      <c r="D670" s="161"/>
      <c r="F670" s="161"/>
      <c r="G670" s="161"/>
      <c r="H670" s="161"/>
      <c r="I670" s="161"/>
      <c r="J670" s="161"/>
      <c r="M670" s="161"/>
      <c r="N670" s="161"/>
      <c r="R670" s="161"/>
      <c r="S670" s="161"/>
      <c r="W670" s="161"/>
      <c r="X670" s="161"/>
      <c r="Y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L670" s="161"/>
      <c r="AN670" s="161"/>
      <c r="AP670" s="161"/>
      <c r="AQ670" s="161"/>
      <c r="AR670" s="161"/>
      <c r="AS670" s="161"/>
      <c r="AT670" s="161"/>
      <c r="AU670" s="161"/>
      <c r="AV670" s="161"/>
      <c r="AW670" s="161"/>
      <c r="AX670" s="161"/>
      <c r="BA670" s="161"/>
      <c r="BC670" s="161"/>
    </row>
    <row r="671">
      <c r="B671" s="161"/>
      <c r="C671" s="161"/>
      <c r="D671" s="161"/>
      <c r="F671" s="161"/>
      <c r="G671" s="161"/>
      <c r="H671" s="161"/>
      <c r="I671" s="161"/>
      <c r="J671" s="161"/>
      <c r="M671" s="161"/>
      <c r="N671" s="161"/>
      <c r="R671" s="161"/>
      <c r="S671" s="161"/>
      <c r="W671" s="161"/>
      <c r="X671" s="161"/>
      <c r="Y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L671" s="161"/>
      <c r="AN671" s="161"/>
      <c r="AP671" s="161"/>
      <c r="AQ671" s="161"/>
      <c r="AR671" s="161"/>
      <c r="AS671" s="161"/>
      <c r="AT671" s="161"/>
      <c r="AU671" s="161"/>
      <c r="AV671" s="161"/>
      <c r="AW671" s="161"/>
      <c r="AX671" s="161"/>
      <c r="BA671" s="161"/>
      <c r="BC671" s="161"/>
    </row>
    <row r="672">
      <c r="B672" s="161"/>
      <c r="C672" s="161"/>
      <c r="D672" s="161"/>
      <c r="F672" s="161"/>
      <c r="G672" s="161"/>
      <c r="H672" s="161"/>
      <c r="I672" s="161"/>
      <c r="J672" s="161"/>
      <c r="M672" s="161"/>
      <c r="N672" s="161"/>
      <c r="R672" s="161"/>
      <c r="S672" s="161"/>
      <c r="W672" s="161"/>
      <c r="X672" s="161"/>
      <c r="Y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L672" s="161"/>
      <c r="AN672" s="161"/>
      <c r="AP672" s="161"/>
      <c r="AQ672" s="161"/>
      <c r="AR672" s="161"/>
      <c r="AS672" s="161"/>
      <c r="AT672" s="161"/>
      <c r="AU672" s="161"/>
      <c r="AV672" s="161"/>
      <c r="AW672" s="161"/>
      <c r="AX672" s="161"/>
      <c r="BA672" s="161"/>
      <c r="BC672" s="161"/>
    </row>
    <row r="673">
      <c r="B673" s="161"/>
      <c r="C673" s="161"/>
      <c r="D673" s="161"/>
      <c r="F673" s="161"/>
      <c r="G673" s="161"/>
      <c r="H673" s="161"/>
      <c r="I673" s="161"/>
      <c r="J673" s="161"/>
      <c r="M673" s="161"/>
      <c r="N673" s="161"/>
      <c r="R673" s="161"/>
      <c r="S673" s="161"/>
      <c r="W673" s="161"/>
      <c r="X673" s="161"/>
      <c r="Y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L673" s="161"/>
      <c r="AN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BA673" s="161"/>
      <c r="BC673" s="161"/>
    </row>
    <row r="674">
      <c r="B674" s="161"/>
      <c r="C674" s="161"/>
      <c r="D674" s="161"/>
      <c r="F674" s="161"/>
      <c r="G674" s="161"/>
      <c r="H674" s="161"/>
      <c r="I674" s="161"/>
      <c r="J674" s="161"/>
      <c r="M674" s="161"/>
      <c r="N674" s="161"/>
      <c r="R674" s="161"/>
      <c r="S674" s="161"/>
      <c r="W674" s="161"/>
      <c r="X674" s="161"/>
      <c r="Y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L674" s="161"/>
      <c r="AN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BA674" s="161"/>
      <c r="BC674" s="161"/>
    </row>
    <row r="675">
      <c r="B675" s="161"/>
      <c r="C675" s="161"/>
      <c r="D675" s="161"/>
      <c r="F675" s="161"/>
      <c r="G675" s="161"/>
      <c r="H675" s="161"/>
      <c r="I675" s="161"/>
      <c r="J675" s="161"/>
      <c r="M675" s="161"/>
      <c r="N675" s="161"/>
      <c r="R675" s="161"/>
      <c r="S675" s="161"/>
      <c r="W675" s="161"/>
      <c r="X675" s="161"/>
      <c r="Y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L675" s="161"/>
      <c r="AN675" s="161"/>
      <c r="AP675" s="161"/>
      <c r="AQ675" s="161"/>
      <c r="AR675" s="161"/>
      <c r="AS675" s="161"/>
      <c r="AT675" s="161"/>
      <c r="AU675" s="161"/>
      <c r="AV675" s="161"/>
      <c r="AW675" s="161"/>
      <c r="AX675" s="161"/>
      <c r="BA675" s="161"/>
      <c r="BC675" s="161"/>
    </row>
    <row r="676">
      <c r="B676" s="161"/>
      <c r="C676" s="161"/>
      <c r="D676" s="161"/>
      <c r="F676" s="161"/>
      <c r="G676" s="161"/>
      <c r="H676" s="161"/>
      <c r="I676" s="161"/>
      <c r="J676" s="161"/>
      <c r="M676" s="161"/>
      <c r="N676" s="161"/>
      <c r="R676" s="161"/>
      <c r="S676" s="161"/>
      <c r="W676" s="161"/>
      <c r="X676" s="161"/>
      <c r="Y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L676" s="161"/>
      <c r="AN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BA676" s="161"/>
      <c r="BC676" s="161"/>
    </row>
    <row r="677">
      <c r="B677" s="161"/>
      <c r="C677" s="161"/>
      <c r="D677" s="161"/>
      <c r="F677" s="161"/>
      <c r="G677" s="161"/>
      <c r="H677" s="161"/>
      <c r="I677" s="161"/>
      <c r="J677" s="161"/>
      <c r="M677" s="161"/>
      <c r="N677" s="161"/>
      <c r="R677" s="161"/>
      <c r="S677" s="161"/>
      <c r="W677" s="161"/>
      <c r="X677" s="161"/>
      <c r="Y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L677" s="161"/>
      <c r="AN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BA677" s="161"/>
      <c r="BC677" s="161"/>
    </row>
    <row r="678">
      <c r="B678" s="161"/>
      <c r="C678" s="161"/>
      <c r="D678" s="161"/>
      <c r="F678" s="161"/>
      <c r="G678" s="161"/>
      <c r="H678" s="161"/>
      <c r="I678" s="161"/>
      <c r="J678" s="161"/>
      <c r="M678" s="161"/>
      <c r="N678" s="161"/>
      <c r="R678" s="161"/>
      <c r="S678" s="161"/>
      <c r="W678" s="161"/>
      <c r="X678" s="161"/>
      <c r="Y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L678" s="161"/>
      <c r="AN678" s="161"/>
      <c r="AP678" s="161"/>
      <c r="AQ678" s="161"/>
      <c r="AR678" s="161"/>
      <c r="AS678" s="161"/>
      <c r="AT678" s="161"/>
      <c r="AU678" s="161"/>
      <c r="AV678" s="161"/>
      <c r="AW678" s="161"/>
      <c r="AX678" s="161"/>
      <c r="BA678" s="161"/>
      <c r="BC678" s="161"/>
    </row>
    <row r="679">
      <c r="B679" s="161"/>
      <c r="C679" s="161"/>
      <c r="D679" s="161"/>
      <c r="F679" s="161"/>
      <c r="G679" s="161"/>
      <c r="H679" s="161"/>
      <c r="I679" s="161"/>
      <c r="J679" s="161"/>
      <c r="M679" s="161"/>
      <c r="N679" s="161"/>
      <c r="R679" s="161"/>
      <c r="S679" s="161"/>
      <c r="W679" s="161"/>
      <c r="X679" s="161"/>
      <c r="Y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L679" s="161"/>
      <c r="AN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BA679" s="161"/>
      <c r="BC679" s="161"/>
    </row>
    <row r="680">
      <c r="B680" s="161"/>
      <c r="C680" s="161"/>
      <c r="D680" s="161"/>
      <c r="F680" s="161"/>
      <c r="G680" s="161"/>
      <c r="H680" s="161"/>
      <c r="I680" s="161"/>
      <c r="J680" s="161"/>
      <c r="M680" s="161"/>
      <c r="N680" s="161"/>
      <c r="R680" s="161"/>
      <c r="S680" s="161"/>
      <c r="W680" s="161"/>
      <c r="X680" s="161"/>
      <c r="Y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L680" s="161"/>
      <c r="AN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BA680" s="161"/>
      <c r="BC680" s="161"/>
    </row>
    <row r="681">
      <c r="B681" s="161"/>
      <c r="C681" s="161"/>
      <c r="D681" s="161"/>
      <c r="F681" s="161"/>
      <c r="G681" s="161"/>
      <c r="H681" s="161"/>
      <c r="I681" s="161"/>
      <c r="J681" s="161"/>
      <c r="M681" s="161"/>
      <c r="N681" s="161"/>
      <c r="R681" s="161"/>
      <c r="S681" s="161"/>
      <c r="W681" s="161"/>
      <c r="X681" s="161"/>
      <c r="Y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L681" s="161"/>
      <c r="AN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BA681" s="161"/>
      <c r="BC681" s="161"/>
    </row>
    <row r="682">
      <c r="B682" s="161"/>
      <c r="C682" s="161"/>
      <c r="D682" s="161"/>
      <c r="F682" s="161"/>
      <c r="G682" s="161"/>
      <c r="H682" s="161"/>
      <c r="I682" s="161"/>
      <c r="J682" s="161"/>
      <c r="M682" s="161"/>
      <c r="N682" s="161"/>
      <c r="R682" s="161"/>
      <c r="S682" s="161"/>
      <c r="W682" s="161"/>
      <c r="X682" s="161"/>
      <c r="Y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L682" s="161"/>
      <c r="AN682" s="161"/>
      <c r="AP682" s="161"/>
      <c r="AQ682" s="161"/>
      <c r="AR682" s="161"/>
      <c r="AS682" s="161"/>
      <c r="AT682" s="161"/>
      <c r="AU682" s="161"/>
      <c r="AV682" s="161"/>
      <c r="AW682" s="161"/>
      <c r="AX682" s="161"/>
      <c r="BA682" s="161"/>
      <c r="BC682" s="161"/>
    </row>
    <row r="683">
      <c r="B683" s="161"/>
      <c r="C683" s="161"/>
      <c r="D683" s="161"/>
      <c r="F683" s="161"/>
      <c r="G683" s="161"/>
      <c r="H683" s="161"/>
      <c r="I683" s="161"/>
      <c r="J683" s="161"/>
      <c r="M683" s="161"/>
      <c r="N683" s="161"/>
      <c r="R683" s="161"/>
      <c r="S683" s="161"/>
      <c r="W683" s="161"/>
      <c r="X683" s="161"/>
      <c r="Y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L683" s="161"/>
      <c r="AN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BA683" s="161"/>
      <c r="BC683" s="161"/>
    </row>
    <row r="684">
      <c r="B684" s="161"/>
      <c r="C684" s="161"/>
      <c r="D684" s="161"/>
      <c r="F684" s="161"/>
      <c r="G684" s="161"/>
      <c r="H684" s="161"/>
      <c r="I684" s="161"/>
      <c r="J684" s="161"/>
      <c r="M684" s="161"/>
      <c r="N684" s="161"/>
      <c r="R684" s="161"/>
      <c r="S684" s="161"/>
      <c r="W684" s="161"/>
      <c r="X684" s="161"/>
      <c r="Y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L684" s="161"/>
      <c r="AN684" s="161"/>
      <c r="AP684" s="161"/>
      <c r="AQ684" s="161"/>
      <c r="AR684" s="161"/>
      <c r="AS684" s="161"/>
      <c r="AT684" s="161"/>
      <c r="AU684" s="161"/>
      <c r="AV684" s="161"/>
      <c r="AW684" s="161"/>
      <c r="AX684" s="161"/>
      <c r="BA684" s="161"/>
      <c r="BC684" s="161"/>
    </row>
    <row r="685">
      <c r="B685" s="161"/>
      <c r="C685" s="161"/>
      <c r="D685" s="161"/>
      <c r="F685" s="161"/>
      <c r="G685" s="161"/>
      <c r="H685" s="161"/>
      <c r="I685" s="161"/>
      <c r="J685" s="161"/>
      <c r="M685" s="161"/>
      <c r="N685" s="161"/>
      <c r="R685" s="161"/>
      <c r="S685" s="161"/>
      <c r="W685" s="161"/>
      <c r="X685" s="161"/>
      <c r="Y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L685" s="161"/>
      <c r="AN685" s="161"/>
      <c r="AP685" s="161"/>
      <c r="AQ685" s="161"/>
      <c r="AR685" s="161"/>
      <c r="AS685" s="161"/>
      <c r="AT685" s="161"/>
      <c r="AU685" s="161"/>
      <c r="AV685" s="161"/>
      <c r="AW685" s="161"/>
      <c r="AX685" s="161"/>
      <c r="BA685" s="161"/>
      <c r="BC685" s="161"/>
    </row>
    <row r="686">
      <c r="B686" s="161"/>
      <c r="C686" s="161"/>
      <c r="D686" s="161"/>
      <c r="F686" s="161"/>
      <c r="G686" s="161"/>
      <c r="H686" s="161"/>
      <c r="I686" s="161"/>
      <c r="J686" s="161"/>
      <c r="M686" s="161"/>
      <c r="N686" s="161"/>
      <c r="R686" s="161"/>
      <c r="S686" s="161"/>
      <c r="W686" s="161"/>
      <c r="X686" s="161"/>
      <c r="Y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L686" s="161"/>
      <c r="AN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BA686" s="161"/>
      <c r="BC686" s="161"/>
    </row>
    <row r="687">
      <c r="B687" s="161"/>
      <c r="C687" s="161"/>
      <c r="D687" s="161"/>
      <c r="F687" s="161"/>
      <c r="G687" s="161"/>
      <c r="H687" s="161"/>
      <c r="I687" s="161"/>
      <c r="J687" s="161"/>
      <c r="M687" s="161"/>
      <c r="N687" s="161"/>
      <c r="R687" s="161"/>
      <c r="S687" s="161"/>
      <c r="W687" s="161"/>
      <c r="X687" s="161"/>
      <c r="Y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L687" s="161"/>
      <c r="AN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BA687" s="161"/>
      <c r="BC687" s="161"/>
    </row>
    <row r="688">
      <c r="B688" s="161"/>
      <c r="C688" s="161"/>
      <c r="D688" s="161"/>
      <c r="F688" s="161"/>
      <c r="G688" s="161"/>
      <c r="H688" s="161"/>
      <c r="I688" s="161"/>
      <c r="J688" s="161"/>
      <c r="M688" s="161"/>
      <c r="N688" s="161"/>
      <c r="R688" s="161"/>
      <c r="S688" s="161"/>
      <c r="W688" s="161"/>
      <c r="X688" s="161"/>
      <c r="Y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L688" s="161"/>
      <c r="AN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BA688" s="161"/>
      <c r="BC688" s="161"/>
    </row>
    <row r="689">
      <c r="B689" s="161"/>
      <c r="C689" s="161"/>
      <c r="D689" s="161"/>
      <c r="F689" s="161"/>
      <c r="G689" s="161"/>
      <c r="H689" s="161"/>
      <c r="I689" s="161"/>
      <c r="J689" s="161"/>
      <c r="M689" s="161"/>
      <c r="N689" s="161"/>
      <c r="R689" s="161"/>
      <c r="S689" s="161"/>
      <c r="W689" s="161"/>
      <c r="X689" s="161"/>
      <c r="Y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L689" s="161"/>
      <c r="AN689" s="161"/>
      <c r="AP689" s="161"/>
      <c r="AQ689" s="161"/>
      <c r="AR689" s="161"/>
      <c r="AS689" s="161"/>
      <c r="AT689" s="161"/>
      <c r="AU689" s="161"/>
      <c r="AV689" s="161"/>
      <c r="AW689" s="161"/>
      <c r="AX689" s="161"/>
      <c r="BA689" s="161"/>
      <c r="BC689" s="161"/>
    </row>
    <row r="690">
      <c r="B690" s="161"/>
      <c r="C690" s="161"/>
      <c r="D690" s="161"/>
      <c r="F690" s="161"/>
      <c r="G690" s="161"/>
      <c r="H690" s="161"/>
      <c r="I690" s="161"/>
      <c r="J690" s="161"/>
      <c r="M690" s="161"/>
      <c r="N690" s="161"/>
      <c r="R690" s="161"/>
      <c r="S690" s="161"/>
      <c r="W690" s="161"/>
      <c r="X690" s="161"/>
      <c r="Y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L690" s="161"/>
      <c r="AN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BA690" s="161"/>
      <c r="BC690" s="161"/>
    </row>
    <row r="691">
      <c r="B691" s="161"/>
      <c r="C691" s="161"/>
      <c r="D691" s="161"/>
      <c r="F691" s="161"/>
      <c r="G691" s="161"/>
      <c r="H691" s="161"/>
      <c r="I691" s="161"/>
      <c r="J691" s="161"/>
      <c r="M691" s="161"/>
      <c r="N691" s="161"/>
      <c r="R691" s="161"/>
      <c r="S691" s="161"/>
      <c r="W691" s="161"/>
      <c r="X691" s="161"/>
      <c r="Y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L691" s="161"/>
      <c r="AN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BA691" s="161"/>
      <c r="BC691" s="161"/>
    </row>
    <row r="692">
      <c r="B692" s="161"/>
      <c r="C692" s="161"/>
      <c r="D692" s="161"/>
      <c r="F692" s="161"/>
      <c r="G692" s="161"/>
      <c r="H692" s="161"/>
      <c r="I692" s="161"/>
      <c r="J692" s="161"/>
      <c r="M692" s="161"/>
      <c r="N692" s="161"/>
      <c r="R692" s="161"/>
      <c r="S692" s="161"/>
      <c r="W692" s="161"/>
      <c r="X692" s="161"/>
      <c r="Y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L692" s="161"/>
      <c r="AN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BA692" s="161"/>
      <c r="BC692" s="161"/>
    </row>
    <row r="693">
      <c r="B693" s="161"/>
      <c r="C693" s="161"/>
      <c r="D693" s="161"/>
      <c r="F693" s="161"/>
      <c r="G693" s="161"/>
      <c r="H693" s="161"/>
      <c r="I693" s="161"/>
      <c r="J693" s="161"/>
      <c r="M693" s="161"/>
      <c r="N693" s="161"/>
      <c r="R693" s="161"/>
      <c r="S693" s="161"/>
      <c r="W693" s="161"/>
      <c r="X693" s="161"/>
      <c r="Y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L693" s="161"/>
      <c r="AN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BA693" s="161"/>
      <c r="BC693" s="161"/>
    </row>
    <row r="694">
      <c r="B694" s="161"/>
      <c r="C694" s="161"/>
      <c r="D694" s="161"/>
      <c r="F694" s="161"/>
      <c r="G694" s="161"/>
      <c r="H694" s="161"/>
      <c r="I694" s="161"/>
      <c r="J694" s="161"/>
      <c r="M694" s="161"/>
      <c r="N694" s="161"/>
      <c r="R694" s="161"/>
      <c r="S694" s="161"/>
      <c r="W694" s="161"/>
      <c r="X694" s="161"/>
      <c r="Y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L694" s="161"/>
      <c r="AN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BA694" s="161"/>
      <c r="BC694" s="161"/>
    </row>
    <row r="695">
      <c r="B695" s="161"/>
      <c r="C695" s="161"/>
      <c r="D695" s="161"/>
      <c r="F695" s="161"/>
      <c r="G695" s="161"/>
      <c r="H695" s="161"/>
      <c r="I695" s="161"/>
      <c r="J695" s="161"/>
      <c r="M695" s="161"/>
      <c r="N695" s="161"/>
      <c r="R695" s="161"/>
      <c r="S695" s="161"/>
      <c r="W695" s="161"/>
      <c r="X695" s="161"/>
      <c r="Y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L695" s="161"/>
      <c r="AN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BA695" s="161"/>
      <c r="BC695" s="161"/>
    </row>
    <row r="696">
      <c r="B696" s="161"/>
      <c r="C696" s="161"/>
      <c r="D696" s="161"/>
      <c r="F696" s="161"/>
      <c r="G696" s="161"/>
      <c r="H696" s="161"/>
      <c r="I696" s="161"/>
      <c r="J696" s="161"/>
      <c r="M696" s="161"/>
      <c r="N696" s="161"/>
      <c r="R696" s="161"/>
      <c r="S696" s="161"/>
      <c r="W696" s="161"/>
      <c r="X696" s="161"/>
      <c r="Y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L696" s="161"/>
      <c r="AN696" s="161"/>
      <c r="AP696" s="161"/>
      <c r="AQ696" s="161"/>
      <c r="AR696" s="161"/>
      <c r="AS696" s="161"/>
      <c r="AT696" s="161"/>
      <c r="AU696" s="161"/>
      <c r="AV696" s="161"/>
      <c r="AW696" s="161"/>
      <c r="AX696" s="161"/>
      <c r="BA696" s="161"/>
      <c r="BC696" s="161"/>
    </row>
    <row r="697">
      <c r="B697" s="161"/>
      <c r="C697" s="161"/>
      <c r="D697" s="161"/>
      <c r="F697" s="161"/>
      <c r="G697" s="161"/>
      <c r="H697" s="161"/>
      <c r="I697" s="161"/>
      <c r="J697" s="161"/>
      <c r="M697" s="161"/>
      <c r="N697" s="161"/>
      <c r="R697" s="161"/>
      <c r="S697" s="161"/>
      <c r="W697" s="161"/>
      <c r="X697" s="161"/>
      <c r="Y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L697" s="161"/>
      <c r="AN697" s="161"/>
      <c r="AP697" s="161"/>
      <c r="AQ697" s="161"/>
      <c r="AR697" s="161"/>
      <c r="AS697" s="161"/>
      <c r="AT697" s="161"/>
      <c r="AU697" s="161"/>
      <c r="AV697" s="161"/>
      <c r="AW697" s="161"/>
      <c r="AX697" s="161"/>
      <c r="BA697" s="161"/>
      <c r="BC697" s="161"/>
    </row>
    <row r="698">
      <c r="B698" s="161"/>
      <c r="C698" s="161"/>
      <c r="D698" s="161"/>
      <c r="F698" s="161"/>
      <c r="G698" s="161"/>
      <c r="H698" s="161"/>
      <c r="I698" s="161"/>
      <c r="J698" s="161"/>
      <c r="M698" s="161"/>
      <c r="N698" s="161"/>
      <c r="R698" s="161"/>
      <c r="S698" s="161"/>
      <c r="W698" s="161"/>
      <c r="X698" s="161"/>
      <c r="Y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L698" s="161"/>
      <c r="AN698" s="161"/>
      <c r="AP698" s="161"/>
      <c r="AQ698" s="161"/>
      <c r="AR698" s="161"/>
      <c r="AS698" s="161"/>
      <c r="AT698" s="161"/>
      <c r="AU698" s="161"/>
      <c r="AV698" s="161"/>
      <c r="AW698" s="161"/>
      <c r="AX698" s="161"/>
      <c r="BA698" s="161"/>
      <c r="BC698" s="161"/>
    </row>
    <row r="699">
      <c r="B699" s="161"/>
      <c r="C699" s="161"/>
      <c r="D699" s="161"/>
      <c r="F699" s="161"/>
      <c r="G699" s="161"/>
      <c r="H699" s="161"/>
      <c r="I699" s="161"/>
      <c r="J699" s="161"/>
      <c r="M699" s="161"/>
      <c r="N699" s="161"/>
      <c r="R699" s="161"/>
      <c r="S699" s="161"/>
      <c r="W699" s="161"/>
      <c r="X699" s="161"/>
      <c r="Y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L699" s="161"/>
      <c r="AN699" s="161"/>
      <c r="AP699" s="161"/>
      <c r="AQ699" s="161"/>
      <c r="AR699" s="161"/>
      <c r="AS699" s="161"/>
      <c r="AT699" s="161"/>
      <c r="AU699" s="161"/>
      <c r="AV699" s="161"/>
      <c r="AW699" s="161"/>
      <c r="AX699" s="161"/>
      <c r="BA699" s="161"/>
      <c r="BC699" s="161"/>
    </row>
    <row r="700">
      <c r="B700" s="161"/>
      <c r="C700" s="161"/>
      <c r="D700" s="161"/>
      <c r="F700" s="161"/>
      <c r="G700" s="161"/>
      <c r="H700" s="161"/>
      <c r="I700" s="161"/>
      <c r="J700" s="161"/>
      <c r="M700" s="161"/>
      <c r="N700" s="161"/>
      <c r="R700" s="161"/>
      <c r="S700" s="161"/>
      <c r="W700" s="161"/>
      <c r="X700" s="161"/>
      <c r="Y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L700" s="161"/>
      <c r="AN700" s="161"/>
      <c r="AP700" s="161"/>
      <c r="AQ700" s="161"/>
      <c r="AR700" s="161"/>
      <c r="AS700" s="161"/>
      <c r="AT700" s="161"/>
      <c r="AU700" s="161"/>
      <c r="AV700" s="161"/>
      <c r="AW700" s="161"/>
      <c r="AX700" s="161"/>
      <c r="BA700" s="161"/>
      <c r="BC700" s="161"/>
    </row>
    <row r="701">
      <c r="B701" s="161"/>
      <c r="C701" s="161"/>
      <c r="D701" s="161"/>
      <c r="F701" s="161"/>
      <c r="G701" s="161"/>
      <c r="H701" s="161"/>
      <c r="I701" s="161"/>
      <c r="J701" s="161"/>
      <c r="M701" s="161"/>
      <c r="N701" s="161"/>
      <c r="R701" s="161"/>
      <c r="S701" s="161"/>
      <c r="W701" s="161"/>
      <c r="X701" s="161"/>
      <c r="Y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L701" s="161"/>
      <c r="AN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BA701" s="161"/>
      <c r="BC701" s="161"/>
    </row>
    <row r="702">
      <c r="B702" s="161"/>
      <c r="C702" s="161"/>
      <c r="D702" s="161"/>
      <c r="F702" s="161"/>
      <c r="G702" s="161"/>
      <c r="H702" s="161"/>
      <c r="I702" s="161"/>
      <c r="J702" s="161"/>
      <c r="M702" s="161"/>
      <c r="N702" s="161"/>
      <c r="R702" s="161"/>
      <c r="S702" s="161"/>
      <c r="W702" s="161"/>
      <c r="X702" s="161"/>
      <c r="Y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L702" s="161"/>
      <c r="AN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BA702" s="161"/>
      <c r="BC702" s="161"/>
    </row>
    <row r="703">
      <c r="B703" s="161"/>
      <c r="C703" s="161"/>
      <c r="D703" s="161"/>
      <c r="F703" s="161"/>
      <c r="G703" s="161"/>
      <c r="H703" s="161"/>
      <c r="I703" s="161"/>
      <c r="J703" s="161"/>
      <c r="M703" s="161"/>
      <c r="N703" s="161"/>
      <c r="R703" s="161"/>
      <c r="S703" s="161"/>
      <c r="W703" s="161"/>
      <c r="X703" s="161"/>
      <c r="Y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L703" s="161"/>
      <c r="AN703" s="161"/>
      <c r="AP703" s="161"/>
      <c r="AQ703" s="161"/>
      <c r="AR703" s="161"/>
      <c r="AS703" s="161"/>
      <c r="AT703" s="161"/>
      <c r="AU703" s="161"/>
      <c r="AV703" s="161"/>
      <c r="AW703" s="161"/>
      <c r="AX703" s="161"/>
      <c r="BA703" s="161"/>
      <c r="BC703" s="161"/>
    </row>
    <row r="704">
      <c r="B704" s="161"/>
      <c r="C704" s="161"/>
      <c r="D704" s="161"/>
      <c r="F704" s="161"/>
      <c r="G704" s="161"/>
      <c r="H704" s="161"/>
      <c r="I704" s="161"/>
      <c r="J704" s="161"/>
      <c r="M704" s="161"/>
      <c r="N704" s="161"/>
      <c r="R704" s="161"/>
      <c r="S704" s="161"/>
      <c r="W704" s="161"/>
      <c r="X704" s="161"/>
      <c r="Y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L704" s="161"/>
      <c r="AN704" s="161"/>
      <c r="AP704" s="161"/>
      <c r="AQ704" s="161"/>
      <c r="AR704" s="161"/>
      <c r="AS704" s="161"/>
      <c r="AT704" s="161"/>
      <c r="AU704" s="161"/>
      <c r="AV704" s="161"/>
      <c r="AW704" s="161"/>
      <c r="AX704" s="161"/>
      <c r="BA704" s="161"/>
      <c r="BC704" s="161"/>
    </row>
    <row r="705">
      <c r="B705" s="161"/>
      <c r="C705" s="161"/>
      <c r="D705" s="161"/>
      <c r="F705" s="161"/>
      <c r="G705" s="161"/>
      <c r="H705" s="161"/>
      <c r="I705" s="161"/>
      <c r="J705" s="161"/>
      <c r="M705" s="161"/>
      <c r="N705" s="161"/>
      <c r="R705" s="161"/>
      <c r="S705" s="161"/>
      <c r="W705" s="161"/>
      <c r="X705" s="161"/>
      <c r="Y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L705" s="161"/>
      <c r="AN705" s="161"/>
      <c r="AP705" s="161"/>
      <c r="AQ705" s="161"/>
      <c r="AR705" s="161"/>
      <c r="AS705" s="161"/>
      <c r="AT705" s="161"/>
      <c r="AU705" s="161"/>
      <c r="AV705" s="161"/>
      <c r="AW705" s="161"/>
      <c r="AX705" s="161"/>
      <c r="BA705" s="161"/>
      <c r="BC705" s="161"/>
    </row>
    <row r="706">
      <c r="B706" s="161"/>
      <c r="C706" s="161"/>
      <c r="D706" s="161"/>
      <c r="F706" s="161"/>
      <c r="G706" s="161"/>
      <c r="H706" s="161"/>
      <c r="I706" s="161"/>
      <c r="J706" s="161"/>
      <c r="M706" s="161"/>
      <c r="N706" s="161"/>
      <c r="R706" s="161"/>
      <c r="S706" s="161"/>
      <c r="W706" s="161"/>
      <c r="X706" s="161"/>
      <c r="Y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L706" s="161"/>
      <c r="AN706" s="161"/>
      <c r="AP706" s="161"/>
      <c r="AQ706" s="161"/>
      <c r="AR706" s="161"/>
      <c r="AS706" s="161"/>
      <c r="AT706" s="161"/>
      <c r="AU706" s="161"/>
      <c r="AV706" s="161"/>
      <c r="AW706" s="161"/>
      <c r="AX706" s="161"/>
      <c r="BA706" s="161"/>
      <c r="BC706" s="161"/>
    </row>
    <row r="707">
      <c r="B707" s="161"/>
      <c r="C707" s="161"/>
      <c r="D707" s="161"/>
      <c r="F707" s="161"/>
      <c r="G707" s="161"/>
      <c r="H707" s="161"/>
      <c r="I707" s="161"/>
      <c r="J707" s="161"/>
      <c r="M707" s="161"/>
      <c r="N707" s="161"/>
      <c r="R707" s="161"/>
      <c r="S707" s="161"/>
      <c r="W707" s="161"/>
      <c r="X707" s="161"/>
      <c r="Y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L707" s="161"/>
      <c r="AN707" s="161"/>
      <c r="AP707" s="161"/>
      <c r="AQ707" s="161"/>
      <c r="AR707" s="161"/>
      <c r="AS707" s="161"/>
      <c r="AT707" s="161"/>
      <c r="AU707" s="161"/>
      <c r="AV707" s="161"/>
      <c r="AW707" s="161"/>
      <c r="AX707" s="161"/>
      <c r="BA707" s="161"/>
      <c r="BC707" s="161"/>
    </row>
    <row r="708">
      <c r="B708" s="161"/>
      <c r="C708" s="161"/>
      <c r="D708" s="161"/>
      <c r="F708" s="161"/>
      <c r="G708" s="161"/>
      <c r="H708" s="161"/>
      <c r="I708" s="161"/>
      <c r="J708" s="161"/>
      <c r="M708" s="161"/>
      <c r="N708" s="161"/>
      <c r="R708" s="161"/>
      <c r="S708" s="161"/>
      <c r="W708" s="161"/>
      <c r="X708" s="161"/>
      <c r="Y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L708" s="161"/>
      <c r="AN708" s="161"/>
      <c r="AP708" s="161"/>
      <c r="AQ708" s="161"/>
      <c r="AR708" s="161"/>
      <c r="AS708" s="161"/>
      <c r="AT708" s="161"/>
      <c r="AU708" s="161"/>
      <c r="AV708" s="161"/>
      <c r="AW708" s="161"/>
      <c r="AX708" s="161"/>
      <c r="BA708" s="161"/>
      <c r="BC708" s="161"/>
    </row>
    <row r="709">
      <c r="B709" s="161"/>
      <c r="C709" s="161"/>
      <c r="D709" s="161"/>
      <c r="F709" s="161"/>
      <c r="G709" s="161"/>
      <c r="H709" s="161"/>
      <c r="I709" s="161"/>
      <c r="J709" s="161"/>
      <c r="M709" s="161"/>
      <c r="N709" s="161"/>
      <c r="R709" s="161"/>
      <c r="S709" s="161"/>
      <c r="W709" s="161"/>
      <c r="X709" s="161"/>
      <c r="Y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L709" s="161"/>
      <c r="AN709" s="161"/>
      <c r="AP709" s="161"/>
      <c r="AQ709" s="161"/>
      <c r="AR709" s="161"/>
      <c r="AS709" s="161"/>
      <c r="AT709" s="161"/>
      <c r="AU709" s="161"/>
      <c r="AV709" s="161"/>
      <c r="AW709" s="161"/>
      <c r="AX709" s="161"/>
      <c r="BA709" s="161"/>
      <c r="BC709" s="161"/>
    </row>
    <row r="710">
      <c r="B710" s="161"/>
      <c r="C710" s="161"/>
      <c r="D710" s="161"/>
      <c r="F710" s="161"/>
      <c r="G710" s="161"/>
      <c r="H710" s="161"/>
      <c r="I710" s="161"/>
      <c r="J710" s="161"/>
      <c r="M710" s="161"/>
      <c r="N710" s="161"/>
      <c r="R710" s="161"/>
      <c r="S710" s="161"/>
      <c r="W710" s="161"/>
      <c r="X710" s="161"/>
      <c r="Y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L710" s="161"/>
      <c r="AN710" s="161"/>
      <c r="AP710" s="161"/>
      <c r="AQ710" s="161"/>
      <c r="AR710" s="161"/>
      <c r="AS710" s="161"/>
      <c r="AT710" s="161"/>
      <c r="AU710" s="161"/>
      <c r="AV710" s="161"/>
      <c r="AW710" s="161"/>
      <c r="AX710" s="161"/>
      <c r="BA710" s="161"/>
      <c r="BC710" s="161"/>
    </row>
    <row r="711">
      <c r="B711" s="161"/>
      <c r="C711" s="161"/>
      <c r="D711" s="161"/>
      <c r="F711" s="161"/>
      <c r="G711" s="161"/>
      <c r="H711" s="161"/>
      <c r="I711" s="161"/>
      <c r="J711" s="161"/>
      <c r="M711" s="161"/>
      <c r="N711" s="161"/>
      <c r="R711" s="161"/>
      <c r="S711" s="161"/>
      <c r="W711" s="161"/>
      <c r="X711" s="161"/>
      <c r="Y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L711" s="161"/>
      <c r="AN711" s="161"/>
      <c r="AP711" s="161"/>
      <c r="AQ711" s="161"/>
      <c r="AR711" s="161"/>
      <c r="AS711" s="161"/>
      <c r="AT711" s="161"/>
      <c r="AU711" s="161"/>
      <c r="AV711" s="161"/>
      <c r="AW711" s="161"/>
      <c r="AX711" s="161"/>
      <c r="BA711" s="161"/>
      <c r="BC711" s="161"/>
    </row>
    <row r="712">
      <c r="B712" s="161"/>
      <c r="C712" s="161"/>
      <c r="D712" s="161"/>
      <c r="F712" s="161"/>
      <c r="G712" s="161"/>
      <c r="H712" s="161"/>
      <c r="I712" s="161"/>
      <c r="J712" s="161"/>
      <c r="M712" s="161"/>
      <c r="N712" s="161"/>
      <c r="R712" s="161"/>
      <c r="S712" s="161"/>
      <c r="W712" s="161"/>
      <c r="X712" s="161"/>
      <c r="Y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L712" s="161"/>
      <c r="AN712" s="161"/>
      <c r="AP712" s="161"/>
      <c r="AQ712" s="161"/>
      <c r="AR712" s="161"/>
      <c r="AS712" s="161"/>
      <c r="AT712" s="161"/>
      <c r="AU712" s="161"/>
      <c r="AV712" s="161"/>
      <c r="AW712" s="161"/>
      <c r="AX712" s="161"/>
      <c r="BA712" s="161"/>
      <c r="BC712" s="161"/>
    </row>
    <row r="713">
      <c r="B713" s="161"/>
      <c r="C713" s="161"/>
      <c r="D713" s="161"/>
      <c r="F713" s="161"/>
      <c r="G713" s="161"/>
      <c r="H713" s="161"/>
      <c r="I713" s="161"/>
      <c r="J713" s="161"/>
      <c r="M713" s="161"/>
      <c r="N713" s="161"/>
      <c r="R713" s="161"/>
      <c r="S713" s="161"/>
      <c r="W713" s="161"/>
      <c r="X713" s="161"/>
      <c r="Y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L713" s="161"/>
      <c r="AN713" s="161"/>
      <c r="AP713" s="161"/>
      <c r="AQ713" s="161"/>
      <c r="AR713" s="161"/>
      <c r="AS713" s="161"/>
      <c r="AT713" s="161"/>
      <c r="AU713" s="161"/>
      <c r="AV713" s="161"/>
      <c r="AW713" s="161"/>
      <c r="AX713" s="161"/>
      <c r="BA713" s="161"/>
      <c r="BC713" s="161"/>
    </row>
    <row r="714">
      <c r="B714" s="161"/>
      <c r="C714" s="161"/>
      <c r="D714" s="161"/>
      <c r="F714" s="161"/>
      <c r="G714" s="161"/>
      <c r="H714" s="161"/>
      <c r="I714" s="161"/>
      <c r="J714" s="161"/>
      <c r="M714" s="161"/>
      <c r="N714" s="161"/>
      <c r="R714" s="161"/>
      <c r="S714" s="161"/>
      <c r="W714" s="161"/>
      <c r="X714" s="161"/>
      <c r="Y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L714" s="161"/>
      <c r="AN714" s="161"/>
      <c r="AP714" s="161"/>
      <c r="AQ714" s="161"/>
      <c r="AR714" s="161"/>
      <c r="AS714" s="161"/>
      <c r="AT714" s="161"/>
      <c r="AU714" s="161"/>
      <c r="AV714" s="161"/>
      <c r="AW714" s="161"/>
      <c r="AX714" s="161"/>
      <c r="BA714" s="161"/>
      <c r="BC714" s="161"/>
    </row>
    <row r="715">
      <c r="B715" s="161"/>
      <c r="C715" s="161"/>
      <c r="D715" s="161"/>
      <c r="F715" s="161"/>
      <c r="G715" s="161"/>
      <c r="H715" s="161"/>
      <c r="I715" s="161"/>
      <c r="J715" s="161"/>
      <c r="M715" s="161"/>
      <c r="N715" s="161"/>
      <c r="R715" s="161"/>
      <c r="S715" s="161"/>
      <c r="W715" s="161"/>
      <c r="X715" s="161"/>
      <c r="Y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L715" s="161"/>
      <c r="AN715" s="161"/>
      <c r="AP715" s="161"/>
      <c r="AQ715" s="161"/>
      <c r="AR715" s="161"/>
      <c r="AS715" s="161"/>
      <c r="AT715" s="161"/>
      <c r="AU715" s="161"/>
      <c r="AV715" s="161"/>
      <c r="AW715" s="161"/>
      <c r="AX715" s="161"/>
      <c r="BA715" s="161"/>
      <c r="BC715" s="161"/>
    </row>
    <row r="716">
      <c r="B716" s="161"/>
      <c r="C716" s="161"/>
      <c r="D716" s="161"/>
      <c r="F716" s="161"/>
      <c r="G716" s="161"/>
      <c r="H716" s="161"/>
      <c r="I716" s="161"/>
      <c r="J716" s="161"/>
      <c r="M716" s="161"/>
      <c r="N716" s="161"/>
      <c r="R716" s="161"/>
      <c r="S716" s="161"/>
      <c r="W716" s="161"/>
      <c r="X716" s="161"/>
      <c r="Y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L716" s="161"/>
      <c r="AN716" s="161"/>
      <c r="AP716" s="161"/>
      <c r="AQ716" s="161"/>
      <c r="AR716" s="161"/>
      <c r="AS716" s="161"/>
      <c r="AT716" s="161"/>
      <c r="AU716" s="161"/>
      <c r="AV716" s="161"/>
      <c r="AW716" s="161"/>
      <c r="AX716" s="161"/>
      <c r="BA716" s="161"/>
      <c r="BC716" s="161"/>
    </row>
    <row r="717">
      <c r="B717" s="161"/>
      <c r="C717" s="161"/>
      <c r="D717" s="161"/>
      <c r="F717" s="161"/>
      <c r="G717" s="161"/>
      <c r="H717" s="161"/>
      <c r="I717" s="161"/>
      <c r="J717" s="161"/>
      <c r="M717" s="161"/>
      <c r="N717" s="161"/>
      <c r="R717" s="161"/>
      <c r="S717" s="161"/>
      <c r="W717" s="161"/>
      <c r="X717" s="161"/>
      <c r="Y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L717" s="161"/>
      <c r="AN717" s="161"/>
      <c r="AP717" s="161"/>
      <c r="AQ717" s="161"/>
      <c r="AR717" s="161"/>
      <c r="AS717" s="161"/>
      <c r="AT717" s="161"/>
      <c r="AU717" s="161"/>
      <c r="AV717" s="161"/>
      <c r="AW717" s="161"/>
      <c r="AX717" s="161"/>
      <c r="BA717" s="161"/>
      <c r="BC717" s="161"/>
    </row>
    <row r="718">
      <c r="B718" s="161"/>
      <c r="C718" s="161"/>
      <c r="D718" s="161"/>
      <c r="F718" s="161"/>
      <c r="G718" s="161"/>
      <c r="H718" s="161"/>
      <c r="I718" s="161"/>
      <c r="J718" s="161"/>
      <c r="M718" s="161"/>
      <c r="N718" s="161"/>
      <c r="R718" s="161"/>
      <c r="S718" s="161"/>
      <c r="W718" s="161"/>
      <c r="X718" s="161"/>
      <c r="Y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L718" s="161"/>
      <c r="AN718" s="161"/>
      <c r="AP718" s="161"/>
      <c r="AQ718" s="161"/>
      <c r="AR718" s="161"/>
      <c r="AS718" s="161"/>
      <c r="AT718" s="161"/>
      <c r="AU718" s="161"/>
      <c r="AV718" s="161"/>
      <c r="AW718" s="161"/>
      <c r="AX718" s="161"/>
      <c r="BA718" s="161"/>
      <c r="BC718" s="161"/>
    </row>
    <row r="719">
      <c r="B719" s="161"/>
      <c r="C719" s="161"/>
      <c r="D719" s="161"/>
      <c r="F719" s="161"/>
      <c r="G719" s="161"/>
      <c r="H719" s="161"/>
      <c r="I719" s="161"/>
      <c r="J719" s="161"/>
      <c r="M719" s="161"/>
      <c r="N719" s="161"/>
      <c r="R719" s="161"/>
      <c r="S719" s="161"/>
      <c r="W719" s="161"/>
      <c r="X719" s="161"/>
      <c r="Y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L719" s="161"/>
      <c r="AN719" s="161"/>
      <c r="AP719" s="161"/>
      <c r="AQ719" s="161"/>
      <c r="AR719" s="161"/>
      <c r="AS719" s="161"/>
      <c r="AT719" s="161"/>
      <c r="AU719" s="161"/>
      <c r="AV719" s="161"/>
      <c r="AW719" s="161"/>
      <c r="AX719" s="161"/>
      <c r="BA719" s="161"/>
      <c r="BC719" s="161"/>
    </row>
    <row r="720">
      <c r="B720" s="161"/>
      <c r="C720" s="161"/>
      <c r="D720" s="161"/>
      <c r="F720" s="161"/>
      <c r="G720" s="161"/>
      <c r="H720" s="161"/>
      <c r="I720" s="161"/>
      <c r="J720" s="161"/>
      <c r="M720" s="161"/>
      <c r="N720" s="161"/>
      <c r="R720" s="161"/>
      <c r="S720" s="161"/>
      <c r="W720" s="161"/>
      <c r="X720" s="161"/>
      <c r="Y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L720" s="161"/>
      <c r="AN720" s="161"/>
      <c r="AP720" s="161"/>
      <c r="AQ720" s="161"/>
      <c r="AR720" s="161"/>
      <c r="AS720" s="161"/>
      <c r="AT720" s="161"/>
      <c r="AU720" s="161"/>
      <c r="AV720" s="161"/>
      <c r="AW720" s="161"/>
      <c r="AX720" s="161"/>
      <c r="BA720" s="161"/>
      <c r="BC720" s="161"/>
    </row>
    <row r="721">
      <c r="B721" s="161"/>
      <c r="C721" s="161"/>
      <c r="D721" s="161"/>
      <c r="F721" s="161"/>
      <c r="G721" s="161"/>
      <c r="H721" s="161"/>
      <c r="I721" s="161"/>
      <c r="J721" s="161"/>
      <c r="M721" s="161"/>
      <c r="N721" s="161"/>
      <c r="R721" s="161"/>
      <c r="S721" s="161"/>
      <c r="W721" s="161"/>
      <c r="X721" s="161"/>
      <c r="Y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L721" s="161"/>
      <c r="AN721" s="161"/>
      <c r="AP721" s="161"/>
      <c r="AQ721" s="161"/>
      <c r="AR721" s="161"/>
      <c r="AS721" s="161"/>
      <c r="AT721" s="161"/>
      <c r="AU721" s="161"/>
      <c r="AV721" s="161"/>
      <c r="AW721" s="161"/>
      <c r="AX721" s="161"/>
      <c r="BA721" s="161"/>
      <c r="BC721" s="161"/>
    </row>
    <row r="722">
      <c r="B722" s="161"/>
      <c r="C722" s="161"/>
      <c r="D722" s="161"/>
      <c r="F722" s="161"/>
      <c r="G722" s="161"/>
      <c r="H722" s="161"/>
      <c r="I722" s="161"/>
      <c r="J722" s="161"/>
      <c r="M722" s="161"/>
      <c r="N722" s="161"/>
      <c r="R722" s="161"/>
      <c r="S722" s="161"/>
      <c r="W722" s="161"/>
      <c r="X722" s="161"/>
      <c r="Y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L722" s="161"/>
      <c r="AN722" s="161"/>
      <c r="AP722" s="161"/>
      <c r="AQ722" s="161"/>
      <c r="AR722" s="161"/>
      <c r="AS722" s="161"/>
      <c r="AT722" s="161"/>
      <c r="AU722" s="161"/>
      <c r="AV722" s="161"/>
      <c r="AW722" s="161"/>
      <c r="AX722" s="161"/>
      <c r="BA722" s="161"/>
      <c r="BC722" s="161"/>
    </row>
    <row r="723">
      <c r="B723" s="161"/>
      <c r="C723" s="161"/>
      <c r="D723" s="161"/>
      <c r="F723" s="161"/>
      <c r="G723" s="161"/>
      <c r="H723" s="161"/>
      <c r="I723" s="161"/>
      <c r="J723" s="161"/>
      <c r="M723" s="161"/>
      <c r="N723" s="161"/>
      <c r="R723" s="161"/>
      <c r="S723" s="161"/>
      <c r="W723" s="161"/>
      <c r="X723" s="161"/>
      <c r="Y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L723" s="161"/>
      <c r="AN723" s="161"/>
      <c r="AP723" s="161"/>
      <c r="AQ723" s="161"/>
      <c r="AR723" s="161"/>
      <c r="AS723" s="161"/>
      <c r="AT723" s="161"/>
      <c r="AU723" s="161"/>
      <c r="AV723" s="161"/>
      <c r="AW723" s="161"/>
      <c r="AX723" s="161"/>
      <c r="BA723" s="161"/>
      <c r="BC723" s="161"/>
    </row>
    <row r="724">
      <c r="B724" s="161"/>
      <c r="C724" s="161"/>
      <c r="D724" s="161"/>
      <c r="F724" s="161"/>
      <c r="G724" s="161"/>
      <c r="H724" s="161"/>
      <c r="I724" s="161"/>
      <c r="J724" s="161"/>
      <c r="M724" s="161"/>
      <c r="N724" s="161"/>
      <c r="R724" s="161"/>
      <c r="S724" s="161"/>
      <c r="W724" s="161"/>
      <c r="X724" s="161"/>
      <c r="Y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L724" s="161"/>
      <c r="AN724" s="161"/>
      <c r="AP724" s="161"/>
      <c r="AQ724" s="161"/>
      <c r="AR724" s="161"/>
      <c r="AS724" s="161"/>
      <c r="AT724" s="161"/>
      <c r="AU724" s="161"/>
      <c r="AV724" s="161"/>
      <c r="AW724" s="161"/>
      <c r="AX724" s="161"/>
      <c r="BA724" s="161"/>
      <c r="BC724" s="161"/>
    </row>
    <row r="725">
      <c r="B725" s="161"/>
      <c r="C725" s="161"/>
      <c r="D725" s="161"/>
      <c r="F725" s="161"/>
      <c r="G725" s="161"/>
      <c r="H725" s="161"/>
      <c r="I725" s="161"/>
      <c r="J725" s="161"/>
      <c r="M725" s="161"/>
      <c r="N725" s="161"/>
      <c r="R725" s="161"/>
      <c r="S725" s="161"/>
      <c r="W725" s="161"/>
      <c r="X725" s="161"/>
      <c r="Y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L725" s="161"/>
      <c r="AN725" s="161"/>
      <c r="AP725" s="161"/>
      <c r="AQ725" s="161"/>
      <c r="AR725" s="161"/>
      <c r="AS725" s="161"/>
      <c r="AT725" s="161"/>
      <c r="AU725" s="161"/>
      <c r="AV725" s="161"/>
      <c r="AW725" s="161"/>
      <c r="AX725" s="161"/>
      <c r="BA725" s="161"/>
      <c r="BC725" s="161"/>
    </row>
    <row r="726">
      <c r="B726" s="161"/>
      <c r="C726" s="161"/>
      <c r="D726" s="161"/>
      <c r="F726" s="161"/>
      <c r="G726" s="161"/>
      <c r="H726" s="161"/>
      <c r="I726" s="161"/>
      <c r="J726" s="161"/>
      <c r="M726" s="161"/>
      <c r="N726" s="161"/>
      <c r="R726" s="161"/>
      <c r="S726" s="161"/>
      <c r="W726" s="161"/>
      <c r="X726" s="161"/>
      <c r="Y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L726" s="161"/>
      <c r="AN726" s="161"/>
      <c r="AP726" s="161"/>
      <c r="AQ726" s="161"/>
      <c r="AR726" s="161"/>
      <c r="AS726" s="161"/>
      <c r="AT726" s="161"/>
      <c r="AU726" s="161"/>
      <c r="AV726" s="161"/>
      <c r="AW726" s="161"/>
      <c r="AX726" s="161"/>
      <c r="BA726" s="161"/>
      <c r="BC726" s="161"/>
    </row>
    <row r="727">
      <c r="B727" s="161"/>
      <c r="C727" s="161"/>
      <c r="D727" s="161"/>
      <c r="F727" s="161"/>
      <c r="G727" s="161"/>
      <c r="H727" s="161"/>
      <c r="I727" s="161"/>
      <c r="J727" s="161"/>
      <c r="M727" s="161"/>
      <c r="N727" s="161"/>
      <c r="R727" s="161"/>
      <c r="S727" s="161"/>
      <c r="W727" s="161"/>
      <c r="X727" s="161"/>
      <c r="Y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L727" s="161"/>
      <c r="AN727" s="161"/>
      <c r="AP727" s="161"/>
      <c r="AQ727" s="161"/>
      <c r="AR727" s="161"/>
      <c r="AS727" s="161"/>
      <c r="AT727" s="161"/>
      <c r="AU727" s="161"/>
      <c r="AV727" s="161"/>
      <c r="AW727" s="161"/>
      <c r="AX727" s="161"/>
      <c r="BA727" s="161"/>
      <c r="BC727" s="161"/>
    </row>
    <row r="728">
      <c r="B728" s="161"/>
      <c r="C728" s="161"/>
      <c r="D728" s="161"/>
      <c r="F728" s="161"/>
      <c r="G728" s="161"/>
      <c r="H728" s="161"/>
      <c r="I728" s="161"/>
      <c r="J728" s="161"/>
      <c r="M728" s="161"/>
      <c r="N728" s="161"/>
      <c r="R728" s="161"/>
      <c r="S728" s="161"/>
      <c r="W728" s="161"/>
      <c r="X728" s="161"/>
      <c r="Y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L728" s="161"/>
      <c r="AN728" s="161"/>
      <c r="AP728" s="161"/>
      <c r="AQ728" s="161"/>
      <c r="AR728" s="161"/>
      <c r="AS728" s="161"/>
      <c r="AT728" s="161"/>
      <c r="AU728" s="161"/>
      <c r="AV728" s="161"/>
      <c r="AW728" s="161"/>
      <c r="AX728" s="161"/>
      <c r="BA728" s="161"/>
      <c r="BC728" s="161"/>
    </row>
    <row r="729">
      <c r="B729" s="161"/>
      <c r="C729" s="161"/>
      <c r="D729" s="161"/>
      <c r="F729" s="161"/>
      <c r="G729" s="161"/>
      <c r="H729" s="161"/>
      <c r="I729" s="161"/>
      <c r="J729" s="161"/>
      <c r="M729" s="161"/>
      <c r="N729" s="161"/>
      <c r="R729" s="161"/>
      <c r="S729" s="161"/>
      <c r="W729" s="161"/>
      <c r="X729" s="161"/>
      <c r="Y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L729" s="161"/>
      <c r="AN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BA729" s="161"/>
      <c r="BC729" s="161"/>
    </row>
    <row r="730">
      <c r="B730" s="161"/>
      <c r="C730" s="161"/>
      <c r="D730" s="161"/>
      <c r="F730" s="161"/>
      <c r="G730" s="161"/>
      <c r="H730" s="161"/>
      <c r="I730" s="161"/>
      <c r="J730" s="161"/>
      <c r="M730" s="161"/>
      <c r="N730" s="161"/>
      <c r="R730" s="161"/>
      <c r="S730" s="161"/>
      <c r="W730" s="161"/>
      <c r="X730" s="161"/>
      <c r="Y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L730" s="161"/>
      <c r="AN730" s="161"/>
      <c r="AP730" s="161"/>
      <c r="AQ730" s="161"/>
      <c r="AR730" s="161"/>
      <c r="AS730" s="161"/>
      <c r="AT730" s="161"/>
      <c r="AU730" s="161"/>
      <c r="AV730" s="161"/>
      <c r="AW730" s="161"/>
      <c r="AX730" s="161"/>
      <c r="BA730" s="161"/>
      <c r="BC730" s="161"/>
    </row>
    <row r="731">
      <c r="B731" s="161"/>
      <c r="C731" s="161"/>
      <c r="D731" s="161"/>
      <c r="F731" s="161"/>
      <c r="G731" s="161"/>
      <c r="H731" s="161"/>
      <c r="I731" s="161"/>
      <c r="J731" s="161"/>
      <c r="M731" s="161"/>
      <c r="N731" s="161"/>
      <c r="R731" s="161"/>
      <c r="S731" s="161"/>
      <c r="W731" s="161"/>
      <c r="X731" s="161"/>
      <c r="Y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L731" s="161"/>
      <c r="AN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BA731" s="161"/>
      <c r="BC731" s="161"/>
    </row>
    <row r="732">
      <c r="B732" s="161"/>
      <c r="C732" s="161"/>
      <c r="D732" s="161"/>
      <c r="F732" s="161"/>
      <c r="G732" s="161"/>
      <c r="H732" s="161"/>
      <c r="I732" s="161"/>
      <c r="J732" s="161"/>
      <c r="M732" s="161"/>
      <c r="N732" s="161"/>
      <c r="R732" s="161"/>
      <c r="S732" s="161"/>
      <c r="W732" s="161"/>
      <c r="X732" s="161"/>
      <c r="Y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L732" s="161"/>
      <c r="AN732" s="161"/>
      <c r="AP732" s="161"/>
      <c r="AQ732" s="161"/>
      <c r="AR732" s="161"/>
      <c r="AS732" s="161"/>
      <c r="AT732" s="161"/>
      <c r="AU732" s="161"/>
      <c r="AV732" s="161"/>
      <c r="AW732" s="161"/>
      <c r="AX732" s="161"/>
      <c r="BA732" s="161"/>
      <c r="BC732" s="161"/>
    </row>
    <row r="733">
      <c r="B733" s="161"/>
      <c r="C733" s="161"/>
      <c r="D733" s="161"/>
      <c r="F733" s="161"/>
      <c r="G733" s="161"/>
      <c r="H733" s="161"/>
      <c r="I733" s="161"/>
      <c r="J733" s="161"/>
      <c r="M733" s="161"/>
      <c r="N733" s="161"/>
      <c r="R733" s="161"/>
      <c r="S733" s="161"/>
      <c r="W733" s="161"/>
      <c r="X733" s="161"/>
      <c r="Y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L733" s="161"/>
      <c r="AN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BA733" s="161"/>
      <c r="BC733" s="161"/>
    </row>
    <row r="734">
      <c r="B734" s="161"/>
      <c r="C734" s="161"/>
      <c r="D734" s="161"/>
      <c r="F734" s="161"/>
      <c r="G734" s="161"/>
      <c r="H734" s="161"/>
      <c r="I734" s="161"/>
      <c r="J734" s="161"/>
      <c r="M734" s="161"/>
      <c r="N734" s="161"/>
      <c r="R734" s="161"/>
      <c r="S734" s="161"/>
      <c r="W734" s="161"/>
      <c r="X734" s="161"/>
      <c r="Y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L734" s="161"/>
      <c r="AN734" s="161"/>
      <c r="AP734" s="161"/>
      <c r="AQ734" s="161"/>
      <c r="AR734" s="161"/>
      <c r="AS734" s="161"/>
      <c r="AT734" s="161"/>
      <c r="AU734" s="161"/>
      <c r="AV734" s="161"/>
      <c r="AW734" s="161"/>
      <c r="AX734" s="161"/>
      <c r="BA734" s="161"/>
      <c r="BC734" s="161"/>
    </row>
    <row r="735">
      <c r="B735" s="161"/>
      <c r="C735" s="161"/>
      <c r="D735" s="161"/>
      <c r="F735" s="161"/>
      <c r="G735" s="161"/>
      <c r="H735" s="161"/>
      <c r="I735" s="161"/>
      <c r="J735" s="161"/>
      <c r="M735" s="161"/>
      <c r="N735" s="161"/>
      <c r="R735" s="161"/>
      <c r="S735" s="161"/>
      <c r="W735" s="161"/>
      <c r="X735" s="161"/>
      <c r="Y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L735" s="161"/>
      <c r="AN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BA735" s="161"/>
      <c r="BC735" s="161"/>
    </row>
    <row r="736">
      <c r="B736" s="161"/>
      <c r="C736" s="161"/>
      <c r="D736" s="161"/>
      <c r="F736" s="161"/>
      <c r="G736" s="161"/>
      <c r="H736" s="161"/>
      <c r="I736" s="161"/>
      <c r="J736" s="161"/>
      <c r="M736" s="161"/>
      <c r="N736" s="161"/>
      <c r="R736" s="161"/>
      <c r="S736" s="161"/>
      <c r="W736" s="161"/>
      <c r="X736" s="161"/>
      <c r="Y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L736" s="161"/>
      <c r="AN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BA736" s="161"/>
      <c r="BC736" s="161"/>
    </row>
    <row r="737">
      <c r="B737" s="161"/>
      <c r="C737" s="161"/>
      <c r="D737" s="161"/>
      <c r="F737" s="161"/>
      <c r="G737" s="161"/>
      <c r="H737" s="161"/>
      <c r="I737" s="161"/>
      <c r="J737" s="161"/>
      <c r="M737" s="161"/>
      <c r="N737" s="161"/>
      <c r="R737" s="161"/>
      <c r="S737" s="161"/>
      <c r="W737" s="161"/>
      <c r="X737" s="161"/>
      <c r="Y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L737" s="161"/>
      <c r="AN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BA737" s="161"/>
      <c r="BC737" s="161"/>
    </row>
    <row r="738">
      <c r="B738" s="161"/>
      <c r="C738" s="161"/>
      <c r="D738" s="161"/>
      <c r="F738" s="161"/>
      <c r="G738" s="161"/>
      <c r="H738" s="161"/>
      <c r="I738" s="161"/>
      <c r="J738" s="161"/>
      <c r="M738" s="161"/>
      <c r="N738" s="161"/>
      <c r="R738" s="161"/>
      <c r="S738" s="161"/>
      <c r="W738" s="161"/>
      <c r="X738" s="161"/>
      <c r="Y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L738" s="161"/>
      <c r="AN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BA738" s="161"/>
      <c r="BC738" s="161"/>
    </row>
    <row r="739">
      <c r="B739" s="161"/>
      <c r="C739" s="161"/>
      <c r="D739" s="161"/>
      <c r="F739" s="161"/>
      <c r="G739" s="161"/>
      <c r="H739" s="161"/>
      <c r="I739" s="161"/>
      <c r="J739" s="161"/>
      <c r="M739" s="161"/>
      <c r="N739" s="161"/>
      <c r="R739" s="161"/>
      <c r="S739" s="161"/>
      <c r="W739" s="161"/>
      <c r="X739" s="161"/>
      <c r="Y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L739" s="161"/>
      <c r="AN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BA739" s="161"/>
      <c r="BC739" s="161"/>
    </row>
    <row r="740">
      <c r="B740" s="161"/>
      <c r="C740" s="161"/>
      <c r="D740" s="161"/>
      <c r="F740" s="161"/>
      <c r="G740" s="161"/>
      <c r="H740" s="161"/>
      <c r="I740" s="161"/>
      <c r="J740" s="161"/>
      <c r="M740" s="161"/>
      <c r="N740" s="161"/>
      <c r="R740" s="161"/>
      <c r="S740" s="161"/>
      <c r="W740" s="161"/>
      <c r="X740" s="161"/>
      <c r="Y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L740" s="161"/>
      <c r="AN740" s="161"/>
      <c r="AP740" s="161"/>
      <c r="AQ740" s="161"/>
      <c r="AR740" s="161"/>
      <c r="AS740" s="161"/>
      <c r="AT740" s="161"/>
      <c r="AU740" s="161"/>
      <c r="AV740" s="161"/>
      <c r="AW740" s="161"/>
      <c r="AX740" s="161"/>
      <c r="BA740" s="161"/>
      <c r="BC740" s="161"/>
    </row>
    <row r="741">
      <c r="B741" s="161"/>
      <c r="C741" s="161"/>
      <c r="D741" s="161"/>
      <c r="F741" s="161"/>
      <c r="G741" s="161"/>
      <c r="H741" s="161"/>
      <c r="I741" s="161"/>
      <c r="J741" s="161"/>
      <c r="M741" s="161"/>
      <c r="N741" s="161"/>
      <c r="R741" s="161"/>
      <c r="S741" s="161"/>
      <c r="W741" s="161"/>
      <c r="X741" s="161"/>
      <c r="Y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L741" s="161"/>
      <c r="AN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BA741" s="161"/>
      <c r="BC741" s="161"/>
    </row>
    <row r="742">
      <c r="B742" s="161"/>
      <c r="C742" s="161"/>
      <c r="D742" s="161"/>
      <c r="F742" s="161"/>
      <c r="G742" s="161"/>
      <c r="H742" s="161"/>
      <c r="I742" s="161"/>
      <c r="J742" s="161"/>
      <c r="M742" s="161"/>
      <c r="N742" s="161"/>
      <c r="R742" s="161"/>
      <c r="S742" s="161"/>
      <c r="W742" s="161"/>
      <c r="X742" s="161"/>
      <c r="Y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L742" s="161"/>
      <c r="AN742" s="161"/>
      <c r="AP742" s="161"/>
      <c r="AQ742" s="161"/>
      <c r="AR742" s="161"/>
      <c r="AS742" s="161"/>
      <c r="AT742" s="161"/>
      <c r="AU742" s="161"/>
      <c r="AV742" s="161"/>
      <c r="AW742" s="161"/>
      <c r="AX742" s="161"/>
      <c r="BA742" s="161"/>
      <c r="BC742" s="161"/>
    </row>
    <row r="743">
      <c r="B743" s="161"/>
      <c r="C743" s="161"/>
      <c r="D743" s="161"/>
      <c r="F743" s="161"/>
      <c r="G743" s="161"/>
      <c r="H743" s="161"/>
      <c r="I743" s="161"/>
      <c r="J743" s="161"/>
      <c r="M743" s="161"/>
      <c r="N743" s="161"/>
      <c r="R743" s="161"/>
      <c r="S743" s="161"/>
      <c r="W743" s="161"/>
      <c r="X743" s="161"/>
      <c r="Y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L743" s="161"/>
      <c r="AN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BA743" s="161"/>
      <c r="BC743" s="161"/>
    </row>
    <row r="744">
      <c r="B744" s="161"/>
      <c r="C744" s="161"/>
      <c r="D744" s="161"/>
      <c r="F744" s="161"/>
      <c r="G744" s="161"/>
      <c r="H744" s="161"/>
      <c r="I744" s="161"/>
      <c r="J744" s="161"/>
      <c r="M744" s="161"/>
      <c r="N744" s="161"/>
      <c r="R744" s="161"/>
      <c r="S744" s="161"/>
      <c r="W744" s="161"/>
      <c r="X744" s="161"/>
      <c r="Y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L744" s="161"/>
      <c r="AN744" s="161"/>
      <c r="AP744" s="161"/>
      <c r="AQ744" s="161"/>
      <c r="AR744" s="161"/>
      <c r="AS744" s="161"/>
      <c r="AT744" s="161"/>
      <c r="AU744" s="161"/>
      <c r="AV744" s="161"/>
      <c r="AW744" s="161"/>
      <c r="AX744" s="161"/>
      <c r="BA744" s="161"/>
      <c r="BC744" s="161"/>
    </row>
    <row r="745">
      <c r="B745" s="161"/>
      <c r="C745" s="161"/>
      <c r="D745" s="161"/>
      <c r="F745" s="161"/>
      <c r="G745" s="161"/>
      <c r="H745" s="161"/>
      <c r="I745" s="161"/>
      <c r="J745" s="161"/>
      <c r="M745" s="161"/>
      <c r="N745" s="161"/>
      <c r="R745" s="161"/>
      <c r="S745" s="161"/>
      <c r="W745" s="161"/>
      <c r="X745" s="161"/>
      <c r="Y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L745" s="161"/>
      <c r="AN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BA745" s="161"/>
      <c r="BC745" s="161"/>
    </row>
    <row r="746">
      <c r="B746" s="161"/>
      <c r="C746" s="161"/>
      <c r="D746" s="161"/>
      <c r="F746" s="161"/>
      <c r="G746" s="161"/>
      <c r="H746" s="161"/>
      <c r="I746" s="161"/>
      <c r="J746" s="161"/>
      <c r="M746" s="161"/>
      <c r="N746" s="161"/>
      <c r="R746" s="161"/>
      <c r="S746" s="161"/>
      <c r="W746" s="161"/>
      <c r="X746" s="161"/>
      <c r="Y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L746" s="161"/>
      <c r="AN746" s="161"/>
      <c r="AP746" s="161"/>
      <c r="AQ746" s="161"/>
      <c r="AR746" s="161"/>
      <c r="AS746" s="161"/>
      <c r="AT746" s="161"/>
      <c r="AU746" s="161"/>
      <c r="AV746" s="161"/>
      <c r="AW746" s="161"/>
      <c r="AX746" s="161"/>
      <c r="BA746" s="161"/>
      <c r="BC746" s="161"/>
    </row>
    <row r="747">
      <c r="B747" s="161"/>
      <c r="C747" s="161"/>
      <c r="D747" s="161"/>
      <c r="F747" s="161"/>
      <c r="G747" s="161"/>
      <c r="H747" s="161"/>
      <c r="I747" s="161"/>
      <c r="J747" s="161"/>
      <c r="M747" s="161"/>
      <c r="N747" s="161"/>
      <c r="R747" s="161"/>
      <c r="S747" s="161"/>
      <c r="W747" s="161"/>
      <c r="X747" s="161"/>
      <c r="Y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L747" s="161"/>
      <c r="AN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BA747" s="161"/>
      <c r="BC747" s="161"/>
    </row>
    <row r="748">
      <c r="B748" s="161"/>
      <c r="C748" s="161"/>
      <c r="D748" s="161"/>
      <c r="F748" s="161"/>
      <c r="G748" s="161"/>
      <c r="H748" s="161"/>
      <c r="I748" s="161"/>
      <c r="J748" s="161"/>
      <c r="M748" s="161"/>
      <c r="N748" s="161"/>
      <c r="R748" s="161"/>
      <c r="S748" s="161"/>
      <c r="W748" s="161"/>
      <c r="X748" s="161"/>
      <c r="Y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L748" s="161"/>
      <c r="AN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BA748" s="161"/>
      <c r="BC748" s="161"/>
    </row>
    <row r="749">
      <c r="B749" s="161"/>
      <c r="C749" s="161"/>
      <c r="D749" s="161"/>
      <c r="F749" s="161"/>
      <c r="G749" s="161"/>
      <c r="H749" s="161"/>
      <c r="I749" s="161"/>
      <c r="J749" s="161"/>
      <c r="M749" s="161"/>
      <c r="N749" s="161"/>
      <c r="R749" s="161"/>
      <c r="S749" s="161"/>
      <c r="W749" s="161"/>
      <c r="X749" s="161"/>
      <c r="Y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L749" s="161"/>
      <c r="AN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BA749" s="161"/>
      <c r="BC749" s="161"/>
    </row>
    <row r="750">
      <c r="B750" s="161"/>
      <c r="C750" s="161"/>
      <c r="D750" s="161"/>
      <c r="F750" s="161"/>
      <c r="G750" s="161"/>
      <c r="H750" s="161"/>
      <c r="I750" s="161"/>
      <c r="J750" s="161"/>
      <c r="M750" s="161"/>
      <c r="N750" s="161"/>
      <c r="R750" s="161"/>
      <c r="S750" s="161"/>
      <c r="W750" s="161"/>
      <c r="X750" s="161"/>
      <c r="Y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L750" s="161"/>
      <c r="AN750" s="161"/>
      <c r="AP750" s="161"/>
      <c r="AQ750" s="161"/>
      <c r="AR750" s="161"/>
      <c r="AS750" s="161"/>
      <c r="AT750" s="161"/>
      <c r="AU750" s="161"/>
      <c r="AV750" s="161"/>
      <c r="AW750" s="161"/>
      <c r="AX750" s="161"/>
      <c r="BA750" s="161"/>
      <c r="BC750" s="161"/>
    </row>
    <row r="751">
      <c r="B751" s="161"/>
      <c r="C751" s="161"/>
      <c r="D751" s="161"/>
      <c r="F751" s="161"/>
      <c r="G751" s="161"/>
      <c r="H751" s="161"/>
      <c r="I751" s="161"/>
      <c r="J751" s="161"/>
      <c r="M751" s="161"/>
      <c r="N751" s="161"/>
      <c r="R751" s="161"/>
      <c r="S751" s="161"/>
      <c r="W751" s="161"/>
      <c r="X751" s="161"/>
      <c r="Y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L751" s="161"/>
      <c r="AN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BA751" s="161"/>
      <c r="BC751" s="161"/>
    </row>
    <row r="752">
      <c r="B752" s="161"/>
      <c r="C752" s="161"/>
      <c r="D752" s="161"/>
      <c r="F752" s="161"/>
      <c r="G752" s="161"/>
      <c r="H752" s="161"/>
      <c r="I752" s="161"/>
      <c r="J752" s="161"/>
      <c r="M752" s="161"/>
      <c r="N752" s="161"/>
      <c r="R752" s="161"/>
      <c r="S752" s="161"/>
      <c r="W752" s="161"/>
      <c r="X752" s="161"/>
      <c r="Y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L752" s="161"/>
      <c r="AN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BA752" s="161"/>
      <c r="BC752" s="161"/>
    </row>
    <row r="753">
      <c r="B753" s="161"/>
      <c r="C753" s="161"/>
      <c r="D753" s="161"/>
      <c r="F753" s="161"/>
      <c r="G753" s="161"/>
      <c r="H753" s="161"/>
      <c r="I753" s="161"/>
      <c r="J753" s="161"/>
      <c r="M753" s="161"/>
      <c r="N753" s="161"/>
      <c r="R753" s="161"/>
      <c r="S753" s="161"/>
      <c r="W753" s="161"/>
      <c r="X753" s="161"/>
      <c r="Y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L753" s="161"/>
      <c r="AN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BA753" s="161"/>
      <c r="BC753" s="161"/>
    </row>
    <row r="754">
      <c r="B754" s="161"/>
      <c r="C754" s="161"/>
      <c r="D754" s="161"/>
      <c r="F754" s="161"/>
      <c r="G754" s="161"/>
      <c r="H754" s="161"/>
      <c r="I754" s="161"/>
      <c r="J754" s="161"/>
      <c r="M754" s="161"/>
      <c r="N754" s="161"/>
      <c r="R754" s="161"/>
      <c r="S754" s="161"/>
      <c r="W754" s="161"/>
      <c r="X754" s="161"/>
      <c r="Y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L754" s="161"/>
      <c r="AN754" s="161"/>
      <c r="AP754" s="161"/>
      <c r="AQ754" s="161"/>
      <c r="AR754" s="161"/>
      <c r="AS754" s="161"/>
      <c r="AT754" s="161"/>
      <c r="AU754" s="161"/>
      <c r="AV754" s="161"/>
      <c r="AW754" s="161"/>
      <c r="AX754" s="161"/>
      <c r="BA754" s="161"/>
      <c r="BC754" s="161"/>
    </row>
    <row r="755">
      <c r="B755" s="161"/>
      <c r="C755" s="161"/>
      <c r="D755" s="161"/>
      <c r="F755" s="161"/>
      <c r="G755" s="161"/>
      <c r="H755" s="161"/>
      <c r="I755" s="161"/>
      <c r="J755" s="161"/>
      <c r="M755" s="161"/>
      <c r="N755" s="161"/>
      <c r="R755" s="161"/>
      <c r="S755" s="161"/>
      <c r="W755" s="161"/>
      <c r="X755" s="161"/>
      <c r="Y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L755" s="161"/>
      <c r="AN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BA755" s="161"/>
      <c r="BC755" s="161"/>
    </row>
    <row r="756">
      <c r="B756" s="161"/>
      <c r="C756" s="161"/>
      <c r="D756" s="161"/>
      <c r="F756" s="161"/>
      <c r="G756" s="161"/>
      <c r="H756" s="161"/>
      <c r="I756" s="161"/>
      <c r="J756" s="161"/>
      <c r="M756" s="161"/>
      <c r="N756" s="161"/>
      <c r="R756" s="161"/>
      <c r="S756" s="161"/>
      <c r="W756" s="161"/>
      <c r="X756" s="161"/>
      <c r="Y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L756" s="161"/>
      <c r="AN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BA756" s="161"/>
      <c r="BC756" s="161"/>
    </row>
    <row r="757">
      <c r="B757" s="161"/>
      <c r="C757" s="161"/>
      <c r="D757" s="161"/>
      <c r="F757" s="161"/>
      <c r="G757" s="161"/>
      <c r="H757" s="161"/>
      <c r="I757" s="161"/>
      <c r="J757" s="161"/>
      <c r="M757" s="161"/>
      <c r="N757" s="161"/>
      <c r="R757" s="161"/>
      <c r="S757" s="161"/>
      <c r="W757" s="161"/>
      <c r="X757" s="161"/>
      <c r="Y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L757" s="161"/>
      <c r="AN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BA757" s="161"/>
      <c r="BC757" s="161"/>
    </row>
    <row r="758">
      <c r="B758" s="161"/>
      <c r="C758" s="161"/>
      <c r="D758" s="161"/>
      <c r="F758" s="161"/>
      <c r="G758" s="161"/>
      <c r="H758" s="161"/>
      <c r="I758" s="161"/>
      <c r="J758" s="161"/>
      <c r="M758" s="161"/>
      <c r="N758" s="161"/>
      <c r="R758" s="161"/>
      <c r="S758" s="161"/>
      <c r="W758" s="161"/>
      <c r="X758" s="161"/>
      <c r="Y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L758" s="161"/>
      <c r="AN758" s="161"/>
      <c r="AP758" s="161"/>
      <c r="AQ758" s="161"/>
      <c r="AR758" s="161"/>
      <c r="AS758" s="161"/>
      <c r="AT758" s="161"/>
      <c r="AU758" s="161"/>
      <c r="AV758" s="161"/>
      <c r="AW758" s="161"/>
      <c r="AX758" s="161"/>
      <c r="BA758" s="161"/>
      <c r="BC758" s="161"/>
    </row>
    <row r="759">
      <c r="B759" s="161"/>
      <c r="C759" s="161"/>
      <c r="D759" s="161"/>
      <c r="F759" s="161"/>
      <c r="G759" s="161"/>
      <c r="H759" s="161"/>
      <c r="I759" s="161"/>
      <c r="J759" s="161"/>
      <c r="M759" s="161"/>
      <c r="N759" s="161"/>
      <c r="R759" s="161"/>
      <c r="S759" s="161"/>
      <c r="W759" s="161"/>
      <c r="X759" s="161"/>
      <c r="Y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L759" s="161"/>
      <c r="AN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BA759" s="161"/>
      <c r="BC759" s="161"/>
    </row>
    <row r="760">
      <c r="B760" s="161"/>
      <c r="C760" s="161"/>
      <c r="D760" s="161"/>
      <c r="F760" s="161"/>
      <c r="G760" s="161"/>
      <c r="H760" s="161"/>
      <c r="I760" s="161"/>
      <c r="J760" s="161"/>
      <c r="M760" s="161"/>
      <c r="N760" s="161"/>
      <c r="R760" s="161"/>
      <c r="S760" s="161"/>
      <c r="W760" s="161"/>
      <c r="X760" s="161"/>
      <c r="Y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L760" s="161"/>
      <c r="AN760" s="161"/>
      <c r="AP760" s="161"/>
      <c r="AQ760" s="161"/>
      <c r="AR760" s="161"/>
      <c r="AS760" s="161"/>
      <c r="AT760" s="161"/>
      <c r="AU760" s="161"/>
      <c r="AV760" s="161"/>
      <c r="AW760" s="161"/>
      <c r="AX760" s="161"/>
      <c r="BA760" s="161"/>
      <c r="BC760" s="161"/>
    </row>
    <row r="761">
      <c r="B761" s="161"/>
      <c r="C761" s="161"/>
      <c r="D761" s="161"/>
      <c r="F761" s="161"/>
      <c r="G761" s="161"/>
      <c r="H761" s="161"/>
      <c r="I761" s="161"/>
      <c r="J761" s="161"/>
      <c r="M761" s="161"/>
      <c r="N761" s="161"/>
      <c r="R761" s="161"/>
      <c r="S761" s="161"/>
      <c r="W761" s="161"/>
      <c r="X761" s="161"/>
      <c r="Y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L761" s="161"/>
      <c r="AN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BA761" s="161"/>
      <c r="BC761" s="161"/>
    </row>
    <row r="762">
      <c r="B762" s="161"/>
      <c r="C762" s="161"/>
      <c r="D762" s="161"/>
      <c r="F762" s="161"/>
      <c r="G762" s="161"/>
      <c r="H762" s="161"/>
      <c r="I762" s="161"/>
      <c r="J762" s="161"/>
      <c r="M762" s="161"/>
      <c r="N762" s="161"/>
      <c r="R762" s="161"/>
      <c r="S762" s="161"/>
      <c r="W762" s="161"/>
      <c r="X762" s="161"/>
      <c r="Y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L762" s="161"/>
      <c r="AN762" s="161"/>
      <c r="AP762" s="161"/>
      <c r="AQ762" s="161"/>
      <c r="AR762" s="161"/>
      <c r="AS762" s="161"/>
      <c r="AT762" s="161"/>
      <c r="AU762" s="161"/>
      <c r="AV762" s="161"/>
      <c r="AW762" s="161"/>
      <c r="AX762" s="161"/>
      <c r="BA762" s="161"/>
      <c r="BC762" s="161"/>
    </row>
    <row r="763">
      <c r="B763" s="161"/>
      <c r="C763" s="161"/>
      <c r="D763" s="161"/>
      <c r="F763" s="161"/>
      <c r="G763" s="161"/>
      <c r="H763" s="161"/>
      <c r="I763" s="161"/>
      <c r="J763" s="161"/>
      <c r="M763" s="161"/>
      <c r="N763" s="161"/>
      <c r="R763" s="161"/>
      <c r="S763" s="161"/>
      <c r="W763" s="161"/>
      <c r="X763" s="161"/>
      <c r="Y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L763" s="161"/>
      <c r="AN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BA763" s="161"/>
      <c r="BC763" s="161"/>
    </row>
    <row r="764">
      <c r="B764" s="161"/>
      <c r="C764" s="161"/>
      <c r="D764" s="161"/>
      <c r="F764" s="161"/>
      <c r="G764" s="161"/>
      <c r="H764" s="161"/>
      <c r="I764" s="161"/>
      <c r="J764" s="161"/>
      <c r="M764" s="161"/>
      <c r="N764" s="161"/>
      <c r="R764" s="161"/>
      <c r="S764" s="161"/>
      <c r="W764" s="161"/>
      <c r="X764" s="161"/>
      <c r="Y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L764" s="161"/>
      <c r="AN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BA764" s="161"/>
      <c r="BC764" s="161"/>
    </row>
    <row r="765">
      <c r="B765" s="161"/>
      <c r="C765" s="161"/>
      <c r="D765" s="161"/>
      <c r="F765" s="161"/>
      <c r="G765" s="161"/>
      <c r="H765" s="161"/>
      <c r="I765" s="161"/>
      <c r="J765" s="161"/>
      <c r="M765" s="161"/>
      <c r="N765" s="161"/>
      <c r="R765" s="161"/>
      <c r="S765" s="161"/>
      <c r="W765" s="161"/>
      <c r="X765" s="161"/>
      <c r="Y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L765" s="161"/>
      <c r="AN765" s="161"/>
      <c r="AP765" s="161"/>
      <c r="AQ765" s="161"/>
      <c r="AR765" s="161"/>
      <c r="AS765" s="161"/>
      <c r="AT765" s="161"/>
      <c r="AU765" s="161"/>
      <c r="AV765" s="161"/>
      <c r="AW765" s="161"/>
      <c r="AX765" s="161"/>
      <c r="BA765" s="161"/>
      <c r="BC765" s="161"/>
    </row>
    <row r="766">
      <c r="B766" s="161"/>
      <c r="C766" s="161"/>
      <c r="D766" s="161"/>
      <c r="F766" s="161"/>
      <c r="G766" s="161"/>
      <c r="H766" s="161"/>
      <c r="I766" s="161"/>
      <c r="J766" s="161"/>
      <c r="M766" s="161"/>
      <c r="N766" s="161"/>
      <c r="R766" s="161"/>
      <c r="S766" s="161"/>
      <c r="W766" s="161"/>
      <c r="X766" s="161"/>
      <c r="Y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L766" s="161"/>
      <c r="AN766" s="161"/>
      <c r="AP766" s="161"/>
      <c r="AQ766" s="161"/>
      <c r="AR766" s="161"/>
      <c r="AS766" s="161"/>
      <c r="AT766" s="161"/>
      <c r="AU766" s="161"/>
      <c r="AV766" s="161"/>
      <c r="AW766" s="161"/>
      <c r="AX766" s="161"/>
      <c r="BA766" s="161"/>
      <c r="BC766" s="161"/>
    </row>
    <row r="767">
      <c r="B767" s="161"/>
      <c r="C767" s="161"/>
      <c r="D767" s="161"/>
      <c r="F767" s="161"/>
      <c r="G767" s="161"/>
      <c r="H767" s="161"/>
      <c r="I767" s="161"/>
      <c r="J767" s="161"/>
      <c r="M767" s="161"/>
      <c r="N767" s="161"/>
      <c r="R767" s="161"/>
      <c r="S767" s="161"/>
      <c r="W767" s="161"/>
      <c r="X767" s="161"/>
      <c r="Y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L767" s="161"/>
      <c r="AN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BA767" s="161"/>
      <c r="BC767" s="161"/>
    </row>
    <row r="768">
      <c r="B768" s="161"/>
      <c r="C768" s="161"/>
      <c r="D768" s="161"/>
      <c r="F768" s="161"/>
      <c r="G768" s="161"/>
      <c r="H768" s="161"/>
      <c r="I768" s="161"/>
      <c r="J768" s="161"/>
      <c r="M768" s="161"/>
      <c r="N768" s="161"/>
      <c r="R768" s="161"/>
      <c r="S768" s="161"/>
      <c r="W768" s="161"/>
      <c r="X768" s="161"/>
      <c r="Y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L768" s="161"/>
      <c r="AN768" s="161"/>
      <c r="AP768" s="161"/>
      <c r="AQ768" s="161"/>
      <c r="AR768" s="161"/>
      <c r="AS768" s="161"/>
      <c r="AT768" s="161"/>
      <c r="AU768" s="161"/>
      <c r="AV768" s="161"/>
      <c r="AW768" s="161"/>
      <c r="AX768" s="161"/>
      <c r="BA768" s="161"/>
      <c r="BC768" s="161"/>
    </row>
    <row r="769">
      <c r="B769" s="161"/>
      <c r="C769" s="161"/>
      <c r="D769" s="161"/>
      <c r="F769" s="161"/>
      <c r="G769" s="161"/>
      <c r="H769" s="161"/>
      <c r="I769" s="161"/>
      <c r="J769" s="161"/>
      <c r="M769" s="161"/>
      <c r="N769" s="161"/>
      <c r="R769" s="161"/>
      <c r="S769" s="161"/>
      <c r="W769" s="161"/>
      <c r="X769" s="161"/>
      <c r="Y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L769" s="161"/>
      <c r="AN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BA769" s="161"/>
      <c r="BC769" s="161"/>
    </row>
    <row r="770">
      <c r="B770" s="161"/>
      <c r="C770" s="161"/>
      <c r="D770" s="161"/>
      <c r="F770" s="161"/>
      <c r="G770" s="161"/>
      <c r="H770" s="161"/>
      <c r="I770" s="161"/>
      <c r="J770" s="161"/>
      <c r="M770" s="161"/>
      <c r="N770" s="161"/>
      <c r="R770" s="161"/>
      <c r="S770" s="161"/>
      <c r="W770" s="161"/>
      <c r="X770" s="161"/>
      <c r="Y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L770" s="161"/>
      <c r="AN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BA770" s="161"/>
      <c r="BC770" s="161"/>
    </row>
    <row r="771">
      <c r="B771" s="161"/>
      <c r="C771" s="161"/>
      <c r="D771" s="161"/>
      <c r="F771" s="161"/>
      <c r="G771" s="161"/>
      <c r="H771" s="161"/>
      <c r="I771" s="161"/>
      <c r="J771" s="161"/>
      <c r="M771" s="161"/>
      <c r="N771" s="161"/>
      <c r="R771" s="161"/>
      <c r="S771" s="161"/>
      <c r="W771" s="161"/>
      <c r="X771" s="161"/>
      <c r="Y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L771" s="161"/>
      <c r="AN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BA771" s="161"/>
      <c r="BC771" s="161"/>
    </row>
    <row r="772">
      <c r="B772" s="161"/>
      <c r="C772" s="161"/>
      <c r="D772" s="161"/>
      <c r="F772" s="161"/>
      <c r="G772" s="161"/>
      <c r="H772" s="161"/>
      <c r="I772" s="161"/>
      <c r="J772" s="161"/>
      <c r="M772" s="161"/>
      <c r="N772" s="161"/>
      <c r="R772" s="161"/>
      <c r="S772" s="161"/>
      <c r="W772" s="161"/>
      <c r="X772" s="161"/>
      <c r="Y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L772" s="161"/>
      <c r="AN772" s="161"/>
      <c r="AP772" s="161"/>
      <c r="AQ772" s="161"/>
      <c r="AR772" s="161"/>
      <c r="AS772" s="161"/>
      <c r="AT772" s="161"/>
      <c r="AU772" s="161"/>
      <c r="AV772" s="161"/>
      <c r="AW772" s="161"/>
      <c r="AX772" s="161"/>
      <c r="BA772" s="161"/>
      <c r="BC772" s="161"/>
    </row>
    <row r="773">
      <c r="B773" s="161"/>
      <c r="C773" s="161"/>
      <c r="D773" s="161"/>
      <c r="F773" s="161"/>
      <c r="G773" s="161"/>
      <c r="H773" s="161"/>
      <c r="I773" s="161"/>
      <c r="J773" s="161"/>
      <c r="M773" s="161"/>
      <c r="N773" s="161"/>
      <c r="R773" s="161"/>
      <c r="S773" s="161"/>
      <c r="W773" s="161"/>
      <c r="X773" s="161"/>
      <c r="Y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L773" s="161"/>
      <c r="AN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BA773" s="161"/>
      <c r="BC773" s="161"/>
    </row>
    <row r="774">
      <c r="B774" s="161"/>
      <c r="C774" s="161"/>
      <c r="D774" s="161"/>
      <c r="F774" s="161"/>
      <c r="G774" s="161"/>
      <c r="H774" s="161"/>
      <c r="I774" s="161"/>
      <c r="J774" s="161"/>
      <c r="M774" s="161"/>
      <c r="N774" s="161"/>
      <c r="R774" s="161"/>
      <c r="S774" s="161"/>
      <c r="W774" s="161"/>
      <c r="X774" s="161"/>
      <c r="Y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L774" s="161"/>
      <c r="AN774" s="161"/>
      <c r="AP774" s="161"/>
      <c r="AQ774" s="161"/>
      <c r="AR774" s="161"/>
      <c r="AS774" s="161"/>
      <c r="AT774" s="161"/>
      <c r="AU774" s="161"/>
      <c r="AV774" s="161"/>
      <c r="AW774" s="161"/>
      <c r="AX774" s="161"/>
      <c r="BA774" s="161"/>
      <c r="BC774" s="161"/>
    </row>
    <row r="775">
      <c r="B775" s="161"/>
      <c r="C775" s="161"/>
      <c r="D775" s="161"/>
      <c r="F775" s="161"/>
      <c r="G775" s="161"/>
      <c r="H775" s="161"/>
      <c r="I775" s="161"/>
      <c r="J775" s="161"/>
      <c r="M775" s="161"/>
      <c r="N775" s="161"/>
      <c r="R775" s="161"/>
      <c r="S775" s="161"/>
      <c r="W775" s="161"/>
      <c r="X775" s="161"/>
      <c r="Y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L775" s="161"/>
      <c r="AN775" s="161"/>
      <c r="AP775" s="161"/>
      <c r="AQ775" s="161"/>
      <c r="AR775" s="161"/>
      <c r="AS775" s="161"/>
      <c r="AT775" s="161"/>
      <c r="AU775" s="161"/>
      <c r="AV775" s="161"/>
      <c r="AW775" s="161"/>
      <c r="AX775" s="161"/>
      <c r="BA775" s="161"/>
      <c r="BC775" s="161"/>
    </row>
    <row r="776">
      <c r="B776" s="161"/>
      <c r="C776" s="161"/>
      <c r="D776" s="161"/>
      <c r="F776" s="161"/>
      <c r="G776" s="161"/>
      <c r="H776" s="161"/>
      <c r="I776" s="161"/>
      <c r="J776" s="161"/>
      <c r="M776" s="161"/>
      <c r="N776" s="161"/>
      <c r="R776" s="161"/>
      <c r="S776" s="161"/>
      <c r="W776" s="161"/>
      <c r="X776" s="161"/>
      <c r="Y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L776" s="161"/>
      <c r="AN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BA776" s="161"/>
      <c r="BC776" s="161"/>
    </row>
    <row r="777">
      <c r="B777" s="161"/>
      <c r="C777" s="161"/>
      <c r="D777" s="161"/>
      <c r="F777" s="161"/>
      <c r="G777" s="161"/>
      <c r="H777" s="161"/>
      <c r="I777" s="161"/>
      <c r="J777" s="161"/>
      <c r="M777" s="161"/>
      <c r="N777" s="161"/>
      <c r="R777" s="161"/>
      <c r="S777" s="161"/>
      <c r="W777" s="161"/>
      <c r="X777" s="161"/>
      <c r="Y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L777" s="161"/>
      <c r="AN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BA777" s="161"/>
      <c r="BC777" s="161"/>
    </row>
    <row r="778">
      <c r="B778" s="161"/>
      <c r="C778" s="161"/>
      <c r="D778" s="161"/>
      <c r="F778" s="161"/>
      <c r="G778" s="161"/>
      <c r="H778" s="161"/>
      <c r="I778" s="161"/>
      <c r="J778" s="161"/>
      <c r="M778" s="161"/>
      <c r="N778" s="161"/>
      <c r="R778" s="161"/>
      <c r="S778" s="161"/>
      <c r="W778" s="161"/>
      <c r="X778" s="161"/>
      <c r="Y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L778" s="161"/>
      <c r="AN778" s="161"/>
      <c r="AP778" s="161"/>
      <c r="AQ778" s="161"/>
      <c r="AR778" s="161"/>
      <c r="AS778" s="161"/>
      <c r="AT778" s="161"/>
      <c r="AU778" s="161"/>
      <c r="AV778" s="161"/>
      <c r="AW778" s="161"/>
      <c r="AX778" s="161"/>
      <c r="BA778" s="161"/>
      <c r="BC778" s="161"/>
    </row>
    <row r="779">
      <c r="B779" s="161"/>
      <c r="C779" s="161"/>
      <c r="D779" s="161"/>
      <c r="F779" s="161"/>
      <c r="G779" s="161"/>
      <c r="H779" s="161"/>
      <c r="I779" s="161"/>
      <c r="J779" s="161"/>
      <c r="M779" s="161"/>
      <c r="N779" s="161"/>
      <c r="R779" s="161"/>
      <c r="S779" s="161"/>
      <c r="W779" s="161"/>
      <c r="X779" s="161"/>
      <c r="Y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L779" s="161"/>
      <c r="AN779" s="161"/>
      <c r="AP779" s="161"/>
      <c r="AQ779" s="161"/>
      <c r="AR779" s="161"/>
      <c r="AS779" s="161"/>
      <c r="AT779" s="161"/>
      <c r="AU779" s="161"/>
      <c r="AV779" s="161"/>
      <c r="AW779" s="161"/>
      <c r="AX779" s="161"/>
      <c r="BA779" s="161"/>
      <c r="BC779" s="161"/>
    </row>
    <row r="780">
      <c r="B780" s="161"/>
      <c r="C780" s="161"/>
      <c r="D780" s="161"/>
      <c r="F780" s="161"/>
      <c r="G780" s="161"/>
      <c r="H780" s="161"/>
      <c r="I780" s="161"/>
      <c r="J780" s="161"/>
      <c r="M780" s="161"/>
      <c r="N780" s="161"/>
      <c r="R780" s="161"/>
      <c r="S780" s="161"/>
      <c r="W780" s="161"/>
      <c r="X780" s="161"/>
      <c r="Y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L780" s="161"/>
      <c r="AN780" s="161"/>
      <c r="AP780" s="161"/>
      <c r="AQ780" s="161"/>
      <c r="AR780" s="161"/>
      <c r="AS780" s="161"/>
      <c r="AT780" s="161"/>
      <c r="AU780" s="161"/>
      <c r="AV780" s="161"/>
      <c r="AW780" s="161"/>
      <c r="AX780" s="161"/>
      <c r="BA780" s="161"/>
      <c r="BC780" s="161"/>
    </row>
    <row r="781">
      <c r="B781" s="161"/>
      <c r="C781" s="161"/>
      <c r="D781" s="161"/>
      <c r="F781" s="161"/>
      <c r="G781" s="161"/>
      <c r="H781" s="161"/>
      <c r="I781" s="161"/>
      <c r="J781" s="161"/>
      <c r="M781" s="161"/>
      <c r="N781" s="161"/>
      <c r="R781" s="161"/>
      <c r="S781" s="161"/>
      <c r="W781" s="161"/>
      <c r="X781" s="161"/>
      <c r="Y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L781" s="161"/>
      <c r="AN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BA781" s="161"/>
      <c r="BC781" s="161"/>
    </row>
    <row r="782">
      <c r="B782" s="161"/>
      <c r="C782" s="161"/>
      <c r="D782" s="161"/>
      <c r="F782" s="161"/>
      <c r="G782" s="161"/>
      <c r="H782" s="161"/>
      <c r="I782" s="161"/>
      <c r="J782" s="161"/>
      <c r="M782" s="161"/>
      <c r="N782" s="161"/>
      <c r="R782" s="161"/>
      <c r="S782" s="161"/>
      <c r="W782" s="161"/>
      <c r="X782" s="161"/>
      <c r="Y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L782" s="161"/>
      <c r="AN782" s="161"/>
      <c r="AP782" s="161"/>
      <c r="AQ782" s="161"/>
      <c r="AR782" s="161"/>
      <c r="AS782" s="161"/>
      <c r="AT782" s="161"/>
      <c r="AU782" s="161"/>
      <c r="AV782" s="161"/>
      <c r="AW782" s="161"/>
      <c r="AX782" s="161"/>
      <c r="BA782" s="161"/>
      <c r="BC782" s="161"/>
    </row>
    <row r="783">
      <c r="B783" s="161"/>
      <c r="C783" s="161"/>
      <c r="D783" s="161"/>
      <c r="F783" s="161"/>
      <c r="G783" s="161"/>
      <c r="H783" s="161"/>
      <c r="I783" s="161"/>
      <c r="J783" s="161"/>
      <c r="M783" s="161"/>
      <c r="N783" s="161"/>
      <c r="R783" s="161"/>
      <c r="S783" s="161"/>
      <c r="W783" s="161"/>
      <c r="X783" s="161"/>
      <c r="Y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L783" s="161"/>
      <c r="AN783" s="161"/>
      <c r="AP783" s="161"/>
      <c r="AQ783" s="161"/>
      <c r="AR783" s="161"/>
      <c r="AS783" s="161"/>
      <c r="AT783" s="161"/>
      <c r="AU783" s="161"/>
      <c r="AV783" s="161"/>
      <c r="AW783" s="161"/>
      <c r="AX783" s="161"/>
      <c r="BA783" s="161"/>
      <c r="BC783" s="161"/>
    </row>
    <row r="784">
      <c r="B784" s="161"/>
      <c r="C784" s="161"/>
      <c r="D784" s="161"/>
      <c r="F784" s="161"/>
      <c r="G784" s="161"/>
      <c r="H784" s="161"/>
      <c r="I784" s="161"/>
      <c r="J784" s="161"/>
      <c r="M784" s="161"/>
      <c r="N784" s="161"/>
      <c r="R784" s="161"/>
      <c r="S784" s="161"/>
      <c r="W784" s="161"/>
      <c r="X784" s="161"/>
      <c r="Y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L784" s="161"/>
      <c r="AN784" s="161"/>
      <c r="AP784" s="161"/>
      <c r="AQ784" s="161"/>
      <c r="AR784" s="161"/>
      <c r="AS784" s="161"/>
      <c r="AT784" s="161"/>
      <c r="AU784" s="161"/>
      <c r="AV784" s="161"/>
      <c r="AW784" s="161"/>
      <c r="AX784" s="161"/>
      <c r="BA784" s="161"/>
      <c r="BC784" s="161"/>
    </row>
    <row r="785">
      <c r="B785" s="161"/>
      <c r="C785" s="161"/>
      <c r="D785" s="161"/>
      <c r="F785" s="161"/>
      <c r="G785" s="161"/>
      <c r="H785" s="161"/>
      <c r="I785" s="161"/>
      <c r="J785" s="161"/>
      <c r="M785" s="161"/>
      <c r="N785" s="161"/>
      <c r="R785" s="161"/>
      <c r="S785" s="161"/>
      <c r="W785" s="161"/>
      <c r="X785" s="161"/>
      <c r="Y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L785" s="161"/>
      <c r="AN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BA785" s="161"/>
      <c r="BC785" s="161"/>
    </row>
    <row r="786">
      <c r="B786" s="161"/>
      <c r="C786" s="161"/>
      <c r="D786" s="161"/>
      <c r="F786" s="161"/>
      <c r="G786" s="161"/>
      <c r="H786" s="161"/>
      <c r="I786" s="161"/>
      <c r="J786" s="161"/>
      <c r="M786" s="161"/>
      <c r="N786" s="161"/>
      <c r="R786" s="161"/>
      <c r="S786" s="161"/>
      <c r="W786" s="161"/>
      <c r="X786" s="161"/>
      <c r="Y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L786" s="161"/>
      <c r="AN786" s="161"/>
      <c r="AP786" s="161"/>
      <c r="AQ786" s="161"/>
      <c r="AR786" s="161"/>
      <c r="AS786" s="161"/>
      <c r="AT786" s="161"/>
      <c r="AU786" s="161"/>
      <c r="AV786" s="161"/>
      <c r="AW786" s="161"/>
      <c r="AX786" s="161"/>
      <c r="BA786" s="161"/>
      <c r="BC786" s="161"/>
    </row>
    <row r="787">
      <c r="B787" s="161"/>
      <c r="C787" s="161"/>
      <c r="D787" s="161"/>
      <c r="F787" s="161"/>
      <c r="G787" s="161"/>
      <c r="H787" s="161"/>
      <c r="I787" s="161"/>
      <c r="J787" s="161"/>
      <c r="M787" s="161"/>
      <c r="N787" s="161"/>
      <c r="R787" s="161"/>
      <c r="S787" s="161"/>
      <c r="W787" s="161"/>
      <c r="X787" s="161"/>
      <c r="Y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L787" s="161"/>
      <c r="AN787" s="161"/>
      <c r="AP787" s="161"/>
      <c r="AQ787" s="161"/>
      <c r="AR787" s="161"/>
      <c r="AS787" s="161"/>
      <c r="AT787" s="161"/>
      <c r="AU787" s="161"/>
      <c r="AV787" s="161"/>
      <c r="AW787" s="161"/>
      <c r="AX787" s="161"/>
      <c r="BA787" s="161"/>
      <c r="BC787" s="161"/>
    </row>
    <row r="788">
      <c r="B788" s="161"/>
      <c r="C788" s="161"/>
      <c r="D788" s="161"/>
      <c r="F788" s="161"/>
      <c r="G788" s="161"/>
      <c r="H788" s="161"/>
      <c r="I788" s="161"/>
      <c r="J788" s="161"/>
      <c r="M788" s="161"/>
      <c r="N788" s="161"/>
      <c r="R788" s="161"/>
      <c r="S788" s="161"/>
      <c r="W788" s="161"/>
      <c r="X788" s="161"/>
      <c r="Y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L788" s="161"/>
      <c r="AN788" s="161"/>
      <c r="AP788" s="161"/>
      <c r="AQ788" s="161"/>
      <c r="AR788" s="161"/>
      <c r="AS788" s="161"/>
      <c r="AT788" s="161"/>
      <c r="AU788" s="161"/>
      <c r="AV788" s="161"/>
      <c r="AW788" s="161"/>
      <c r="AX788" s="161"/>
      <c r="BA788" s="161"/>
      <c r="BC788" s="161"/>
    </row>
    <row r="789">
      <c r="B789" s="161"/>
      <c r="C789" s="161"/>
      <c r="D789" s="161"/>
      <c r="F789" s="161"/>
      <c r="G789" s="161"/>
      <c r="H789" s="161"/>
      <c r="I789" s="161"/>
      <c r="J789" s="161"/>
      <c r="M789" s="161"/>
      <c r="N789" s="161"/>
      <c r="R789" s="161"/>
      <c r="S789" s="161"/>
      <c r="W789" s="161"/>
      <c r="X789" s="161"/>
      <c r="Y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L789" s="161"/>
      <c r="AN789" s="161"/>
      <c r="AP789" s="161"/>
      <c r="AQ789" s="161"/>
      <c r="AR789" s="161"/>
      <c r="AS789" s="161"/>
      <c r="AT789" s="161"/>
      <c r="AU789" s="161"/>
      <c r="AV789" s="161"/>
      <c r="AW789" s="161"/>
      <c r="AX789" s="161"/>
      <c r="BA789" s="161"/>
      <c r="BC789" s="161"/>
    </row>
    <row r="790">
      <c r="B790" s="161"/>
      <c r="C790" s="161"/>
      <c r="D790" s="161"/>
      <c r="F790" s="161"/>
      <c r="G790" s="161"/>
      <c r="H790" s="161"/>
      <c r="I790" s="161"/>
      <c r="J790" s="161"/>
      <c r="M790" s="161"/>
      <c r="N790" s="161"/>
      <c r="R790" s="161"/>
      <c r="S790" s="161"/>
      <c r="W790" s="161"/>
      <c r="X790" s="161"/>
      <c r="Y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L790" s="161"/>
      <c r="AN790" s="161"/>
      <c r="AP790" s="161"/>
      <c r="AQ790" s="161"/>
      <c r="AR790" s="161"/>
      <c r="AS790" s="161"/>
      <c r="AT790" s="161"/>
      <c r="AU790" s="161"/>
      <c r="AV790" s="161"/>
      <c r="AW790" s="161"/>
      <c r="AX790" s="161"/>
      <c r="BA790" s="161"/>
      <c r="BC790" s="161"/>
    </row>
    <row r="791">
      <c r="B791" s="161"/>
      <c r="C791" s="161"/>
      <c r="D791" s="161"/>
      <c r="F791" s="161"/>
      <c r="G791" s="161"/>
      <c r="H791" s="161"/>
      <c r="I791" s="161"/>
      <c r="J791" s="161"/>
      <c r="M791" s="161"/>
      <c r="N791" s="161"/>
      <c r="R791" s="161"/>
      <c r="S791" s="161"/>
      <c r="W791" s="161"/>
      <c r="X791" s="161"/>
      <c r="Y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L791" s="161"/>
      <c r="AN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BA791" s="161"/>
      <c r="BC791" s="161"/>
    </row>
    <row r="792">
      <c r="B792" s="161"/>
      <c r="C792" s="161"/>
      <c r="D792" s="161"/>
      <c r="F792" s="161"/>
      <c r="G792" s="161"/>
      <c r="H792" s="161"/>
      <c r="I792" s="161"/>
      <c r="J792" s="161"/>
      <c r="M792" s="161"/>
      <c r="N792" s="161"/>
      <c r="R792" s="161"/>
      <c r="S792" s="161"/>
      <c r="W792" s="161"/>
      <c r="X792" s="161"/>
      <c r="Y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L792" s="161"/>
      <c r="AN792" s="161"/>
      <c r="AP792" s="161"/>
      <c r="AQ792" s="161"/>
      <c r="AR792" s="161"/>
      <c r="AS792" s="161"/>
      <c r="AT792" s="161"/>
      <c r="AU792" s="161"/>
      <c r="AV792" s="161"/>
      <c r="AW792" s="161"/>
      <c r="AX792" s="161"/>
      <c r="BA792" s="161"/>
      <c r="BC792" s="161"/>
    </row>
    <row r="793">
      <c r="B793" s="161"/>
      <c r="C793" s="161"/>
      <c r="D793" s="161"/>
      <c r="F793" s="161"/>
      <c r="G793" s="161"/>
      <c r="H793" s="161"/>
      <c r="I793" s="161"/>
      <c r="J793" s="161"/>
      <c r="M793" s="161"/>
      <c r="N793" s="161"/>
      <c r="R793" s="161"/>
      <c r="S793" s="161"/>
      <c r="W793" s="161"/>
      <c r="X793" s="161"/>
      <c r="Y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L793" s="161"/>
      <c r="AN793" s="161"/>
      <c r="AP793" s="161"/>
      <c r="AQ793" s="161"/>
      <c r="AR793" s="161"/>
      <c r="AS793" s="161"/>
      <c r="AT793" s="161"/>
      <c r="AU793" s="161"/>
      <c r="AV793" s="161"/>
      <c r="AW793" s="161"/>
      <c r="AX793" s="161"/>
      <c r="BA793" s="161"/>
      <c r="BC793" s="161"/>
    </row>
    <row r="794">
      <c r="B794" s="161"/>
      <c r="C794" s="161"/>
      <c r="D794" s="161"/>
      <c r="F794" s="161"/>
      <c r="G794" s="161"/>
      <c r="H794" s="161"/>
      <c r="I794" s="161"/>
      <c r="J794" s="161"/>
      <c r="M794" s="161"/>
      <c r="N794" s="161"/>
      <c r="R794" s="161"/>
      <c r="S794" s="161"/>
      <c r="W794" s="161"/>
      <c r="X794" s="161"/>
      <c r="Y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L794" s="161"/>
      <c r="AN794" s="161"/>
      <c r="AP794" s="161"/>
      <c r="AQ794" s="161"/>
      <c r="AR794" s="161"/>
      <c r="AS794" s="161"/>
      <c r="AT794" s="161"/>
      <c r="AU794" s="161"/>
      <c r="AV794" s="161"/>
      <c r="AW794" s="161"/>
      <c r="AX794" s="161"/>
      <c r="BA794" s="161"/>
      <c r="BC794" s="161"/>
    </row>
    <row r="795">
      <c r="B795" s="161"/>
      <c r="C795" s="161"/>
      <c r="D795" s="161"/>
      <c r="F795" s="161"/>
      <c r="G795" s="161"/>
      <c r="H795" s="161"/>
      <c r="I795" s="161"/>
      <c r="J795" s="161"/>
      <c r="M795" s="161"/>
      <c r="N795" s="161"/>
      <c r="R795" s="161"/>
      <c r="S795" s="161"/>
      <c r="W795" s="161"/>
      <c r="X795" s="161"/>
      <c r="Y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L795" s="161"/>
      <c r="AN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BA795" s="161"/>
      <c r="BC795" s="161"/>
    </row>
    <row r="796">
      <c r="B796" s="161"/>
      <c r="C796" s="161"/>
      <c r="D796" s="161"/>
      <c r="F796" s="161"/>
      <c r="G796" s="161"/>
      <c r="H796" s="161"/>
      <c r="I796" s="161"/>
      <c r="J796" s="161"/>
      <c r="M796" s="161"/>
      <c r="N796" s="161"/>
      <c r="R796" s="161"/>
      <c r="S796" s="161"/>
      <c r="W796" s="161"/>
      <c r="X796" s="161"/>
      <c r="Y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L796" s="161"/>
      <c r="AN796" s="161"/>
      <c r="AP796" s="161"/>
      <c r="AQ796" s="161"/>
      <c r="AR796" s="161"/>
      <c r="AS796" s="161"/>
      <c r="AT796" s="161"/>
      <c r="AU796" s="161"/>
      <c r="AV796" s="161"/>
      <c r="AW796" s="161"/>
      <c r="AX796" s="161"/>
      <c r="BA796" s="161"/>
      <c r="BC796" s="161"/>
    </row>
    <row r="797">
      <c r="B797" s="161"/>
      <c r="C797" s="161"/>
      <c r="D797" s="161"/>
      <c r="F797" s="161"/>
      <c r="G797" s="161"/>
      <c r="H797" s="161"/>
      <c r="I797" s="161"/>
      <c r="J797" s="161"/>
      <c r="M797" s="161"/>
      <c r="N797" s="161"/>
      <c r="R797" s="161"/>
      <c r="S797" s="161"/>
      <c r="W797" s="161"/>
      <c r="X797" s="161"/>
      <c r="Y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L797" s="161"/>
      <c r="AN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BA797" s="161"/>
      <c r="BC797" s="161"/>
    </row>
    <row r="798">
      <c r="B798" s="161"/>
      <c r="C798" s="161"/>
      <c r="D798" s="161"/>
      <c r="F798" s="161"/>
      <c r="G798" s="161"/>
      <c r="H798" s="161"/>
      <c r="I798" s="161"/>
      <c r="J798" s="161"/>
      <c r="M798" s="161"/>
      <c r="N798" s="161"/>
      <c r="R798" s="161"/>
      <c r="S798" s="161"/>
      <c r="W798" s="161"/>
      <c r="X798" s="161"/>
      <c r="Y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L798" s="161"/>
      <c r="AN798" s="161"/>
      <c r="AP798" s="161"/>
      <c r="AQ798" s="161"/>
      <c r="AR798" s="161"/>
      <c r="AS798" s="161"/>
      <c r="AT798" s="161"/>
      <c r="AU798" s="161"/>
      <c r="AV798" s="161"/>
      <c r="AW798" s="161"/>
      <c r="AX798" s="161"/>
      <c r="BA798" s="161"/>
      <c r="BC798" s="161"/>
    </row>
    <row r="799">
      <c r="B799" s="161"/>
      <c r="C799" s="161"/>
      <c r="D799" s="161"/>
      <c r="F799" s="161"/>
      <c r="G799" s="161"/>
      <c r="H799" s="161"/>
      <c r="I799" s="161"/>
      <c r="J799" s="161"/>
      <c r="M799" s="161"/>
      <c r="N799" s="161"/>
      <c r="R799" s="161"/>
      <c r="S799" s="161"/>
      <c r="W799" s="161"/>
      <c r="X799" s="161"/>
      <c r="Y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L799" s="161"/>
      <c r="AN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BA799" s="161"/>
      <c r="BC799" s="161"/>
    </row>
    <row r="800">
      <c r="B800" s="161"/>
      <c r="C800" s="161"/>
      <c r="D800" s="161"/>
      <c r="F800" s="161"/>
      <c r="G800" s="161"/>
      <c r="H800" s="161"/>
      <c r="I800" s="161"/>
      <c r="J800" s="161"/>
      <c r="M800" s="161"/>
      <c r="N800" s="161"/>
      <c r="R800" s="161"/>
      <c r="S800" s="161"/>
      <c r="W800" s="161"/>
      <c r="X800" s="161"/>
      <c r="Y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L800" s="161"/>
      <c r="AN800" s="161"/>
      <c r="AP800" s="161"/>
      <c r="AQ800" s="161"/>
      <c r="AR800" s="161"/>
      <c r="AS800" s="161"/>
      <c r="AT800" s="161"/>
      <c r="AU800" s="161"/>
      <c r="AV800" s="161"/>
      <c r="AW800" s="161"/>
      <c r="AX800" s="161"/>
      <c r="BA800" s="161"/>
      <c r="BC800" s="161"/>
    </row>
    <row r="801">
      <c r="B801" s="161"/>
      <c r="C801" s="161"/>
      <c r="D801" s="161"/>
      <c r="F801" s="161"/>
      <c r="G801" s="161"/>
      <c r="H801" s="161"/>
      <c r="I801" s="161"/>
      <c r="J801" s="161"/>
      <c r="M801" s="161"/>
      <c r="N801" s="161"/>
      <c r="R801" s="161"/>
      <c r="S801" s="161"/>
      <c r="W801" s="161"/>
      <c r="X801" s="161"/>
      <c r="Y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L801" s="161"/>
      <c r="AN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BA801" s="161"/>
      <c r="BC801" s="161"/>
    </row>
    <row r="802">
      <c r="B802" s="161"/>
      <c r="C802" s="161"/>
      <c r="D802" s="161"/>
      <c r="F802" s="161"/>
      <c r="G802" s="161"/>
      <c r="H802" s="161"/>
      <c r="I802" s="161"/>
      <c r="J802" s="161"/>
      <c r="M802" s="161"/>
      <c r="N802" s="161"/>
      <c r="R802" s="161"/>
      <c r="S802" s="161"/>
      <c r="W802" s="161"/>
      <c r="X802" s="161"/>
      <c r="Y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L802" s="161"/>
      <c r="AN802" s="161"/>
      <c r="AP802" s="161"/>
      <c r="AQ802" s="161"/>
      <c r="AR802" s="161"/>
      <c r="AS802" s="161"/>
      <c r="AT802" s="161"/>
      <c r="AU802" s="161"/>
      <c r="AV802" s="161"/>
      <c r="AW802" s="161"/>
      <c r="AX802" s="161"/>
      <c r="BA802" s="161"/>
      <c r="BC802" s="161"/>
    </row>
    <row r="803">
      <c r="B803" s="161"/>
      <c r="C803" s="161"/>
      <c r="D803" s="161"/>
      <c r="F803" s="161"/>
      <c r="G803" s="161"/>
      <c r="H803" s="161"/>
      <c r="I803" s="161"/>
      <c r="J803" s="161"/>
      <c r="M803" s="161"/>
      <c r="N803" s="161"/>
      <c r="R803" s="161"/>
      <c r="S803" s="161"/>
      <c r="W803" s="161"/>
      <c r="X803" s="161"/>
      <c r="Y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L803" s="161"/>
      <c r="AN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BA803" s="161"/>
      <c r="BC803" s="161"/>
    </row>
    <row r="804">
      <c r="B804" s="161"/>
      <c r="C804" s="161"/>
      <c r="D804" s="161"/>
      <c r="F804" s="161"/>
      <c r="G804" s="161"/>
      <c r="H804" s="161"/>
      <c r="I804" s="161"/>
      <c r="J804" s="161"/>
      <c r="M804" s="161"/>
      <c r="N804" s="161"/>
      <c r="R804" s="161"/>
      <c r="S804" s="161"/>
      <c r="W804" s="161"/>
      <c r="X804" s="161"/>
      <c r="Y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L804" s="161"/>
      <c r="AN804" s="161"/>
      <c r="AP804" s="161"/>
      <c r="AQ804" s="161"/>
      <c r="AR804" s="161"/>
      <c r="AS804" s="161"/>
      <c r="AT804" s="161"/>
      <c r="AU804" s="161"/>
      <c r="AV804" s="161"/>
      <c r="AW804" s="161"/>
      <c r="AX804" s="161"/>
      <c r="BA804" s="161"/>
      <c r="BC804" s="161"/>
    </row>
    <row r="805">
      <c r="B805" s="161"/>
      <c r="C805" s="161"/>
      <c r="D805" s="161"/>
      <c r="F805" s="161"/>
      <c r="G805" s="161"/>
      <c r="H805" s="161"/>
      <c r="I805" s="161"/>
      <c r="J805" s="161"/>
      <c r="M805" s="161"/>
      <c r="N805" s="161"/>
      <c r="R805" s="161"/>
      <c r="S805" s="161"/>
      <c r="W805" s="161"/>
      <c r="X805" s="161"/>
      <c r="Y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L805" s="161"/>
      <c r="AN805" s="161"/>
      <c r="AP805" s="161"/>
      <c r="AQ805" s="161"/>
      <c r="AR805" s="161"/>
      <c r="AS805" s="161"/>
      <c r="AT805" s="161"/>
      <c r="AU805" s="161"/>
      <c r="AV805" s="161"/>
      <c r="AW805" s="161"/>
      <c r="AX805" s="161"/>
      <c r="BA805" s="161"/>
      <c r="BC805" s="161"/>
    </row>
    <row r="806">
      <c r="B806" s="161"/>
      <c r="C806" s="161"/>
      <c r="D806" s="161"/>
      <c r="F806" s="161"/>
      <c r="G806" s="161"/>
      <c r="H806" s="161"/>
      <c r="I806" s="161"/>
      <c r="J806" s="161"/>
      <c r="M806" s="161"/>
      <c r="N806" s="161"/>
      <c r="R806" s="161"/>
      <c r="S806" s="161"/>
      <c r="W806" s="161"/>
      <c r="X806" s="161"/>
      <c r="Y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L806" s="161"/>
      <c r="AN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BA806" s="161"/>
      <c r="BC806" s="161"/>
    </row>
    <row r="807">
      <c r="B807" s="161"/>
      <c r="C807" s="161"/>
      <c r="D807" s="161"/>
      <c r="F807" s="161"/>
      <c r="G807" s="161"/>
      <c r="H807" s="161"/>
      <c r="I807" s="161"/>
      <c r="J807" s="161"/>
      <c r="M807" s="161"/>
      <c r="N807" s="161"/>
      <c r="R807" s="161"/>
      <c r="S807" s="161"/>
      <c r="W807" s="161"/>
      <c r="X807" s="161"/>
      <c r="Y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L807" s="161"/>
      <c r="AN807" s="161"/>
      <c r="AP807" s="161"/>
      <c r="AQ807" s="161"/>
      <c r="AR807" s="161"/>
      <c r="AS807" s="161"/>
      <c r="AT807" s="161"/>
      <c r="AU807" s="161"/>
      <c r="AV807" s="161"/>
      <c r="AW807" s="161"/>
      <c r="AX807" s="161"/>
      <c r="BA807" s="161"/>
      <c r="BC807" s="161"/>
    </row>
    <row r="808">
      <c r="B808" s="161"/>
      <c r="C808" s="161"/>
      <c r="D808" s="161"/>
      <c r="F808" s="161"/>
      <c r="G808" s="161"/>
      <c r="H808" s="161"/>
      <c r="I808" s="161"/>
      <c r="J808" s="161"/>
      <c r="M808" s="161"/>
      <c r="N808" s="161"/>
      <c r="R808" s="161"/>
      <c r="S808" s="161"/>
      <c r="W808" s="161"/>
      <c r="X808" s="161"/>
      <c r="Y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L808" s="161"/>
      <c r="AN808" s="161"/>
      <c r="AP808" s="161"/>
      <c r="AQ808" s="161"/>
      <c r="AR808" s="161"/>
      <c r="AS808" s="161"/>
      <c r="AT808" s="161"/>
      <c r="AU808" s="161"/>
      <c r="AV808" s="161"/>
      <c r="AW808" s="161"/>
      <c r="AX808" s="161"/>
      <c r="BA808" s="161"/>
      <c r="BC808" s="161"/>
    </row>
    <row r="809">
      <c r="B809" s="161"/>
      <c r="C809" s="161"/>
      <c r="D809" s="161"/>
      <c r="F809" s="161"/>
      <c r="G809" s="161"/>
      <c r="H809" s="161"/>
      <c r="I809" s="161"/>
      <c r="J809" s="161"/>
      <c r="M809" s="161"/>
      <c r="N809" s="161"/>
      <c r="R809" s="161"/>
      <c r="S809" s="161"/>
      <c r="W809" s="161"/>
      <c r="X809" s="161"/>
      <c r="Y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L809" s="161"/>
      <c r="AN809" s="161"/>
      <c r="AP809" s="161"/>
      <c r="AQ809" s="161"/>
      <c r="AR809" s="161"/>
      <c r="AS809" s="161"/>
      <c r="AT809" s="161"/>
      <c r="AU809" s="161"/>
      <c r="AV809" s="161"/>
      <c r="AW809" s="161"/>
      <c r="AX809" s="161"/>
      <c r="BA809" s="161"/>
      <c r="BC809" s="161"/>
    </row>
    <row r="810">
      <c r="B810" s="161"/>
      <c r="C810" s="161"/>
      <c r="D810" s="161"/>
      <c r="F810" s="161"/>
      <c r="G810" s="161"/>
      <c r="H810" s="161"/>
      <c r="I810" s="161"/>
      <c r="J810" s="161"/>
      <c r="M810" s="161"/>
      <c r="N810" s="161"/>
      <c r="R810" s="161"/>
      <c r="S810" s="161"/>
      <c r="W810" s="161"/>
      <c r="X810" s="161"/>
      <c r="Y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L810" s="161"/>
      <c r="AN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BA810" s="161"/>
      <c r="BC810" s="161"/>
    </row>
    <row r="811">
      <c r="B811" s="161"/>
      <c r="C811" s="161"/>
      <c r="D811" s="161"/>
      <c r="F811" s="161"/>
      <c r="G811" s="161"/>
      <c r="H811" s="161"/>
      <c r="I811" s="161"/>
      <c r="J811" s="161"/>
      <c r="M811" s="161"/>
      <c r="N811" s="161"/>
      <c r="R811" s="161"/>
      <c r="S811" s="161"/>
      <c r="W811" s="161"/>
      <c r="X811" s="161"/>
      <c r="Y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L811" s="161"/>
      <c r="AN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BA811" s="161"/>
      <c r="BC811" s="161"/>
    </row>
    <row r="812">
      <c r="B812" s="161"/>
      <c r="C812" s="161"/>
      <c r="D812" s="161"/>
      <c r="F812" s="161"/>
      <c r="G812" s="161"/>
      <c r="H812" s="161"/>
      <c r="I812" s="161"/>
      <c r="J812" s="161"/>
      <c r="M812" s="161"/>
      <c r="N812" s="161"/>
      <c r="R812" s="161"/>
      <c r="S812" s="161"/>
      <c r="W812" s="161"/>
      <c r="X812" s="161"/>
      <c r="Y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L812" s="161"/>
      <c r="AN812" s="161"/>
      <c r="AP812" s="161"/>
      <c r="AQ812" s="161"/>
      <c r="AR812" s="161"/>
      <c r="AS812" s="161"/>
      <c r="AT812" s="161"/>
      <c r="AU812" s="161"/>
      <c r="AV812" s="161"/>
      <c r="AW812" s="161"/>
      <c r="AX812" s="161"/>
      <c r="BA812" s="161"/>
      <c r="BC812" s="161"/>
    </row>
    <row r="813">
      <c r="B813" s="161"/>
      <c r="C813" s="161"/>
      <c r="D813" s="161"/>
      <c r="F813" s="161"/>
      <c r="G813" s="161"/>
      <c r="H813" s="161"/>
      <c r="I813" s="161"/>
      <c r="J813" s="161"/>
      <c r="M813" s="161"/>
      <c r="N813" s="161"/>
      <c r="R813" s="161"/>
      <c r="S813" s="161"/>
      <c r="W813" s="161"/>
      <c r="X813" s="161"/>
      <c r="Y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L813" s="161"/>
      <c r="AN813" s="161"/>
      <c r="AP813" s="161"/>
      <c r="AQ813" s="161"/>
      <c r="AR813" s="161"/>
      <c r="AS813" s="161"/>
      <c r="AT813" s="161"/>
      <c r="AU813" s="161"/>
      <c r="AV813" s="161"/>
      <c r="AW813" s="161"/>
      <c r="AX813" s="161"/>
      <c r="BA813" s="161"/>
      <c r="BC813" s="161"/>
    </row>
    <row r="814">
      <c r="B814" s="161"/>
      <c r="C814" s="161"/>
      <c r="D814" s="161"/>
      <c r="F814" s="161"/>
      <c r="G814" s="161"/>
      <c r="H814" s="161"/>
      <c r="I814" s="161"/>
      <c r="J814" s="161"/>
      <c r="M814" s="161"/>
      <c r="N814" s="161"/>
      <c r="R814" s="161"/>
      <c r="S814" s="161"/>
      <c r="W814" s="161"/>
      <c r="X814" s="161"/>
      <c r="Y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L814" s="161"/>
      <c r="AN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BA814" s="161"/>
      <c r="BC814" s="161"/>
    </row>
    <row r="815">
      <c r="B815" s="161"/>
      <c r="C815" s="161"/>
      <c r="D815" s="161"/>
      <c r="F815" s="161"/>
      <c r="G815" s="161"/>
      <c r="H815" s="161"/>
      <c r="I815" s="161"/>
      <c r="J815" s="161"/>
      <c r="M815" s="161"/>
      <c r="N815" s="161"/>
      <c r="R815" s="161"/>
      <c r="S815" s="161"/>
      <c r="W815" s="161"/>
      <c r="X815" s="161"/>
      <c r="Y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L815" s="161"/>
      <c r="AN815" s="161"/>
      <c r="AP815" s="161"/>
      <c r="AQ815" s="161"/>
      <c r="AR815" s="161"/>
      <c r="AS815" s="161"/>
      <c r="AT815" s="161"/>
      <c r="AU815" s="161"/>
      <c r="AV815" s="161"/>
      <c r="AW815" s="161"/>
      <c r="AX815" s="161"/>
      <c r="BA815" s="161"/>
      <c r="BC815" s="161"/>
    </row>
    <row r="816">
      <c r="B816" s="161"/>
      <c r="C816" s="161"/>
      <c r="D816" s="161"/>
      <c r="F816" s="161"/>
      <c r="G816" s="161"/>
      <c r="H816" s="161"/>
      <c r="I816" s="161"/>
      <c r="J816" s="161"/>
      <c r="M816" s="161"/>
      <c r="N816" s="161"/>
      <c r="R816" s="161"/>
      <c r="S816" s="161"/>
      <c r="W816" s="161"/>
      <c r="X816" s="161"/>
      <c r="Y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L816" s="161"/>
      <c r="AN816" s="161"/>
      <c r="AP816" s="161"/>
      <c r="AQ816" s="161"/>
      <c r="AR816" s="161"/>
      <c r="AS816" s="161"/>
      <c r="AT816" s="161"/>
      <c r="AU816" s="161"/>
      <c r="AV816" s="161"/>
      <c r="AW816" s="161"/>
      <c r="AX816" s="161"/>
      <c r="BA816" s="161"/>
      <c r="BC816" s="161"/>
    </row>
    <row r="817">
      <c r="B817" s="161"/>
      <c r="C817" s="161"/>
      <c r="D817" s="161"/>
      <c r="F817" s="161"/>
      <c r="G817" s="161"/>
      <c r="H817" s="161"/>
      <c r="I817" s="161"/>
      <c r="J817" s="161"/>
      <c r="M817" s="161"/>
      <c r="N817" s="161"/>
      <c r="R817" s="161"/>
      <c r="S817" s="161"/>
      <c r="W817" s="161"/>
      <c r="X817" s="161"/>
      <c r="Y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L817" s="161"/>
      <c r="AN817" s="161"/>
      <c r="AP817" s="161"/>
      <c r="AQ817" s="161"/>
      <c r="AR817" s="161"/>
      <c r="AS817" s="161"/>
      <c r="AT817" s="161"/>
      <c r="AU817" s="161"/>
      <c r="AV817" s="161"/>
      <c r="AW817" s="161"/>
      <c r="AX817" s="161"/>
      <c r="BA817" s="161"/>
      <c r="BC817" s="161"/>
    </row>
    <row r="818">
      <c r="B818" s="161"/>
      <c r="C818" s="161"/>
      <c r="D818" s="161"/>
      <c r="F818" s="161"/>
      <c r="G818" s="161"/>
      <c r="H818" s="161"/>
      <c r="I818" s="161"/>
      <c r="J818" s="161"/>
      <c r="M818" s="161"/>
      <c r="N818" s="161"/>
      <c r="R818" s="161"/>
      <c r="S818" s="161"/>
      <c r="W818" s="161"/>
      <c r="X818" s="161"/>
      <c r="Y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L818" s="161"/>
      <c r="AN818" s="161"/>
      <c r="AP818" s="161"/>
      <c r="AQ818" s="161"/>
      <c r="AR818" s="161"/>
      <c r="AS818" s="161"/>
      <c r="AT818" s="161"/>
      <c r="AU818" s="161"/>
      <c r="AV818" s="161"/>
      <c r="AW818" s="161"/>
      <c r="AX818" s="161"/>
      <c r="BA818" s="161"/>
      <c r="BC818" s="161"/>
    </row>
    <row r="819">
      <c r="B819" s="161"/>
      <c r="C819" s="161"/>
      <c r="D819" s="161"/>
      <c r="F819" s="161"/>
      <c r="G819" s="161"/>
      <c r="H819" s="161"/>
      <c r="I819" s="161"/>
      <c r="J819" s="161"/>
      <c r="M819" s="161"/>
      <c r="N819" s="161"/>
      <c r="R819" s="161"/>
      <c r="S819" s="161"/>
      <c r="W819" s="161"/>
      <c r="X819" s="161"/>
      <c r="Y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L819" s="161"/>
      <c r="AN819" s="161"/>
      <c r="AP819" s="161"/>
      <c r="AQ819" s="161"/>
      <c r="AR819" s="161"/>
      <c r="AS819" s="161"/>
      <c r="AT819" s="161"/>
      <c r="AU819" s="161"/>
      <c r="AV819" s="161"/>
      <c r="AW819" s="161"/>
      <c r="AX819" s="161"/>
      <c r="BA819" s="161"/>
      <c r="BC819" s="161"/>
    </row>
    <row r="820">
      <c r="B820" s="161"/>
      <c r="C820" s="161"/>
      <c r="D820" s="161"/>
      <c r="F820" s="161"/>
      <c r="G820" s="161"/>
      <c r="H820" s="161"/>
      <c r="I820" s="161"/>
      <c r="J820" s="161"/>
      <c r="M820" s="161"/>
      <c r="N820" s="161"/>
      <c r="R820" s="161"/>
      <c r="S820" s="161"/>
      <c r="W820" s="161"/>
      <c r="X820" s="161"/>
      <c r="Y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L820" s="161"/>
      <c r="AN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BA820" s="161"/>
      <c r="BC820" s="161"/>
    </row>
    <row r="821">
      <c r="B821" s="161"/>
      <c r="C821" s="161"/>
      <c r="D821" s="161"/>
      <c r="F821" s="161"/>
      <c r="G821" s="161"/>
      <c r="H821" s="161"/>
      <c r="I821" s="161"/>
      <c r="J821" s="161"/>
      <c r="M821" s="161"/>
      <c r="N821" s="161"/>
      <c r="R821" s="161"/>
      <c r="S821" s="161"/>
      <c r="W821" s="161"/>
      <c r="X821" s="161"/>
      <c r="Y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L821" s="161"/>
      <c r="AN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BA821" s="161"/>
      <c r="BC821" s="161"/>
    </row>
    <row r="822">
      <c r="B822" s="161"/>
      <c r="C822" s="161"/>
      <c r="D822" s="161"/>
      <c r="F822" s="161"/>
      <c r="G822" s="161"/>
      <c r="H822" s="161"/>
      <c r="I822" s="161"/>
      <c r="J822" s="161"/>
      <c r="M822" s="161"/>
      <c r="N822" s="161"/>
      <c r="R822" s="161"/>
      <c r="S822" s="161"/>
      <c r="W822" s="161"/>
      <c r="X822" s="161"/>
      <c r="Y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L822" s="161"/>
      <c r="AN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BA822" s="161"/>
      <c r="BC822" s="161"/>
    </row>
    <row r="823">
      <c r="B823" s="161"/>
      <c r="C823" s="161"/>
      <c r="D823" s="161"/>
      <c r="F823" s="161"/>
      <c r="G823" s="161"/>
      <c r="H823" s="161"/>
      <c r="I823" s="161"/>
      <c r="J823" s="161"/>
      <c r="M823" s="161"/>
      <c r="N823" s="161"/>
      <c r="R823" s="161"/>
      <c r="S823" s="161"/>
      <c r="W823" s="161"/>
      <c r="X823" s="161"/>
      <c r="Y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L823" s="161"/>
      <c r="AN823" s="161"/>
      <c r="AP823" s="161"/>
      <c r="AQ823" s="161"/>
      <c r="AR823" s="161"/>
      <c r="AS823" s="161"/>
      <c r="AT823" s="161"/>
      <c r="AU823" s="161"/>
      <c r="AV823" s="161"/>
      <c r="AW823" s="161"/>
      <c r="AX823" s="161"/>
      <c r="BA823" s="161"/>
      <c r="BC823" s="161"/>
    </row>
    <row r="824">
      <c r="B824" s="161"/>
      <c r="C824" s="161"/>
      <c r="D824" s="161"/>
      <c r="F824" s="161"/>
      <c r="G824" s="161"/>
      <c r="H824" s="161"/>
      <c r="I824" s="161"/>
      <c r="J824" s="161"/>
      <c r="M824" s="161"/>
      <c r="N824" s="161"/>
      <c r="R824" s="161"/>
      <c r="S824" s="161"/>
      <c r="W824" s="161"/>
      <c r="X824" s="161"/>
      <c r="Y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L824" s="161"/>
      <c r="AN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BA824" s="161"/>
      <c r="BC824" s="161"/>
    </row>
    <row r="825">
      <c r="B825" s="161"/>
      <c r="C825" s="161"/>
      <c r="D825" s="161"/>
      <c r="F825" s="161"/>
      <c r="G825" s="161"/>
      <c r="H825" s="161"/>
      <c r="I825" s="161"/>
      <c r="J825" s="161"/>
      <c r="M825" s="161"/>
      <c r="N825" s="161"/>
      <c r="R825" s="161"/>
      <c r="S825" s="161"/>
      <c r="W825" s="161"/>
      <c r="X825" s="161"/>
      <c r="Y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L825" s="161"/>
      <c r="AN825" s="161"/>
      <c r="AP825" s="161"/>
      <c r="AQ825" s="161"/>
      <c r="AR825" s="161"/>
      <c r="AS825" s="161"/>
      <c r="AT825" s="161"/>
      <c r="AU825" s="161"/>
      <c r="AV825" s="161"/>
      <c r="AW825" s="161"/>
      <c r="AX825" s="161"/>
      <c r="BA825" s="161"/>
      <c r="BC825" s="161"/>
    </row>
    <row r="826">
      <c r="B826" s="161"/>
      <c r="C826" s="161"/>
      <c r="D826" s="161"/>
      <c r="F826" s="161"/>
      <c r="G826" s="161"/>
      <c r="H826" s="161"/>
      <c r="I826" s="161"/>
      <c r="J826" s="161"/>
      <c r="M826" s="161"/>
      <c r="N826" s="161"/>
      <c r="R826" s="161"/>
      <c r="S826" s="161"/>
      <c r="W826" s="161"/>
      <c r="X826" s="161"/>
      <c r="Y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L826" s="161"/>
      <c r="AN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BA826" s="161"/>
      <c r="BC826" s="161"/>
    </row>
    <row r="827">
      <c r="B827" s="161"/>
      <c r="C827" s="161"/>
      <c r="D827" s="161"/>
      <c r="F827" s="161"/>
      <c r="G827" s="161"/>
      <c r="H827" s="161"/>
      <c r="I827" s="161"/>
      <c r="J827" s="161"/>
      <c r="M827" s="161"/>
      <c r="N827" s="161"/>
      <c r="R827" s="161"/>
      <c r="S827" s="161"/>
      <c r="W827" s="161"/>
      <c r="X827" s="161"/>
      <c r="Y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L827" s="161"/>
      <c r="AN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BA827" s="161"/>
      <c r="BC827" s="161"/>
    </row>
    <row r="828">
      <c r="B828" s="161"/>
      <c r="C828" s="161"/>
      <c r="D828" s="161"/>
      <c r="F828" s="161"/>
      <c r="G828" s="161"/>
      <c r="H828" s="161"/>
      <c r="I828" s="161"/>
      <c r="J828" s="161"/>
      <c r="M828" s="161"/>
      <c r="N828" s="161"/>
      <c r="R828" s="161"/>
      <c r="S828" s="161"/>
      <c r="W828" s="161"/>
      <c r="X828" s="161"/>
      <c r="Y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L828" s="161"/>
      <c r="AN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BA828" s="161"/>
      <c r="BC828" s="161"/>
    </row>
    <row r="829">
      <c r="B829" s="161"/>
      <c r="C829" s="161"/>
      <c r="D829" s="161"/>
      <c r="F829" s="161"/>
      <c r="G829" s="161"/>
      <c r="H829" s="161"/>
      <c r="I829" s="161"/>
      <c r="J829" s="161"/>
      <c r="M829" s="161"/>
      <c r="N829" s="161"/>
      <c r="R829" s="161"/>
      <c r="S829" s="161"/>
      <c r="W829" s="161"/>
      <c r="X829" s="161"/>
      <c r="Y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L829" s="161"/>
      <c r="AN829" s="161"/>
      <c r="AP829" s="161"/>
      <c r="AQ829" s="161"/>
      <c r="AR829" s="161"/>
      <c r="AS829" s="161"/>
      <c r="AT829" s="161"/>
      <c r="AU829" s="161"/>
      <c r="AV829" s="161"/>
      <c r="AW829" s="161"/>
      <c r="AX829" s="161"/>
      <c r="BA829" s="161"/>
      <c r="BC829" s="161"/>
    </row>
    <row r="830">
      <c r="B830" s="161"/>
      <c r="C830" s="161"/>
      <c r="D830" s="161"/>
      <c r="F830" s="161"/>
      <c r="G830" s="161"/>
      <c r="H830" s="161"/>
      <c r="I830" s="161"/>
      <c r="J830" s="161"/>
      <c r="M830" s="161"/>
      <c r="N830" s="161"/>
      <c r="R830" s="161"/>
      <c r="S830" s="161"/>
      <c r="W830" s="161"/>
      <c r="X830" s="161"/>
      <c r="Y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L830" s="161"/>
      <c r="AN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BA830" s="161"/>
      <c r="BC830" s="161"/>
    </row>
    <row r="831">
      <c r="B831" s="161"/>
      <c r="C831" s="161"/>
      <c r="D831" s="161"/>
      <c r="F831" s="161"/>
      <c r="G831" s="161"/>
      <c r="H831" s="161"/>
      <c r="I831" s="161"/>
      <c r="J831" s="161"/>
      <c r="M831" s="161"/>
      <c r="N831" s="161"/>
      <c r="R831" s="161"/>
      <c r="S831" s="161"/>
      <c r="W831" s="161"/>
      <c r="X831" s="161"/>
      <c r="Y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L831" s="161"/>
      <c r="AN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BA831" s="161"/>
      <c r="BC831" s="161"/>
    </row>
    <row r="832">
      <c r="B832" s="161"/>
      <c r="C832" s="161"/>
      <c r="D832" s="161"/>
      <c r="F832" s="161"/>
      <c r="G832" s="161"/>
      <c r="H832" s="161"/>
      <c r="I832" s="161"/>
      <c r="J832" s="161"/>
      <c r="M832" s="161"/>
      <c r="N832" s="161"/>
      <c r="R832" s="161"/>
      <c r="S832" s="161"/>
      <c r="W832" s="161"/>
      <c r="X832" s="161"/>
      <c r="Y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L832" s="161"/>
      <c r="AN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BA832" s="161"/>
      <c r="BC832" s="161"/>
    </row>
    <row r="833">
      <c r="B833" s="161"/>
      <c r="C833" s="161"/>
      <c r="D833" s="161"/>
      <c r="F833" s="161"/>
      <c r="G833" s="161"/>
      <c r="H833" s="161"/>
      <c r="I833" s="161"/>
      <c r="J833" s="161"/>
      <c r="M833" s="161"/>
      <c r="N833" s="161"/>
      <c r="R833" s="161"/>
      <c r="S833" s="161"/>
      <c r="W833" s="161"/>
      <c r="X833" s="161"/>
      <c r="Y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L833" s="161"/>
      <c r="AN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BA833" s="161"/>
      <c r="BC833" s="161"/>
    </row>
    <row r="834">
      <c r="B834" s="161"/>
      <c r="C834" s="161"/>
      <c r="D834" s="161"/>
      <c r="F834" s="161"/>
      <c r="G834" s="161"/>
      <c r="H834" s="161"/>
      <c r="I834" s="161"/>
      <c r="J834" s="161"/>
      <c r="M834" s="161"/>
      <c r="N834" s="161"/>
      <c r="R834" s="161"/>
      <c r="S834" s="161"/>
      <c r="W834" s="161"/>
      <c r="X834" s="161"/>
      <c r="Y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L834" s="161"/>
      <c r="AN834" s="161"/>
      <c r="AP834" s="161"/>
      <c r="AQ834" s="161"/>
      <c r="AR834" s="161"/>
      <c r="AS834" s="161"/>
      <c r="AT834" s="161"/>
      <c r="AU834" s="161"/>
      <c r="AV834" s="161"/>
      <c r="AW834" s="161"/>
      <c r="AX834" s="161"/>
      <c r="BA834" s="161"/>
      <c r="BC834" s="161"/>
    </row>
    <row r="835">
      <c r="B835" s="161"/>
      <c r="C835" s="161"/>
      <c r="D835" s="161"/>
      <c r="F835" s="161"/>
      <c r="G835" s="161"/>
      <c r="H835" s="161"/>
      <c r="I835" s="161"/>
      <c r="J835" s="161"/>
      <c r="M835" s="161"/>
      <c r="N835" s="161"/>
      <c r="R835" s="161"/>
      <c r="S835" s="161"/>
      <c r="W835" s="161"/>
      <c r="X835" s="161"/>
      <c r="Y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L835" s="161"/>
      <c r="AN835" s="161"/>
      <c r="AP835" s="161"/>
      <c r="AQ835" s="161"/>
      <c r="AR835" s="161"/>
      <c r="AS835" s="161"/>
      <c r="AT835" s="161"/>
      <c r="AU835" s="161"/>
      <c r="AV835" s="161"/>
      <c r="AW835" s="161"/>
      <c r="AX835" s="161"/>
      <c r="BA835" s="161"/>
      <c r="BC835" s="161"/>
    </row>
    <row r="836">
      <c r="B836" s="161"/>
      <c r="C836" s="161"/>
      <c r="D836" s="161"/>
      <c r="F836" s="161"/>
      <c r="G836" s="161"/>
      <c r="H836" s="161"/>
      <c r="I836" s="161"/>
      <c r="J836" s="161"/>
      <c r="M836" s="161"/>
      <c r="N836" s="161"/>
      <c r="R836" s="161"/>
      <c r="S836" s="161"/>
      <c r="W836" s="161"/>
      <c r="X836" s="161"/>
      <c r="Y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L836" s="161"/>
      <c r="AN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BA836" s="161"/>
      <c r="BC836" s="161"/>
    </row>
    <row r="837">
      <c r="B837" s="161"/>
      <c r="C837" s="161"/>
      <c r="D837" s="161"/>
      <c r="F837" s="161"/>
      <c r="G837" s="161"/>
      <c r="H837" s="161"/>
      <c r="I837" s="161"/>
      <c r="J837" s="161"/>
      <c r="M837" s="161"/>
      <c r="N837" s="161"/>
      <c r="R837" s="161"/>
      <c r="S837" s="161"/>
      <c r="W837" s="161"/>
      <c r="X837" s="161"/>
      <c r="Y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L837" s="161"/>
      <c r="AN837" s="161"/>
      <c r="AP837" s="161"/>
      <c r="AQ837" s="161"/>
      <c r="AR837" s="161"/>
      <c r="AS837" s="161"/>
      <c r="AT837" s="161"/>
      <c r="AU837" s="161"/>
      <c r="AV837" s="161"/>
      <c r="AW837" s="161"/>
      <c r="AX837" s="161"/>
      <c r="BA837" s="161"/>
      <c r="BC837" s="161"/>
    </row>
    <row r="838">
      <c r="B838" s="161"/>
      <c r="C838" s="161"/>
      <c r="D838" s="161"/>
      <c r="F838" s="161"/>
      <c r="G838" s="161"/>
      <c r="H838" s="161"/>
      <c r="I838" s="161"/>
      <c r="J838" s="161"/>
      <c r="M838" s="161"/>
      <c r="N838" s="161"/>
      <c r="R838" s="161"/>
      <c r="S838" s="161"/>
      <c r="W838" s="161"/>
      <c r="X838" s="161"/>
      <c r="Y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L838" s="161"/>
      <c r="AN838" s="161"/>
      <c r="AP838" s="161"/>
      <c r="AQ838" s="161"/>
      <c r="AR838" s="161"/>
      <c r="AS838" s="161"/>
      <c r="AT838" s="161"/>
      <c r="AU838" s="161"/>
      <c r="AV838" s="161"/>
      <c r="AW838" s="161"/>
      <c r="AX838" s="161"/>
      <c r="BA838" s="161"/>
      <c r="BC838" s="161"/>
    </row>
    <row r="839">
      <c r="B839" s="161"/>
      <c r="C839" s="161"/>
      <c r="D839" s="161"/>
      <c r="F839" s="161"/>
      <c r="G839" s="161"/>
      <c r="H839" s="161"/>
      <c r="I839" s="161"/>
      <c r="J839" s="161"/>
      <c r="M839" s="161"/>
      <c r="N839" s="161"/>
      <c r="R839" s="161"/>
      <c r="S839" s="161"/>
      <c r="W839" s="161"/>
      <c r="X839" s="161"/>
      <c r="Y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L839" s="161"/>
      <c r="AN839" s="161"/>
      <c r="AP839" s="161"/>
      <c r="AQ839" s="161"/>
      <c r="AR839" s="161"/>
      <c r="AS839" s="161"/>
      <c r="AT839" s="161"/>
      <c r="AU839" s="161"/>
      <c r="AV839" s="161"/>
      <c r="AW839" s="161"/>
      <c r="AX839" s="161"/>
      <c r="BA839" s="161"/>
      <c r="BC839" s="161"/>
    </row>
    <row r="840">
      <c r="B840" s="161"/>
      <c r="C840" s="161"/>
      <c r="D840" s="161"/>
      <c r="F840" s="161"/>
      <c r="G840" s="161"/>
      <c r="H840" s="161"/>
      <c r="I840" s="161"/>
      <c r="J840" s="161"/>
      <c r="M840" s="161"/>
      <c r="N840" s="161"/>
      <c r="R840" s="161"/>
      <c r="S840" s="161"/>
      <c r="W840" s="161"/>
      <c r="X840" s="161"/>
      <c r="Y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L840" s="161"/>
      <c r="AN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BA840" s="161"/>
      <c r="BC840" s="161"/>
    </row>
    <row r="841">
      <c r="B841" s="161"/>
      <c r="C841" s="161"/>
      <c r="D841" s="161"/>
      <c r="F841" s="161"/>
      <c r="G841" s="161"/>
      <c r="H841" s="161"/>
      <c r="I841" s="161"/>
      <c r="J841" s="161"/>
      <c r="M841" s="161"/>
      <c r="N841" s="161"/>
      <c r="R841" s="161"/>
      <c r="S841" s="161"/>
      <c r="W841" s="161"/>
      <c r="X841" s="161"/>
      <c r="Y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L841" s="161"/>
      <c r="AN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BA841" s="161"/>
      <c r="BC841" s="161"/>
    </row>
    <row r="842">
      <c r="B842" s="161"/>
      <c r="C842" s="161"/>
      <c r="D842" s="161"/>
      <c r="F842" s="161"/>
      <c r="G842" s="161"/>
      <c r="H842" s="161"/>
      <c r="I842" s="161"/>
      <c r="J842" s="161"/>
      <c r="M842" s="161"/>
      <c r="N842" s="161"/>
      <c r="R842" s="161"/>
      <c r="S842" s="161"/>
      <c r="W842" s="161"/>
      <c r="X842" s="161"/>
      <c r="Y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L842" s="161"/>
      <c r="AN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BA842" s="161"/>
      <c r="BC842" s="161"/>
    </row>
    <row r="843">
      <c r="B843" s="161"/>
      <c r="C843" s="161"/>
      <c r="D843" s="161"/>
      <c r="F843" s="161"/>
      <c r="G843" s="161"/>
      <c r="H843" s="161"/>
      <c r="I843" s="161"/>
      <c r="J843" s="161"/>
      <c r="M843" s="161"/>
      <c r="N843" s="161"/>
      <c r="R843" s="161"/>
      <c r="S843" s="161"/>
      <c r="W843" s="161"/>
      <c r="X843" s="161"/>
      <c r="Y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L843" s="161"/>
      <c r="AN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BA843" s="161"/>
      <c r="BC843" s="161"/>
    </row>
    <row r="844">
      <c r="B844" s="161"/>
      <c r="C844" s="161"/>
      <c r="D844" s="161"/>
      <c r="F844" s="161"/>
      <c r="G844" s="161"/>
      <c r="H844" s="161"/>
      <c r="I844" s="161"/>
      <c r="J844" s="161"/>
      <c r="M844" s="161"/>
      <c r="N844" s="161"/>
      <c r="R844" s="161"/>
      <c r="S844" s="161"/>
      <c r="W844" s="161"/>
      <c r="X844" s="161"/>
      <c r="Y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L844" s="161"/>
      <c r="AN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BA844" s="161"/>
      <c r="BC844" s="161"/>
    </row>
    <row r="845">
      <c r="B845" s="161"/>
      <c r="C845" s="161"/>
      <c r="D845" s="161"/>
      <c r="F845" s="161"/>
      <c r="G845" s="161"/>
      <c r="H845" s="161"/>
      <c r="I845" s="161"/>
      <c r="J845" s="161"/>
      <c r="M845" s="161"/>
      <c r="N845" s="161"/>
      <c r="R845" s="161"/>
      <c r="S845" s="161"/>
      <c r="W845" s="161"/>
      <c r="X845" s="161"/>
      <c r="Y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L845" s="161"/>
      <c r="AN845" s="161"/>
      <c r="AP845" s="161"/>
      <c r="AQ845" s="161"/>
      <c r="AR845" s="161"/>
      <c r="AS845" s="161"/>
      <c r="AT845" s="161"/>
      <c r="AU845" s="161"/>
      <c r="AV845" s="161"/>
      <c r="AW845" s="161"/>
      <c r="AX845" s="161"/>
      <c r="BA845" s="161"/>
      <c r="BC845" s="161"/>
    </row>
    <row r="846">
      <c r="B846" s="161"/>
      <c r="C846" s="161"/>
      <c r="D846" s="161"/>
      <c r="F846" s="161"/>
      <c r="G846" s="161"/>
      <c r="H846" s="161"/>
      <c r="I846" s="161"/>
      <c r="J846" s="161"/>
      <c r="M846" s="161"/>
      <c r="N846" s="161"/>
      <c r="R846" s="161"/>
      <c r="S846" s="161"/>
      <c r="W846" s="161"/>
      <c r="X846" s="161"/>
      <c r="Y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L846" s="161"/>
      <c r="AN846" s="161"/>
      <c r="AP846" s="161"/>
      <c r="AQ846" s="161"/>
      <c r="AR846" s="161"/>
      <c r="AS846" s="161"/>
      <c r="AT846" s="161"/>
      <c r="AU846" s="161"/>
      <c r="AV846" s="161"/>
      <c r="AW846" s="161"/>
      <c r="AX846" s="161"/>
      <c r="BA846" s="161"/>
      <c r="BC846" s="161"/>
    </row>
    <row r="847">
      <c r="B847" s="161"/>
      <c r="C847" s="161"/>
      <c r="D847" s="161"/>
      <c r="F847" s="161"/>
      <c r="G847" s="161"/>
      <c r="H847" s="161"/>
      <c r="I847" s="161"/>
      <c r="J847" s="161"/>
      <c r="M847" s="161"/>
      <c r="N847" s="161"/>
      <c r="R847" s="161"/>
      <c r="S847" s="161"/>
      <c r="W847" s="161"/>
      <c r="X847" s="161"/>
      <c r="Y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L847" s="161"/>
      <c r="AN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BA847" s="161"/>
      <c r="BC847" s="161"/>
    </row>
    <row r="848">
      <c r="B848" s="161"/>
      <c r="C848" s="161"/>
      <c r="D848" s="161"/>
      <c r="F848" s="161"/>
      <c r="G848" s="161"/>
      <c r="H848" s="161"/>
      <c r="I848" s="161"/>
      <c r="J848" s="161"/>
      <c r="M848" s="161"/>
      <c r="N848" s="161"/>
      <c r="R848" s="161"/>
      <c r="S848" s="161"/>
      <c r="W848" s="161"/>
      <c r="X848" s="161"/>
      <c r="Y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L848" s="161"/>
      <c r="AN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BA848" s="161"/>
      <c r="BC848" s="161"/>
    </row>
    <row r="849">
      <c r="B849" s="161"/>
      <c r="C849" s="161"/>
      <c r="D849" s="161"/>
      <c r="F849" s="161"/>
      <c r="G849" s="161"/>
      <c r="H849" s="161"/>
      <c r="I849" s="161"/>
      <c r="J849" s="161"/>
      <c r="M849" s="161"/>
      <c r="N849" s="161"/>
      <c r="R849" s="161"/>
      <c r="S849" s="161"/>
      <c r="W849" s="161"/>
      <c r="X849" s="161"/>
      <c r="Y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L849" s="161"/>
      <c r="AN849" s="161"/>
      <c r="AP849" s="161"/>
      <c r="AQ849" s="161"/>
      <c r="AR849" s="161"/>
      <c r="AS849" s="161"/>
      <c r="AT849" s="161"/>
      <c r="AU849" s="161"/>
      <c r="AV849" s="161"/>
      <c r="AW849" s="161"/>
      <c r="AX849" s="161"/>
      <c r="BA849" s="161"/>
      <c r="BC849" s="161"/>
    </row>
    <row r="850">
      <c r="B850" s="161"/>
      <c r="C850" s="161"/>
      <c r="D850" s="161"/>
      <c r="F850" s="161"/>
      <c r="G850" s="161"/>
      <c r="H850" s="161"/>
      <c r="I850" s="161"/>
      <c r="J850" s="161"/>
      <c r="M850" s="161"/>
      <c r="N850" s="161"/>
      <c r="R850" s="161"/>
      <c r="S850" s="161"/>
      <c r="W850" s="161"/>
      <c r="X850" s="161"/>
      <c r="Y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L850" s="161"/>
      <c r="AN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BA850" s="161"/>
      <c r="BC850" s="161"/>
    </row>
    <row r="851">
      <c r="B851" s="161"/>
      <c r="C851" s="161"/>
      <c r="D851" s="161"/>
      <c r="F851" s="161"/>
      <c r="G851" s="161"/>
      <c r="H851" s="161"/>
      <c r="I851" s="161"/>
      <c r="J851" s="161"/>
      <c r="M851" s="161"/>
      <c r="N851" s="161"/>
      <c r="R851" s="161"/>
      <c r="S851" s="161"/>
      <c r="W851" s="161"/>
      <c r="X851" s="161"/>
      <c r="Y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L851" s="161"/>
      <c r="AN851" s="161"/>
      <c r="AP851" s="161"/>
      <c r="AQ851" s="161"/>
      <c r="AR851" s="161"/>
      <c r="AS851" s="161"/>
      <c r="AT851" s="161"/>
      <c r="AU851" s="161"/>
      <c r="AV851" s="161"/>
      <c r="AW851" s="161"/>
      <c r="AX851" s="161"/>
      <c r="BA851" s="161"/>
      <c r="BC851" s="161"/>
    </row>
    <row r="852">
      <c r="B852" s="161"/>
      <c r="C852" s="161"/>
      <c r="D852" s="161"/>
      <c r="F852" s="161"/>
      <c r="G852" s="161"/>
      <c r="H852" s="161"/>
      <c r="I852" s="161"/>
      <c r="J852" s="161"/>
      <c r="M852" s="161"/>
      <c r="N852" s="161"/>
      <c r="R852" s="161"/>
      <c r="S852" s="161"/>
      <c r="W852" s="161"/>
      <c r="X852" s="161"/>
      <c r="Y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L852" s="161"/>
      <c r="AN852" s="161"/>
      <c r="AP852" s="161"/>
      <c r="AQ852" s="161"/>
      <c r="AR852" s="161"/>
      <c r="AS852" s="161"/>
      <c r="AT852" s="161"/>
      <c r="AU852" s="161"/>
      <c r="AV852" s="161"/>
      <c r="AW852" s="161"/>
      <c r="AX852" s="161"/>
      <c r="BA852" s="161"/>
      <c r="BC852" s="161"/>
    </row>
    <row r="853">
      <c r="B853" s="161"/>
      <c r="C853" s="161"/>
      <c r="D853" s="161"/>
      <c r="F853" s="161"/>
      <c r="G853" s="161"/>
      <c r="H853" s="161"/>
      <c r="I853" s="161"/>
      <c r="J853" s="161"/>
      <c r="M853" s="161"/>
      <c r="N853" s="161"/>
      <c r="R853" s="161"/>
      <c r="S853" s="161"/>
      <c r="W853" s="161"/>
      <c r="X853" s="161"/>
      <c r="Y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L853" s="161"/>
      <c r="AN853" s="161"/>
      <c r="AP853" s="161"/>
      <c r="AQ853" s="161"/>
      <c r="AR853" s="161"/>
      <c r="AS853" s="161"/>
      <c r="AT853" s="161"/>
      <c r="AU853" s="161"/>
      <c r="AV853" s="161"/>
      <c r="AW853" s="161"/>
      <c r="AX853" s="161"/>
      <c r="BA853" s="161"/>
      <c r="BC853" s="161"/>
    </row>
    <row r="854">
      <c r="B854" s="161"/>
      <c r="C854" s="161"/>
      <c r="D854" s="161"/>
      <c r="F854" s="161"/>
      <c r="G854" s="161"/>
      <c r="H854" s="161"/>
      <c r="I854" s="161"/>
      <c r="J854" s="161"/>
      <c r="M854" s="161"/>
      <c r="N854" s="161"/>
      <c r="R854" s="161"/>
      <c r="S854" s="161"/>
      <c r="W854" s="161"/>
      <c r="X854" s="161"/>
      <c r="Y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L854" s="161"/>
      <c r="AN854" s="161"/>
      <c r="AP854" s="161"/>
      <c r="AQ854" s="161"/>
      <c r="AR854" s="161"/>
      <c r="AS854" s="161"/>
      <c r="AT854" s="161"/>
      <c r="AU854" s="161"/>
      <c r="AV854" s="161"/>
      <c r="AW854" s="161"/>
      <c r="AX854" s="161"/>
      <c r="BA854" s="161"/>
      <c r="BC854" s="161"/>
    </row>
    <row r="855">
      <c r="B855" s="161"/>
      <c r="C855" s="161"/>
      <c r="D855" s="161"/>
      <c r="F855" s="161"/>
      <c r="G855" s="161"/>
      <c r="H855" s="161"/>
      <c r="I855" s="161"/>
      <c r="J855" s="161"/>
      <c r="M855" s="161"/>
      <c r="N855" s="161"/>
      <c r="R855" s="161"/>
      <c r="S855" s="161"/>
      <c r="W855" s="161"/>
      <c r="X855" s="161"/>
      <c r="Y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L855" s="161"/>
      <c r="AN855" s="161"/>
      <c r="AP855" s="161"/>
      <c r="AQ855" s="161"/>
      <c r="AR855" s="161"/>
      <c r="AS855" s="161"/>
      <c r="AT855" s="161"/>
      <c r="AU855" s="161"/>
      <c r="AV855" s="161"/>
      <c r="AW855" s="161"/>
      <c r="AX855" s="161"/>
      <c r="BA855" s="161"/>
      <c r="BC855" s="161"/>
    </row>
    <row r="856">
      <c r="B856" s="161"/>
      <c r="C856" s="161"/>
      <c r="D856" s="161"/>
      <c r="F856" s="161"/>
      <c r="G856" s="161"/>
      <c r="H856" s="161"/>
      <c r="I856" s="161"/>
      <c r="J856" s="161"/>
      <c r="M856" s="161"/>
      <c r="N856" s="161"/>
      <c r="R856" s="161"/>
      <c r="S856" s="161"/>
      <c r="W856" s="161"/>
      <c r="X856" s="161"/>
      <c r="Y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L856" s="161"/>
      <c r="AN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BA856" s="161"/>
      <c r="BC856" s="161"/>
    </row>
    <row r="857">
      <c r="B857" s="161"/>
      <c r="C857" s="161"/>
      <c r="D857" s="161"/>
      <c r="F857" s="161"/>
      <c r="G857" s="161"/>
      <c r="H857" s="161"/>
      <c r="I857" s="161"/>
      <c r="J857" s="161"/>
      <c r="M857" s="161"/>
      <c r="N857" s="161"/>
      <c r="R857" s="161"/>
      <c r="S857" s="161"/>
      <c r="W857" s="161"/>
      <c r="X857" s="161"/>
      <c r="Y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L857" s="161"/>
      <c r="AN857" s="161"/>
      <c r="AP857" s="161"/>
      <c r="AQ857" s="161"/>
      <c r="AR857" s="161"/>
      <c r="AS857" s="161"/>
      <c r="AT857" s="161"/>
      <c r="AU857" s="161"/>
      <c r="AV857" s="161"/>
      <c r="AW857" s="161"/>
      <c r="AX857" s="161"/>
      <c r="BA857" s="161"/>
      <c r="BC857" s="161"/>
    </row>
    <row r="858">
      <c r="B858" s="161"/>
      <c r="C858" s="161"/>
      <c r="D858" s="161"/>
      <c r="F858" s="161"/>
      <c r="G858" s="161"/>
      <c r="H858" s="161"/>
      <c r="I858" s="161"/>
      <c r="J858" s="161"/>
      <c r="M858" s="161"/>
      <c r="N858" s="161"/>
      <c r="R858" s="161"/>
      <c r="S858" s="161"/>
      <c r="W858" s="161"/>
      <c r="X858" s="161"/>
      <c r="Y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L858" s="161"/>
      <c r="AN858" s="161"/>
      <c r="AP858" s="161"/>
      <c r="AQ858" s="161"/>
      <c r="AR858" s="161"/>
      <c r="AS858" s="161"/>
      <c r="AT858" s="161"/>
      <c r="AU858" s="161"/>
      <c r="AV858" s="161"/>
      <c r="AW858" s="161"/>
      <c r="AX858" s="161"/>
      <c r="BA858" s="161"/>
      <c r="BC858" s="161"/>
    </row>
    <row r="859">
      <c r="B859" s="161"/>
      <c r="C859" s="161"/>
      <c r="D859" s="161"/>
      <c r="F859" s="161"/>
      <c r="G859" s="161"/>
      <c r="H859" s="161"/>
      <c r="I859" s="161"/>
      <c r="J859" s="161"/>
      <c r="M859" s="161"/>
      <c r="N859" s="161"/>
      <c r="R859" s="161"/>
      <c r="S859" s="161"/>
      <c r="W859" s="161"/>
      <c r="X859" s="161"/>
      <c r="Y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L859" s="161"/>
      <c r="AN859" s="161"/>
      <c r="AP859" s="161"/>
      <c r="AQ859" s="161"/>
      <c r="AR859" s="161"/>
      <c r="AS859" s="161"/>
      <c r="AT859" s="161"/>
      <c r="AU859" s="161"/>
      <c r="AV859" s="161"/>
      <c r="AW859" s="161"/>
      <c r="AX859" s="161"/>
      <c r="BA859" s="161"/>
      <c r="BC859" s="161"/>
    </row>
    <row r="860">
      <c r="B860" s="161"/>
      <c r="C860" s="161"/>
      <c r="D860" s="161"/>
      <c r="F860" s="161"/>
      <c r="G860" s="161"/>
      <c r="H860" s="161"/>
      <c r="I860" s="161"/>
      <c r="J860" s="161"/>
      <c r="M860" s="161"/>
      <c r="N860" s="161"/>
      <c r="R860" s="161"/>
      <c r="S860" s="161"/>
      <c r="W860" s="161"/>
      <c r="X860" s="161"/>
      <c r="Y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L860" s="161"/>
      <c r="AN860" s="161"/>
      <c r="AP860" s="161"/>
      <c r="AQ860" s="161"/>
      <c r="AR860" s="161"/>
      <c r="AS860" s="161"/>
      <c r="AT860" s="161"/>
      <c r="AU860" s="161"/>
      <c r="AV860" s="161"/>
      <c r="AW860" s="161"/>
      <c r="AX860" s="161"/>
      <c r="BA860" s="161"/>
      <c r="BC860" s="161"/>
    </row>
    <row r="861">
      <c r="B861" s="161"/>
      <c r="C861" s="161"/>
      <c r="D861" s="161"/>
      <c r="F861" s="161"/>
      <c r="G861" s="161"/>
      <c r="H861" s="161"/>
      <c r="I861" s="161"/>
      <c r="J861" s="161"/>
      <c r="M861" s="161"/>
      <c r="N861" s="161"/>
      <c r="R861" s="161"/>
      <c r="S861" s="161"/>
      <c r="W861" s="161"/>
      <c r="X861" s="161"/>
      <c r="Y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L861" s="161"/>
      <c r="AN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BA861" s="161"/>
      <c r="BC861" s="161"/>
    </row>
    <row r="862">
      <c r="B862" s="161"/>
      <c r="C862" s="161"/>
      <c r="D862" s="161"/>
      <c r="F862" s="161"/>
      <c r="G862" s="161"/>
      <c r="H862" s="161"/>
      <c r="I862" s="161"/>
      <c r="J862" s="161"/>
      <c r="M862" s="161"/>
      <c r="N862" s="161"/>
      <c r="R862" s="161"/>
      <c r="S862" s="161"/>
      <c r="W862" s="161"/>
      <c r="X862" s="161"/>
      <c r="Y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L862" s="161"/>
      <c r="AN862" s="161"/>
      <c r="AP862" s="161"/>
      <c r="AQ862" s="161"/>
      <c r="AR862" s="161"/>
      <c r="AS862" s="161"/>
      <c r="AT862" s="161"/>
      <c r="AU862" s="161"/>
      <c r="AV862" s="161"/>
      <c r="AW862" s="161"/>
      <c r="AX862" s="161"/>
      <c r="BA862" s="161"/>
      <c r="BC862" s="161"/>
    </row>
    <row r="863">
      <c r="B863" s="161"/>
      <c r="C863" s="161"/>
      <c r="D863" s="161"/>
      <c r="F863" s="161"/>
      <c r="G863" s="161"/>
      <c r="H863" s="161"/>
      <c r="I863" s="161"/>
      <c r="J863" s="161"/>
      <c r="M863" s="161"/>
      <c r="N863" s="161"/>
      <c r="R863" s="161"/>
      <c r="S863" s="161"/>
      <c r="W863" s="161"/>
      <c r="X863" s="161"/>
      <c r="Y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L863" s="161"/>
      <c r="AN863" s="161"/>
      <c r="AP863" s="161"/>
      <c r="AQ863" s="161"/>
      <c r="AR863" s="161"/>
      <c r="AS863" s="161"/>
      <c r="AT863" s="161"/>
      <c r="AU863" s="161"/>
      <c r="AV863" s="161"/>
      <c r="AW863" s="161"/>
      <c r="AX863" s="161"/>
      <c r="BA863" s="161"/>
      <c r="BC863" s="161"/>
    </row>
    <row r="864">
      <c r="B864" s="161"/>
      <c r="C864" s="161"/>
      <c r="D864" s="161"/>
      <c r="F864" s="161"/>
      <c r="G864" s="161"/>
      <c r="H864" s="161"/>
      <c r="I864" s="161"/>
      <c r="J864" s="161"/>
      <c r="M864" s="161"/>
      <c r="N864" s="161"/>
      <c r="R864" s="161"/>
      <c r="S864" s="161"/>
      <c r="W864" s="161"/>
      <c r="X864" s="161"/>
      <c r="Y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L864" s="161"/>
      <c r="AN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BA864" s="161"/>
      <c r="BC864" s="161"/>
    </row>
    <row r="865">
      <c r="B865" s="161"/>
      <c r="C865" s="161"/>
      <c r="D865" s="161"/>
      <c r="F865" s="161"/>
      <c r="G865" s="161"/>
      <c r="H865" s="161"/>
      <c r="I865" s="161"/>
      <c r="J865" s="161"/>
      <c r="M865" s="161"/>
      <c r="N865" s="161"/>
      <c r="R865" s="161"/>
      <c r="S865" s="161"/>
      <c r="W865" s="161"/>
      <c r="X865" s="161"/>
      <c r="Y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L865" s="161"/>
      <c r="AN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BA865" s="161"/>
      <c r="BC865" s="161"/>
    </row>
    <row r="866">
      <c r="B866" s="161"/>
      <c r="C866" s="161"/>
      <c r="D866" s="161"/>
      <c r="F866" s="161"/>
      <c r="G866" s="161"/>
      <c r="H866" s="161"/>
      <c r="I866" s="161"/>
      <c r="J866" s="161"/>
      <c r="M866" s="161"/>
      <c r="N866" s="161"/>
      <c r="R866" s="161"/>
      <c r="S866" s="161"/>
      <c r="W866" s="161"/>
      <c r="X866" s="161"/>
      <c r="Y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L866" s="161"/>
      <c r="AN866" s="161"/>
      <c r="AP866" s="161"/>
      <c r="AQ866" s="161"/>
      <c r="AR866" s="161"/>
      <c r="AS866" s="161"/>
      <c r="AT866" s="161"/>
      <c r="AU866" s="161"/>
      <c r="AV866" s="161"/>
      <c r="AW866" s="161"/>
      <c r="AX866" s="161"/>
      <c r="BA866" s="161"/>
      <c r="BC866" s="161"/>
    </row>
    <row r="867">
      <c r="B867" s="161"/>
      <c r="C867" s="161"/>
      <c r="D867" s="161"/>
      <c r="F867" s="161"/>
      <c r="G867" s="161"/>
      <c r="H867" s="161"/>
      <c r="I867" s="161"/>
      <c r="J867" s="161"/>
      <c r="M867" s="161"/>
      <c r="N867" s="161"/>
      <c r="R867" s="161"/>
      <c r="S867" s="161"/>
      <c r="W867" s="161"/>
      <c r="X867" s="161"/>
      <c r="Y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L867" s="161"/>
      <c r="AN867" s="161"/>
      <c r="AP867" s="161"/>
      <c r="AQ867" s="161"/>
      <c r="AR867" s="161"/>
      <c r="AS867" s="161"/>
      <c r="AT867" s="161"/>
      <c r="AU867" s="161"/>
      <c r="AV867" s="161"/>
      <c r="AW867" s="161"/>
      <c r="AX867" s="161"/>
      <c r="BA867" s="161"/>
      <c r="BC867" s="161"/>
    </row>
    <row r="868">
      <c r="B868" s="161"/>
      <c r="C868" s="161"/>
      <c r="D868" s="161"/>
      <c r="F868" s="161"/>
      <c r="G868" s="161"/>
      <c r="H868" s="161"/>
      <c r="I868" s="161"/>
      <c r="J868" s="161"/>
      <c r="M868" s="161"/>
      <c r="N868" s="161"/>
      <c r="R868" s="161"/>
      <c r="S868" s="161"/>
      <c r="W868" s="161"/>
      <c r="X868" s="161"/>
      <c r="Y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L868" s="161"/>
      <c r="AN868" s="161"/>
      <c r="AP868" s="161"/>
      <c r="AQ868" s="161"/>
      <c r="AR868" s="161"/>
      <c r="AS868" s="161"/>
      <c r="AT868" s="161"/>
      <c r="AU868" s="161"/>
      <c r="AV868" s="161"/>
      <c r="AW868" s="161"/>
      <c r="AX868" s="161"/>
      <c r="BA868" s="161"/>
      <c r="BC868" s="161"/>
    </row>
    <row r="869">
      <c r="B869" s="161"/>
      <c r="C869" s="161"/>
      <c r="D869" s="161"/>
      <c r="F869" s="161"/>
      <c r="G869" s="161"/>
      <c r="H869" s="161"/>
      <c r="I869" s="161"/>
      <c r="J869" s="161"/>
      <c r="M869" s="161"/>
      <c r="N869" s="161"/>
      <c r="R869" s="161"/>
      <c r="S869" s="161"/>
      <c r="W869" s="161"/>
      <c r="X869" s="161"/>
      <c r="Y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L869" s="161"/>
      <c r="AN869" s="161"/>
      <c r="AP869" s="161"/>
      <c r="AQ869" s="161"/>
      <c r="AR869" s="161"/>
      <c r="AS869" s="161"/>
      <c r="AT869" s="161"/>
      <c r="AU869" s="161"/>
      <c r="AV869" s="161"/>
      <c r="AW869" s="161"/>
      <c r="AX869" s="161"/>
      <c r="BA869" s="161"/>
      <c r="BC869" s="161"/>
    </row>
    <row r="870">
      <c r="B870" s="161"/>
      <c r="C870" s="161"/>
      <c r="D870" s="161"/>
      <c r="F870" s="161"/>
      <c r="G870" s="161"/>
      <c r="H870" s="161"/>
      <c r="I870" s="161"/>
      <c r="J870" s="161"/>
      <c r="M870" s="161"/>
      <c r="N870" s="161"/>
      <c r="R870" s="161"/>
      <c r="S870" s="161"/>
      <c r="W870" s="161"/>
      <c r="X870" s="161"/>
      <c r="Y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L870" s="161"/>
      <c r="AN870" s="161"/>
      <c r="AP870" s="161"/>
      <c r="AQ870" s="161"/>
      <c r="AR870" s="161"/>
      <c r="AS870" s="161"/>
      <c r="AT870" s="161"/>
      <c r="AU870" s="161"/>
      <c r="AV870" s="161"/>
      <c r="AW870" s="161"/>
      <c r="AX870" s="161"/>
      <c r="BA870" s="161"/>
      <c r="BC870" s="161"/>
    </row>
    <row r="871">
      <c r="B871" s="161"/>
      <c r="C871" s="161"/>
      <c r="D871" s="161"/>
      <c r="F871" s="161"/>
      <c r="G871" s="161"/>
      <c r="H871" s="161"/>
      <c r="I871" s="161"/>
      <c r="J871" s="161"/>
      <c r="M871" s="161"/>
      <c r="N871" s="161"/>
      <c r="R871" s="161"/>
      <c r="S871" s="161"/>
      <c r="W871" s="161"/>
      <c r="X871" s="161"/>
      <c r="Y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L871" s="161"/>
      <c r="AN871" s="161"/>
      <c r="AP871" s="161"/>
      <c r="AQ871" s="161"/>
      <c r="AR871" s="161"/>
      <c r="AS871" s="161"/>
      <c r="AT871" s="161"/>
      <c r="AU871" s="161"/>
      <c r="AV871" s="161"/>
      <c r="AW871" s="161"/>
      <c r="AX871" s="161"/>
      <c r="BA871" s="161"/>
      <c r="BC871" s="161"/>
    </row>
    <row r="872">
      <c r="B872" s="161"/>
      <c r="C872" s="161"/>
      <c r="D872" s="161"/>
      <c r="F872" s="161"/>
      <c r="G872" s="161"/>
      <c r="H872" s="161"/>
      <c r="I872" s="161"/>
      <c r="J872" s="161"/>
      <c r="M872" s="161"/>
      <c r="N872" s="161"/>
      <c r="R872" s="161"/>
      <c r="S872" s="161"/>
      <c r="W872" s="161"/>
      <c r="X872" s="161"/>
      <c r="Y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L872" s="161"/>
      <c r="AN872" s="161"/>
      <c r="AP872" s="161"/>
      <c r="AQ872" s="161"/>
      <c r="AR872" s="161"/>
      <c r="AS872" s="161"/>
      <c r="AT872" s="161"/>
      <c r="AU872" s="161"/>
      <c r="AV872" s="161"/>
      <c r="AW872" s="161"/>
      <c r="AX872" s="161"/>
      <c r="BA872" s="161"/>
      <c r="BC872" s="161"/>
    </row>
    <row r="873">
      <c r="B873" s="161"/>
      <c r="C873" s="161"/>
      <c r="D873" s="161"/>
      <c r="F873" s="161"/>
      <c r="G873" s="161"/>
      <c r="H873" s="161"/>
      <c r="I873" s="161"/>
      <c r="J873" s="161"/>
      <c r="M873" s="161"/>
      <c r="N873" s="161"/>
      <c r="R873" s="161"/>
      <c r="S873" s="161"/>
      <c r="W873" s="161"/>
      <c r="X873" s="161"/>
      <c r="Y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L873" s="161"/>
      <c r="AN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BA873" s="161"/>
      <c r="BC873" s="161"/>
    </row>
    <row r="874">
      <c r="B874" s="161"/>
      <c r="C874" s="161"/>
      <c r="D874" s="161"/>
      <c r="F874" s="161"/>
      <c r="G874" s="161"/>
      <c r="H874" s="161"/>
      <c r="I874" s="161"/>
      <c r="J874" s="161"/>
      <c r="M874" s="161"/>
      <c r="N874" s="161"/>
      <c r="R874" s="161"/>
      <c r="S874" s="161"/>
      <c r="W874" s="161"/>
      <c r="X874" s="161"/>
      <c r="Y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L874" s="161"/>
      <c r="AN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BA874" s="161"/>
      <c r="BC874" s="161"/>
    </row>
    <row r="875">
      <c r="B875" s="161"/>
      <c r="C875" s="161"/>
      <c r="D875" s="161"/>
      <c r="F875" s="161"/>
      <c r="G875" s="161"/>
      <c r="H875" s="161"/>
      <c r="I875" s="161"/>
      <c r="J875" s="161"/>
      <c r="M875" s="161"/>
      <c r="N875" s="161"/>
      <c r="R875" s="161"/>
      <c r="S875" s="161"/>
      <c r="W875" s="161"/>
      <c r="X875" s="161"/>
      <c r="Y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L875" s="161"/>
      <c r="AN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BA875" s="161"/>
      <c r="BC875" s="161"/>
    </row>
    <row r="876">
      <c r="B876" s="161"/>
      <c r="C876" s="161"/>
      <c r="D876" s="161"/>
      <c r="F876" s="161"/>
      <c r="G876" s="161"/>
      <c r="H876" s="161"/>
      <c r="I876" s="161"/>
      <c r="J876" s="161"/>
      <c r="M876" s="161"/>
      <c r="N876" s="161"/>
      <c r="R876" s="161"/>
      <c r="S876" s="161"/>
      <c r="W876" s="161"/>
      <c r="X876" s="161"/>
      <c r="Y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L876" s="161"/>
      <c r="AN876" s="161"/>
      <c r="AP876" s="161"/>
      <c r="AQ876" s="161"/>
      <c r="AR876" s="161"/>
      <c r="AS876" s="161"/>
      <c r="AT876" s="161"/>
      <c r="AU876" s="161"/>
      <c r="AV876" s="161"/>
      <c r="AW876" s="161"/>
      <c r="AX876" s="161"/>
      <c r="BA876" s="161"/>
      <c r="BC876" s="161"/>
    </row>
    <row r="877">
      <c r="B877" s="161"/>
      <c r="C877" s="161"/>
      <c r="D877" s="161"/>
      <c r="F877" s="161"/>
      <c r="G877" s="161"/>
      <c r="H877" s="161"/>
      <c r="I877" s="161"/>
      <c r="J877" s="161"/>
      <c r="M877" s="161"/>
      <c r="N877" s="161"/>
      <c r="R877" s="161"/>
      <c r="S877" s="161"/>
      <c r="W877" s="161"/>
      <c r="X877" s="161"/>
      <c r="Y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L877" s="161"/>
      <c r="AN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BA877" s="161"/>
      <c r="BC877" s="161"/>
    </row>
    <row r="878">
      <c r="B878" s="161"/>
      <c r="C878" s="161"/>
      <c r="D878" s="161"/>
      <c r="F878" s="161"/>
      <c r="G878" s="161"/>
      <c r="H878" s="161"/>
      <c r="I878" s="161"/>
      <c r="J878" s="161"/>
      <c r="M878" s="161"/>
      <c r="N878" s="161"/>
      <c r="R878" s="161"/>
      <c r="S878" s="161"/>
      <c r="W878" s="161"/>
      <c r="X878" s="161"/>
      <c r="Y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L878" s="161"/>
      <c r="AN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BA878" s="161"/>
      <c r="BC878" s="161"/>
    </row>
    <row r="879">
      <c r="B879" s="161"/>
      <c r="C879" s="161"/>
      <c r="D879" s="161"/>
      <c r="F879" s="161"/>
      <c r="G879" s="161"/>
      <c r="H879" s="161"/>
      <c r="I879" s="161"/>
      <c r="J879" s="161"/>
      <c r="M879" s="161"/>
      <c r="N879" s="161"/>
      <c r="R879" s="161"/>
      <c r="S879" s="161"/>
      <c r="W879" s="161"/>
      <c r="X879" s="161"/>
      <c r="Y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L879" s="161"/>
      <c r="AN879" s="161"/>
      <c r="AP879" s="161"/>
      <c r="AQ879" s="161"/>
      <c r="AR879" s="161"/>
      <c r="AS879" s="161"/>
      <c r="AT879" s="161"/>
      <c r="AU879" s="161"/>
      <c r="AV879" s="161"/>
      <c r="AW879" s="161"/>
      <c r="AX879" s="161"/>
      <c r="BA879" s="161"/>
      <c r="BC879" s="161"/>
    </row>
    <row r="880">
      <c r="B880" s="161"/>
      <c r="C880" s="161"/>
      <c r="D880" s="161"/>
      <c r="F880" s="161"/>
      <c r="G880" s="161"/>
      <c r="H880" s="161"/>
      <c r="I880" s="161"/>
      <c r="J880" s="161"/>
      <c r="M880" s="161"/>
      <c r="N880" s="161"/>
      <c r="R880" s="161"/>
      <c r="S880" s="161"/>
      <c r="W880" s="161"/>
      <c r="X880" s="161"/>
      <c r="Y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L880" s="161"/>
      <c r="AN880" s="161"/>
      <c r="AP880" s="161"/>
      <c r="AQ880" s="161"/>
      <c r="AR880" s="161"/>
      <c r="AS880" s="161"/>
      <c r="AT880" s="161"/>
      <c r="AU880" s="161"/>
      <c r="AV880" s="161"/>
      <c r="AW880" s="161"/>
      <c r="AX880" s="161"/>
      <c r="BA880" s="161"/>
      <c r="BC880" s="161"/>
    </row>
    <row r="881">
      <c r="B881" s="161"/>
      <c r="C881" s="161"/>
      <c r="D881" s="161"/>
      <c r="F881" s="161"/>
      <c r="G881" s="161"/>
      <c r="H881" s="161"/>
      <c r="I881" s="161"/>
      <c r="J881" s="161"/>
      <c r="M881" s="161"/>
      <c r="N881" s="161"/>
      <c r="R881" s="161"/>
      <c r="S881" s="161"/>
      <c r="W881" s="161"/>
      <c r="X881" s="161"/>
      <c r="Y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L881" s="161"/>
      <c r="AN881" s="161"/>
      <c r="AP881" s="161"/>
      <c r="AQ881" s="161"/>
      <c r="AR881" s="161"/>
      <c r="AS881" s="161"/>
      <c r="AT881" s="161"/>
      <c r="AU881" s="161"/>
      <c r="AV881" s="161"/>
      <c r="AW881" s="161"/>
      <c r="AX881" s="161"/>
      <c r="BA881" s="161"/>
      <c r="BC881" s="161"/>
    </row>
    <row r="882">
      <c r="B882" s="161"/>
      <c r="C882" s="161"/>
      <c r="D882" s="161"/>
      <c r="F882" s="161"/>
      <c r="G882" s="161"/>
      <c r="H882" s="161"/>
      <c r="I882" s="161"/>
      <c r="J882" s="161"/>
      <c r="M882" s="161"/>
      <c r="N882" s="161"/>
      <c r="R882" s="161"/>
      <c r="S882" s="161"/>
      <c r="W882" s="161"/>
      <c r="X882" s="161"/>
      <c r="Y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L882" s="161"/>
      <c r="AN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BA882" s="161"/>
      <c r="BC882" s="161"/>
    </row>
    <row r="883">
      <c r="B883" s="161"/>
      <c r="C883" s="161"/>
      <c r="D883" s="161"/>
      <c r="F883" s="161"/>
      <c r="G883" s="161"/>
      <c r="H883" s="161"/>
      <c r="I883" s="161"/>
      <c r="J883" s="161"/>
      <c r="M883" s="161"/>
      <c r="N883" s="161"/>
      <c r="R883" s="161"/>
      <c r="S883" s="161"/>
      <c r="W883" s="161"/>
      <c r="X883" s="161"/>
      <c r="Y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L883" s="161"/>
      <c r="AN883" s="161"/>
      <c r="AP883" s="161"/>
      <c r="AQ883" s="161"/>
      <c r="AR883" s="161"/>
      <c r="AS883" s="161"/>
      <c r="AT883" s="161"/>
      <c r="AU883" s="161"/>
      <c r="AV883" s="161"/>
      <c r="AW883" s="161"/>
      <c r="AX883" s="161"/>
      <c r="BA883" s="161"/>
      <c r="BC883" s="161"/>
    </row>
    <row r="884">
      <c r="B884" s="161"/>
      <c r="C884" s="161"/>
      <c r="D884" s="161"/>
      <c r="F884" s="161"/>
      <c r="G884" s="161"/>
      <c r="H884" s="161"/>
      <c r="I884" s="161"/>
      <c r="J884" s="161"/>
      <c r="M884" s="161"/>
      <c r="N884" s="161"/>
      <c r="R884" s="161"/>
      <c r="S884" s="161"/>
      <c r="W884" s="161"/>
      <c r="X884" s="161"/>
      <c r="Y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L884" s="161"/>
      <c r="AN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BA884" s="161"/>
      <c r="BC884" s="161"/>
    </row>
    <row r="885">
      <c r="B885" s="161"/>
      <c r="C885" s="161"/>
      <c r="D885" s="161"/>
      <c r="F885" s="161"/>
      <c r="G885" s="161"/>
      <c r="H885" s="161"/>
      <c r="I885" s="161"/>
      <c r="J885" s="161"/>
      <c r="M885" s="161"/>
      <c r="N885" s="161"/>
      <c r="R885" s="161"/>
      <c r="S885" s="161"/>
      <c r="W885" s="161"/>
      <c r="X885" s="161"/>
      <c r="Y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L885" s="161"/>
      <c r="AN885" s="161"/>
      <c r="AP885" s="161"/>
      <c r="AQ885" s="161"/>
      <c r="AR885" s="161"/>
      <c r="AS885" s="161"/>
      <c r="AT885" s="161"/>
      <c r="AU885" s="161"/>
      <c r="AV885" s="161"/>
      <c r="AW885" s="161"/>
      <c r="AX885" s="161"/>
      <c r="BA885" s="161"/>
      <c r="BC885" s="161"/>
    </row>
    <row r="886">
      <c r="B886" s="161"/>
      <c r="C886" s="161"/>
      <c r="D886" s="161"/>
      <c r="F886" s="161"/>
      <c r="G886" s="161"/>
      <c r="H886" s="161"/>
      <c r="I886" s="161"/>
      <c r="J886" s="161"/>
      <c r="M886" s="161"/>
      <c r="N886" s="161"/>
      <c r="R886" s="161"/>
      <c r="S886" s="161"/>
      <c r="W886" s="161"/>
      <c r="X886" s="161"/>
      <c r="Y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L886" s="161"/>
      <c r="AN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BA886" s="161"/>
      <c r="BC886" s="161"/>
    </row>
    <row r="887">
      <c r="B887" s="161"/>
      <c r="C887" s="161"/>
      <c r="D887" s="161"/>
      <c r="F887" s="161"/>
      <c r="G887" s="161"/>
      <c r="H887" s="161"/>
      <c r="I887" s="161"/>
      <c r="J887" s="161"/>
      <c r="M887" s="161"/>
      <c r="N887" s="161"/>
      <c r="R887" s="161"/>
      <c r="S887" s="161"/>
      <c r="W887" s="161"/>
      <c r="X887" s="161"/>
      <c r="Y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L887" s="161"/>
      <c r="AN887" s="161"/>
      <c r="AP887" s="161"/>
      <c r="AQ887" s="161"/>
      <c r="AR887" s="161"/>
      <c r="AS887" s="161"/>
      <c r="AT887" s="161"/>
      <c r="AU887" s="161"/>
      <c r="AV887" s="161"/>
      <c r="AW887" s="161"/>
      <c r="AX887" s="161"/>
      <c r="BA887" s="161"/>
      <c r="BC887" s="161"/>
    </row>
    <row r="888">
      <c r="B888" s="161"/>
      <c r="C888" s="161"/>
      <c r="D888" s="161"/>
      <c r="F888" s="161"/>
      <c r="G888" s="161"/>
      <c r="H888" s="161"/>
      <c r="I888" s="161"/>
      <c r="J888" s="161"/>
      <c r="M888" s="161"/>
      <c r="N888" s="161"/>
      <c r="R888" s="161"/>
      <c r="S888" s="161"/>
      <c r="W888" s="161"/>
      <c r="X888" s="161"/>
      <c r="Y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L888" s="161"/>
      <c r="AN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BA888" s="161"/>
      <c r="BC888" s="161"/>
    </row>
    <row r="889">
      <c r="B889" s="161"/>
      <c r="C889" s="161"/>
      <c r="D889" s="161"/>
      <c r="F889" s="161"/>
      <c r="G889" s="161"/>
      <c r="H889" s="161"/>
      <c r="I889" s="161"/>
      <c r="J889" s="161"/>
      <c r="M889" s="161"/>
      <c r="N889" s="161"/>
      <c r="R889" s="161"/>
      <c r="S889" s="161"/>
      <c r="W889" s="161"/>
      <c r="X889" s="161"/>
      <c r="Y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L889" s="161"/>
      <c r="AN889" s="161"/>
      <c r="AP889" s="161"/>
      <c r="AQ889" s="161"/>
      <c r="AR889" s="161"/>
      <c r="AS889" s="161"/>
      <c r="AT889" s="161"/>
      <c r="AU889" s="161"/>
      <c r="AV889" s="161"/>
      <c r="AW889" s="161"/>
      <c r="AX889" s="161"/>
      <c r="BA889" s="161"/>
      <c r="BC889" s="161"/>
    </row>
    <row r="890">
      <c r="B890" s="161"/>
      <c r="C890" s="161"/>
      <c r="D890" s="161"/>
      <c r="F890" s="161"/>
      <c r="G890" s="161"/>
      <c r="H890" s="161"/>
      <c r="I890" s="161"/>
      <c r="J890" s="161"/>
      <c r="M890" s="161"/>
      <c r="N890" s="161"/>
      <c r="R890" s="161"/>
      <c r="S890" s="161"/>
      <c r="W890" s="161"/>
      <c r="X890" s="161"/>
      <c r="Y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L890" s="161"/>
      <c r="AN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BA890" s="161"/>
      <c r="BC890" s="161"/>
    </row>
    <row r="891">
      <c r="B891" s="161"/>
      <c r="C891" s="161"/>
      <c r="D891" s="161"/>
      <c r="F891" s="161"/>
      <c r="G891" s="161"/>
      <c r="H891" s="161"/>
      <c r="I891" s="161"/>
      <c r="J891" s="161"/>
      <c r="M891" s="161"/>
      <c r="N891" s="161"/>
      <c r="R891" s="161"/>
      <c r="S891" s="161"/>
      <c r="W891" s="161"/>
      <c r="X891" s="161"/>
      <c r="Y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L891" s="161"/>
      <c r="AN891" s="161"/>
      <c r="AP891" s="161"/>
      <c r="AQ891" s="161"/>
      <c r="AR891" s="161"/>
      <c r="AS891" s="161"/>
      <c r="AT891" s="161"/>
      <c r="AU891" s="161"/>
      <c r="AV891" s="161"/>
      <c r="AW891" s="161"/>
      <c r="AX891" s="161"/>
      <c r="BA891" s="161"/>
      <c r="BC891" s="161"/>
    </row>
    <row r="892">
      <c r="B892" s="161"/>
      <c r="C892" s="161"/>
      <c r="D892" s="161"/>
      <c r="F892" s="161"/>
      <c r="G892" s="161"/>
      <c r="H892" s="161"/>
      <c r="I892" s="161"/>
      <c r="J892" s="161"/>
      <c r="M892" s="161"/>
      <c r="N892" s="161"/>
      <c r="R892" s="161"/>
      <c r="S892" s="161"/>
      <c r="W892" s="161"/>
      <c r="X892" s="161"/>
      <c r="Y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L892" s="161"/>
      <c r="AN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BA892" s="161"/>
      <c r="BC892" s="161"/>
    </row>
    <row r="893">
      <c r="B893" s="161"/>
      <c r="C893" s="161"/>
      <c r="D893" s="161"/>
      <c r="F893" s="161"/>
      <c r="G893" s="161"/>
      <c r="H893" s="161"/>
      <c r="I893" s="161"/>
      <c r="J893" s="161"/>
      <c r="M893" s="161"/>
      <c r="N893" s="161"/>
      <c r="R893" s="161"/>
      <c r="S893" s="161"/>
      <c r="W893" s="161"/>
      <c r="X893" s="161"/>
      <c r="Y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L893" s="161"/>
      <c r="AN893" s="161"/>
      <c r="AP893" s="161"/>
      <c r="AQ893" s="161"/>
      <c r="AR893" s="161"/>
      <c r="AS893" s="161"/>
      <c r="AT893" s="161"/>
      <c r="AU893" s="161"/>
      <c r="AV893" s="161"/>
      <c r="AW893" s="161"/>
      <c r="AX893" s="161"/>
      <c r="BA893" s="161"/>
      <c r="BC893" s="161"/>
    </row>
    <row r="894">
      <c r="B894" s="161"/>
      <c r="C894" s="161"/>
      <c r="D894" s="161"/>
      <c r="F894" s="161"/>
      <c r="G894" s="161"/>
      <c r="H894" s="161"/>
      <c r="I894" s="161"/>
      <c r="J894" s="161"/>
      <c r="M894" s="161"/>
      <c r="N894" s="161"/>
      <c r="R894" s="161"/>
      <c r="S894" s="161"/>
      <c r="W894" s="161"/>
      <c r="X894" s="161"/>
      <c r="Y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L894" s="161"/>
      <c r="AN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BA894" s="161"/>
      <c r="BC894" s="161"/>
    </row>
    <row r="895">
      <c r="B895" s="161"/>
      <c r="C895" s="161"/>
      <c r="D895" s="161"/>
      <c r="F895" s="161"/>
      <c r="G895" s="161"/>
      <c r="H895" s="161"/>
      <c r="I895" s="161"/>
      <c r="J895" s="161"/>
      <c r="M895" s="161"/>
      <c r="N895" s="161"/>
      <c r="R895" s="161"/>
      <c r="S895" s="161"/>
      <c r="W895" s="161"/>
      <c r="X895" s="161"/>
      <c r="Y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L895" s="161"/>
      <c r="AN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BA895" s="161"/>
      <c r="BC895" s="161"/>
    </row>
    <row r="896">
      <c r="B896" s="161"/>
      <c r="C896" s="161"/>
      <c r="D896" s="161"/>
      <c r="F896" s="161"/>
      <c r="G896" s="161"/>
      <c r="H896" s="161"/>
      <c r="I896" s="161"/>
      <c r="J896" s="161"/>
      <c r="M896" s="161"/>
      <c r="N896" s="161"/>
      <c r="R896" s="161"/>
      <c r="S896" s="161"/>
      <c r="W896" s="161"/>
      <c r="X896" s="161"/>
      <c r="Y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L896" s="161"/>
      <c r="AN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BA896" s="161"/>
      <c r="BC896" s="161"/>
    </row>
    <row r="897">
      <c r="B897" s="161"/>
      <c r="C897" s="161"/>
      <c r="D897" s="161"/>
      <c r="F897" s="161"/>
      <c r="G897" s="161"/>
      <c r="H897" s="161"/>
      <c r="I897" s="161"/>
      <c r="J897" s="161"/>
      <c r="M897" s="161"/>
      <c r="N897" s="161"/>
      <c r="R897" s="161"/>
      <c r="S897" s="161"/>
      <c r="W897" s="161"/>
      <c r="X897" s="161"/>
      <c r="Y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L897" s="161"/>
      <c r="AN897" s="161"/>
      <c r="AP897" s="161"/>
      <c r="AQ897" s="161"/>
      <c r="AR897" s="161"/>
      <c r="AS897" s="161"/>
      <c r="AT897" s="161"/>
      <c r="AU897" s="161"/>
      <c r="AV897" s="161"/>
      <c r="AW897" s="161"/>
      <c r="AX897" s="161"/>
      <c r="BA897" s="161"/>
      <c r="BC897" s="161"/>
    </row>
    <row r="898">
      <c r="B898" s="161"/>
      <c r="C898" s="161"/>
      <c r="D898" s="161"/>
      <c r="F898" s="161"/>
      <c r="G898" s="161"/>
      <c r="H898" s="161"/>
      <c r="I898" s="161"/>
      <c r="J898" s="161"/>
      <c r="M898" s="161"/>
      <c r="N898" s="161"/>
      <c r="R898" s="161"/>
      <c r="S898" s="161"/>
      <c r="W898" s="161"/>
      <c r="X898" s="161"/>
      <c r="Y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L898" s="161"/>
      <c r="AN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BA898" s="161"/>
      <c r="BC898" s="161"/>
    </row>
    <row r="899">
      <c r="B899" s="161"/>
      <c r="C899" s="161"/>
      <c r="D899" s="161"/>
      <c r="F899" s="161"/>
      <c r="G899" s="161"/>
      <c r="H899" s="161"/>
      <c r="I899" s="161"/>
      <c r="J899" s="161"/>
      <c r="M899" s="161"/>
      <c r="N899" s="161"/>
      <c r="R899" s="161"/>
      <c r="S899" s="161"/>
      <c r="W899" s="161"/>
      <c r="X899" s="161"/>
      <c r="Y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L899" s="161"/>
      <c r="AN899" s="161"/>
      <c r="AP899" s="161"/>
      <c r="AQ899" s="161"/>
      <c r="AR899" s="161"/>
      <c r="AS899" s="161"/>
      <c r="AT899" s="161"/>
      <c r="AU899" s="161"/>
      <c r="AV899" s="161"/>
      <c r="AW899" s="161"/>
      <c r="AX899" s="161"/>
      <c r="BA899" s="161"/>
      <c r="BC899" s="161"/>
    </row>
    <row r="900">
      <c r="B900" s="161"/>
      <c r="C900" s="161"/>
      <c r="D900" s="161"/>
      <c r="F900" s="161"/>
      <c r="G900" s="161"/>
      <c r="H900" s="161"/>
      <c r="I900" s="161"/>
      <c r="J900" s="161"/>
      <c r="M900" s="161"/>
      <c r="N900" s="161"/>
      <c r="R900" s="161"/>
      <c r="S900" s="161"/>
      <c r="W900" s="161"/>
      <c r="X900" s="161"/>
      <c r="Y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L900" s="161"/>
      <c r="AN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BA900" s="161"/>
      <c r="BC900" s="161"/>
    </row>
    <row r="901">
      <c r="B901" s="161"/>
      <c r="C901" s="161"/>
      <c r="D901" s="161"/>
      <c r="F901" s="161"/>
      <c r="G901" s="161"/>
      <c r="H901" s="161"/>
      <c r="I901" s="161"/>
      <c r="J901" s="161"/>
      <c r="M901" s="161"/>
      <c r="N901" s="161"/>
      <c r="R901" s="161"/>
      <c r="S901" s="161"/>
      <c r="W901" s="161"/>
      <c r="X901" s="161"/>
      <c r="Y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L901" s="161"/>
      <c r="AN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BA901" s="161"/>
      <c r="BC901" s="161"/>
    </row>
    <row r="902">
      <c r="B902" s="161"/>
      <c r="C902" s="161"/>
      <c r="D902" s="161"/>
      <c r="F902" s="161"/>
      <c r="G902" s="161"/>
      <c r="H902" s="161"/>
      <c r="I902" s="161"/>
      <c r="J902" s="161"/>
      <c r="M902" s="161"/>
      <c r="N902" s="161"/>
      <c r="R902" s="161"/>
      <c r="S902" s="161"/>
      <c r="W902" s="161"/>
      <c r="X902" s="161"/>
      <c r="Y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L902" s="161"/>
      <c r="AN902" s="161"/>
      <c r="AP902" s="161"/>
      <c r="AQ902" s="161"/>
      <c r="AR902" s="161"/>
      <c r="AS902" s="161"/>
      <c r="AT902" s="161"/>
      <c r="AU902" s="161"/>
      <c r="AV902" s="161"/>
      <c r="AW902" s="161"/>
      <c r="AX902" s="161"/>
      <c r="BA902" s="161"/>
      <c r="BC902" s="161"/>
    </row>
    <row r="903">
      <c r="B903" s="161"/>
      <c r="C903" s="161"/>
      <c r="D903" s="161"/>
      <c r="F903" s="161"/>
      <c r="G903" s="161"/>
      <c r="H903" s="161"/>
      <c r="I903" s="161"/>
      <c r="J903" s="161"/>
      <c r="M903" s="161"/>
      <c r="N903" s="161"/>
      <c r="R903" s="161"/>
      <c r="S903" s="161"/>
      <c r="W903" s="161"/>
      <c r="X903" s="161"/>
      <c r="Y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L903" s="161"/>
      <c r="AN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BA903" s="161"/>
      <c r="BC903" s="161"/>
    </row>
    <row r="904">
      <c r="B904" s="161"/>
      <c r="C904" s="161"/>
      <c r="D904" s="161"/>
      <c r="F904" s="161"/>
      <c r="G904" s="161"/>
      <c r="H904" s="161"/>
      <c r="I904" s="161"/>
      <c r="J904" s="161"/>
      <c r="M904" s="161"/>
      <c r="N904" s="161"/>
      <c r="R904" s="161"/>
      <c r="S904" s="161"/>
      <c r="W904" s="161"/>
      <c r="X904" s="161"/>
      <c r="Y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L904" s="161"/>
      <c r="AN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BA904" s="161"/>
      <c r="BC904" s="161"/>
    </row>
    <row r="905">
      <c r="B905" s="161"/>
      <c r="C905" s="161"/>
      <c r="D905" s="161"/>
      <c r="F905" s="161"/>
      <c r="G905" s="161"/>
      <c r="H905" s="161"/>
      <c r="I905" s="161"/>
      <c r="J905" s="161"/>
      <c r="M905" s="161"/>
      <c r="N905" s="161"/>
      <c r="R905" s="161"/>
      <c r="S905" s="161"/>
      <c r="W905" s="161"/>
      <c r="X905" s="161"/>
      <c r="Y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L905" s="161"/>
      <c r="AN905" s="161"/>
      <c r="AP905" s="161"/>
      <c r="AQ905" s="161"/>
      <c r="AR905" s="161"/>
      <c r="AS905" s="161"/>
      <c r="AT905" s="161"/>
      <c r="AU905" s="161"/>
      <c r="AV905" s="161"/>
      <c r="AW905" s="161"/>
      <c r="AX905" s="161"/>
      <c r="BA905" s="161"/>
      <c r="BC905" s="161"/>
    </row>
    <row r="906">
      <c r="B906" s="161"/>
      <c r="C906" s="161"/>
      <c r="D906" s="161"/>
      <c r="F906" s="161"/>
      <c r="G906" s="161"/>
      <c r="H906" s="161"/>
      <c r="I906" s="161"/>
      <c r="J906" s="161"/>
      <c r="M906" s="161"/>
      <c r="N906" s="161"/>
      <c r="R906" s="161"/>
      <c r="S906" s="161"/>
      <c r="W906" s="161"/>
      <c r="X906" s="161"/>
      <c r="Y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L906" s="161"/>
      <c r="AN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BA906" s="161"/>
      <c r="BC906" s="161"/>
    </row>
    <row r="907">
      <c r="B907" s="161"/>
      <c r="C907" s="161"/>
      <c r="D907" s="161"/>
      <c r="F907" s="161"/>
      <c r="G907" s="161"/>
      <c r="H907" s="161"/>
      <c r="I907" s="161"/>
      <c r="J907" s="161"/>
      <c r="M907" s="161"/>
      <c r="N907" s="161"/>
      <c r="R907" s="161"/>
      <c r="S907" s="161"/>
      <c r="W907" s="161"/>
      <c r="X907" s="161"/>
      <c r="Y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L907" s="161"/>
      <c r="AN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BA907" s="161"/>
      <c r="BC907" s="161"/>
    </row>
    <row r="908">
      <c r="B908" s="161"/>
      <c r="C908" s="161"/>
      <c r="D908" s="161"/>
      <c r="F908" s="161"/>
      <c r="G908" s="161"/>
      <c r="H908" s="161"/>
      <c r="I908" s="161"/>
      <c r="J908" s="161"/>
      <c r="M908" s="161"/>
      <c r="N908" s="161"/>
      <c r="R908" s="161"/>
      <c r="S908" s="161"/>
      <c r="W908" s="161"/>
      <c r="X908" s="161"/>
      <c r="Y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L908" s="161"/>
      <c r="AN908" s="161"/>
      <c r="AP908" s="161"/>
      <c r="AQ908" s="161"/>
      <c r="AR908" s="161"/>
      <c r="AS908" s="161"/>
      <c r="AT908" s="161"/>
      <c r="AU908" s="161"/>
      <c r="AV908" s="161"/>
      <c r="AW908" s="161"/>
      <c r="AX908" s="161"/>
      <c r="BA908" s="161"/>
      <c r="BC908" s="161"/>
    </row>
    <row r="909">
      <c r="B909" s="161"/>
      <c r="C909" s="161"/>
      <c r="D909" s="161"/>
      <c r="F909" s="161"/>
      <c r="G909" s="161"/>
      <c r="H909" s="161"/>
      <c r="I909" s="161"/>
      <c r="J909" s="161"/>
      <c r="M909" s="161"/>
      <c r="N909" s="161"/>
      <c r="R909" s="161"/>
      <c r="S909" s="161"/>
      <c r="W909" s="161"/>
      <c r="X909" s="161"/>
      <c r="Y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L909" s="161"/>
      <c r="AN909" s="161"/>
      <c r="AP909" s="161"/>
      <c r="AQ909" s="161"/>
      <c r="AR909" s="161"/>
      <c r="AS909" s="161"/>
      <c r="AT909" s="161"/>
      <c r="AU909" s="161"/>
      <c r="AV909" s="161"/>
      <c r="AW909" s="161"/>
      <c r="AX909" s="161"/>
      <c r="BA909" s="161"/>
      <c r="BC909" s="161"/>
    </row>
    <row r="910">
      <c r="B910" s="161"/>
      <c r="C910" s="161"/>
      <c r="D910" s="161"/>
      <c r="F910" s="161"/>
      <c r="G910" s="161"/>
      <c r="H910" s="161"/>
      <c r="I910" s="161"/>
      <c r="J910" s="161"/>
      <c r="M910" s="161"/>
      <c r="N910" s="161"/>
      <c r="R910" s="161"/>
      <c r="S910" s="161"/>
      <c r="W910" s="161"/>
      <c r="X910" s="161"/>
      <c r="Y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L910" s="161"/>
      <c r="AN910" s="161"/>
      <c r="AP910" s="161"/>
      <c r="AQ910" s="161"/>
      <c r="AR910" s="161"/>
      <c r="AS910" s="161"/>
      <c r="AT910" s="161"/>
      <c r="AU910" s="161"/>
      <c r="AV910" s="161"/>
      <c r="AW910" s="161"/>
      <c r="AX910" s="161"/>
      <c r="BA910" s="161"/>
      <c r="BC910" s="161"/>
    </row>
    <row r="911">
      <c r="B911" s="161"/>
      <c r="C911" s="161"/>
      <c r="D911" s="161"/>
      <c r="F911" s="161"/>
      <c r="G911" s="161"/>
      <c r="H911" s="161"/>
      <c r="I911" s="161"/>
      <c r="J911" s="161"/>
      <c r="M911" s="161"/>
      <c r="N911" s="161"/>
      <c r="R911" s="161"/>
      <c r="S911" s="161"/>
      <c r="W911" s="161"/>
      <c r="X911" s="161"/>
      <c r="Y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L911" s="161"/>
      <c r="AN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BA911" s="161"/>
      <c r="BC911" s="161"/>
    </row>
    <row r="912">
      <c r="B912" s="161"/>
      <c r="C912" s="161"/>
      <c r="D912" s="161"/>
      <c r="F912" s="161"/>
      <c r="G912" s="161"/>
      <c r="H912" s="161"/>
      <c r="I912" s="161"/>
      <c r="J912" s="161"/>
      <c r="M912" s="161"/>
      <c r="N912" s="161"/>
      <c r="R912" s="161"/>
      <c r="S912" s="161"/>
      <c r="W912" s="161"/>
      <c r="X912" s="161"/>
      <c r="Y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L912" s="161"/>
      <c r="AN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BA912" s="161"/>
      <c r="BC912" s="161"/>
    </row>
    <row r="913">
      <c r="B913" s="161"/>
      <c r="C913" s="161"/>
      <c r="D913" s="161"/>
      <c r="F913" s="161"/>
      <c r="G913" s="161"/>
      <c r="H913" s="161"/>
      <c r="I913" s="161"/>
      <c r="J913" s="161"/>
      <c r="M913" s="161"/>
      <c r="N913" s="161"/>
      <c r="R913" s="161"/>
      <c r="S913" s="161"/>
      <c r="W913" s="161"/>
      <c r="X913" s="161"/>
      <c r="Y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L913" s="161"/>
      <c r="AN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BA913" s="161"/>
      <c r="BC913" s="161"/>
    </row>
    <row r="914">
      <c r="B914" s="161"/>
      <c r="C914" s="161"/>
      <c r="D914" s="161"/>
      <c r="F914" s="161"/>
      <c r="G914" s="161"/>
      <c r="H914" s="161"/>
      <c r="I914" s="161"/>
      <c r="J914" s="161"/>
      <c r="M914" s="161"/>
      <c r="N914" s="161"/>
      <c r="R914" s="161"/>
      <c r="S914" s="161"/>
      <c r="W914" s="161"/>
      <c r="X914" s="161"/>
      <c r="Y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L914" s="161"/>
      <c r="AN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BA914" s="161"/>
      <c r="BC914" s="161"/>
    </row>
    <row r="915">
      <c r="B915" s="161"/>
      <c r="C915" s="161"/>
      <c r="D915" s="161"/>
      <c r="F915" s="161"/>
      <c r="G915" s="161"/>
      <c r="H915" s="161"/>
      <c r="I915" s="161"/>
      <c r="J915" s="161"/>
      <c r="M915" s="161"/>
      <c r="N915" s="161"/>
      <c r="R915" s="161"/>
      <c r="S915" s="161"/>
      <c r="W915" s="161"/>
      <c r="X915" s="161"/>
      <c r="Y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L915" s="161"/>
      <c r="AN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BA915" s="161"/>
      <c r="BC915" s="161"/>
    </row>
    <row r="916">
      <c r="B916" s="161"/>
      <c r="C916" s="161"/>
      <c r="D916" s="161"/>
      <c r="F916" s="161"/>
      <c r="G916" s="161"/>
      <c r="H916" s="161"/>
      <c r="I916" s="161"/>
      <c r="J916" s="161"/>
      <c r="M916" s="161"/>
      <c r="N916" s="161"/>
      <c r="R916" s="161"/>
      <c r="S916" s="161"/>
      <c r="W916" s="161"/>
      <c r="X916" s="161"/>
      <c r="Y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L916" s="161"/>
      <c r="AN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BA916" s="161"/>
      <c r="BC916" s="161"/>
    </row>
    <row r="917">
      <c r="B917" s="161"/>
      <c r="C917" s="161"/>
      <c r="D917" s="161"/>
      <c r="F917" s="161"/>
      <c r="G917" s="161"/>
      <c r="H917" s="161"/>
      <c r="I917" s="161"/>
      <c r="J917" s="161"/>
      <c r="M917" s="161"/>
      <c r="N917" s="161"/>
      <c r="R917" s="161"/>
      <c r="S917" s="161"/>
      <c r="W917" s="161"/>
      <c r="X917" s="161"/>
      <c r="Y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L917" s="161"/>
      <c r="AN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BA917" s="161"/>
      <c r="BC917" s="161"/>
    </row>
    <row r="918">
      <c r="B918" s="161"/>
      <c r="C918" s="161"/>
      <c r="D918" s="161"/>
      <c r="F918" s="161"/>
      <c r="G918" s="161"/>
      <c r="H918" s="161"/>
      <c r="I918" s="161"/>
      <c r="J918" s="161"/>
      <c r="M918" s="161"/>
      <c r="N918" s="161"/>
      <c r="R918" s="161"/>
      <c r="S918" s="161"/>
      <c r="W918" s="161"/>
      <c r="X918" s="161"/>
      <c r="Y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L918" s="161"/>
      <c r="AN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BA918" s="161"/>
      <c r="BC918" s="161"/>
    </row>
    <row r="919">
      <c r="B919" s="161"/>
      <c r="C919" s="161"/>
      <c r="D919" s="161"/>
      <c r="F919" s="161"/>
      <c r="G919" s="161"/>
      <c r="H919" s="161"/>
      <c r="I919" s="161"/>
      <c r="J919" s="161"/>
      <c r="M919" s="161"/>
      <c r="N919" s="161"/>
      <c r="R919" s="161"/>
      <c r="S919" s="161"/>
      <c r="W919" s="161"/>
      <c r="X919" s="161"/>
      <c r="Y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L919" s="161"/>
      <c r="AN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BA919" s="161"/>
      <c r="BC919" s="161"/>
    </row>
    <row r="920">
      <c r="B920" s="161"/>
      <c r="C920" s="161"/>
      <c r="D920" s="161"/>
      <c r="F920" s="161"/>
      <c r="G920" s="161"/>
      <c r="H920" s="161"/>
      <c r="I920" s="161"/>
      <c r="J920" s="161"/>
      <c r="M920" s="161"/>
      <c r="N920" s="161"/>
      <c r="R920" s="161"/>
      <c r="S920" s="161"/>
      <c r="W920" s="161"/>
      <c r="X920" s="161"/>
      <c r="Y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L920" s="161"/>
      <c r="AN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BA920" s="161"/>
      <c r="BC920" s="161"/>
    </row>
    <row r="921">
      <c r="B921" s="161"/>
      <c r="C921" s="161"/>
      <c r="D921" s="161"/>
      <c r="F921" s="161"/>
      <c r="G921" s="161"/>
      <c r="H921" s="161"/>
      <c r="I921" s="161"/>
      <c r="J921" s="161"/>
      <c r="M921" s="161"/>
      <c r="N921" s="161"/>
      <c r="R921" s="161"/>
      <c r="S921" s="161"/>
      <c r="W921" s="161"/>
      <c r="X921" s="161"/>
      <c r="Y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L921" s="161"/>
      <c r="AN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BA921" s="161"/>
      <c r="BC921" s="161"/>
    </row>
    <row r="922">
      <c r="B922" s="161"/>
      <c r="C922" s="161"/>
      <c r="D922" s="161"/>
      <c r="F922" s="161"/>
      <c r="G922" s="161"/>
      <c r="H922" s="161"/>
      <c r="I922" s="161"/>
      <c r="J922" s="161"/>
      <c r="M922" s="161"/>
      <c r="N922" s="161"/>
      <c r="R922" s="161"/>
      <c r="S922" s="161"/>
      <c r="W922" s="161"/>
      <c r="X922" s="161"/>
      <c r="Y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L922" s="161"/>
      <c r="AN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BA922" s="161"/>
      <c r="BC922" s="161"/>
    </row>
    <row r="923">
      <c r="B923" s="161"/>
      <c r="C923" s="161"/>
      <c r="D923" s="161"/>
      <c r="F923" s="161"/>
      <c r="G923" s="161"/>
      <c r="H923" s="161"/>
      <c r="I923" s="161"/>
      <c r="J923" s="161"/>
      <c r="M923" s="161"/>
      <c r="N923" s="161"/>
      <c r="R923" s="161"/>
      <c r="S923" s="161"/>
      <c r="W923" s="161"/>
      <c r="X923" s="161"/>
      <c r="Y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L923" s="161"/>
      <c r="AN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BA923" s="161"/>
      <c r="BC923" s="161"/>
    </row>
    <row r="924">
      <c r="B924" s="161"/>
      <c r="C924" s="161"/>
      <c r="D924" s="161"/>
      <c r="F924" s="161"/>
      <c r="G924" s="161"/>
      <c r="H924" s="161"/>
      <c r="I924" s="161"/>
      <c r="J924" s="161"/>
      <c r="M924" s="161"/>
      <c r="N924" s="161"/>
      <c r="R924" s="161"/>
      <c r="S924" s="161"/>
      <c r="W924" s="161"/>
      <c r="X924" s="161"/>
      <c r="Y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L924" s="161"/>
      <c r="AN924" s="161"/>
      <c r="AP924" s="161"/>
      <c r="AQ924" s="161"/>
      <c r="AR924" s="161"/>
      <c r="AS924" s="161"/>
      <c r="AT924" s="161"/>
      <c r="AU924" s="161"/>
      <c r="AV924" s="161"/>
      <c r="AW924" s="161"/>
      <c r="AX924" s="161"/>
      <c r="BA924" s="161"/>
      <c r="BC924" s="161"/>
    </row>
    <row r="925">
      <c r="B925" s="161"/>
      <c r="C925" s="161"/>
      <c r="D925" s="161"/>
      <c r="F925" s="161"/>
      <c r="G925" s="161"/>
      <c r="H925" s="161"/>
      <c r="I925" s="161"/>
      <c r="J925" s="161"/>
      <c r="M925" s="161"/>
      <c r="N925" s="161"/>
      <c r="R925" s="161"/>
      <c r="S925" s="161"/>
      <c r="W925" s="161"/>
      <c r="X925" s="161"/>
      <c r="Y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L925" s="161"/>
      <c r="AN925" s="161"/>
      <c r="AP925" s="161"/>
      <c r="AQ925" s="161"/>
      <c r="AR925" s="161"/>
      <c r="AS925" s="161"/>
      <c r="AT925" s="161"/>
      <c r="AU925" s="161"/>
      <c r="AV925" s="161"/>
      <c r="AW925" s="161"/>
      <c r="AX925" s="161"/>
      <c r="BA925" s="161"/>
      <c r="BC925" s="161"/>
    </row>
    <row r="926">
      <c r="B926" s="161"/>
      <c r="C926" s="161"/>
      <c r="D926" s="161"/>
      <c r="F926" s="161"/>
      <c r="G926" s="161"/>
      <c r="H926" s="161"/>
      <c r="I926" s="161"/>
      <c r="J926" s="161"/>
      <c r="M926" s="161"/>
      <c r="N926" s="161"/>
      <c r="R926" s="161"/>
      <c r="S926" s="161"/>
      <c r="W926" s="161"/>
      <c r="X926" s="161"/>
      <c r="Y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L926" s="161"/>
      <c r="AN926" s="161"/>
      <c r="AP926" s="161"/>
      <c r="AQ926" s="161"/>
      <c r="AR926" s="161"/>
      <c r="AS926" s="161"/>
      <c r="AT926" s="161"/>
      <c r="AU926" s="161"/>
      <c r="AV926" s="161"/>
      <c r="AW926" s="161"/>
      <c r="AX926" s="161"/>
      <c r="BA926" s="161"/>
      <c r="BC926" s="161"/>
    </row>
    <row r="927">
      <c r="B927" s="161"/>
      <c r="C927" s="161"/>
      <c r="D927" s="161"/>
      <c r="F927" s="161"/>
      <c r="G927" s="161"/>
      <c r="H927" s="161"/>
      <c r="I927" s="161"/>
      <c r="J927" s="161"/>
      <c r="M927" s="161"/>
      <c r="N927" s="161"/>
      <c r="R927" s="161"/>
      <c r="S927" s="161"/>
      <c r="W927" s="161"/>
      <c r="X927" s="161"/>
      <c r="Y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L927" s="161"/>
      <c r="AN927" s="161"/>
      <c r="AP927" s="161"/>
      <c r="AQ927" s="161"/>
      <c r="AR927" s="161"/>
      <c r="AS927" s="161"/>
      <c r="AT927" s="161"/>
      <c r="AU927" s="161"/>
      <c r="AV927" s="161"/>
      <c r="AW927" s="161"/>
      <c r="AX927" s="161"/>
      <c r="BA927" s="161"/>
      <c r="BC927" s="161"/>
    </row>
    <row r="928">
      <c r="B928" s="161"/>
      <c r="C928" s="161"/>
      <c r="D928" s="161"/>
      <c r="F928" s="161"/>
      <c r="G928" s="161"/>
      <c r="H928" s="161"/>
      <c r="I928" s="161"/>
      <c r="J928" s="161"/>
      <c r="M928" s="161"/>
      <c r="N928" s="161"/>
      <c r="R928" s="161"/>
      <c r="S928" s="161"/>
      <c r="W928" s="161"/>
      <c r="X928" s="161"/>
      <c r="Y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L928" s="161"/>
      <c r="AN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BA928" s="161"/>
      <c r="BC928" s="161"/>
    </row>
    <row r="929">
      <c r="B929" s="161"/>
      <c r="C929" s="161"/>
      <c r="D929" s="161"/>
      <c r="F929" s="161"/>
      <c r="G929" s="161"/>
      <c r="H929" s="161"/>
      <c r="I929" s="161"/>
      <c r="J929" s="161"/>
      <c r="M929" s="161"/>
      <c r="N929" s="161"/>
      <c r="R929" s="161"/>
      <c r="S929" s="161"/>
      <c r="W929" s="161"/>
      <c r="X929" s="161"/>
      <c r="Y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L929" s="161"/>
      <c r="AN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BA929" s="161"/>
      <c r="BC929" s="161"/>
    </row>
    <row r="930">
      <c r="B930" s="161"/>
      <c r="C930" s="161"/>
      <c r="D930" s="161"/>
      <c r="F930" s="161"/>
      <c r="G930" s="161"/>
      <c r="H930" s="161"/>
      <c r="I930" s="161"/>
      <c r="J930" s="161"/>
      <c r="M930" s="161"/>
      <c r="N930" s="161"/>
      <c r="R930" s="161"/>
      <c r="S930" s="161"/>
      <c r="W930" s="161"/>
      <c r="X930" s="161"/>
      <c r="Y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L930" s="161"/>
      <c r="AN930" s="161"/>
      <c r="AP930" s="161"/>
      <c r="AQ930" s="161"/>
      <c r="AR930" s="161"/>
      <c r="AS930" s="161"/>
      <c r="AT930" s="161"/>
      <c r="AU930" s="161"/>
      <c r="AV930" s="161"/>
      <c r="AW930" s="161"/>
      <c r="AX930" s="161"/>
      <c r="BA930" s="161"/>
      <c r="BC930" s="161"/>
    </row>
    <row r="931">
      <c r="B931" s="161"/>
      <c r="C931" s="161"/>
      <c r="D931" s="161"/>
      <c r="F931" s="161"/>
      <c r="G931" s="161"/>
      <c r="H931" s="161"/>
      <c r="I931" s="161"/>
      <c r="J931" s="161"/>
      <c r="M931" s="161"/>
      <c r="N931" s="161"/>
      <c r="R931" s="161"/>
      <c r="S931" s="161"/>
      <c r="W931" s="161"/>
      <c r="X931" s="161"/>
      <c r="Y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L931" s="161"/>
      <c r="AN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BA931" s="161"/>
      <c r="BC931" s="161"/>
    </row>
    <row r="932">
      <c r="B932" s="161"/>
      <c r="C932" s="161"/>
      <c r="D932" s="161"/>
      <c r="F932" s="161"/>
      <c r="G932" s="161"/>
      <c r="H932" s="161"/>
      <c r="I932" s="161"/>
      <c r="J932" s="161"/>
      <c r="M932" s="161"/>
      <c r="N932" s="161"/>
      <c r="R932" s="161"/>
      <c r="S932" s="161"/>
      <c r="W932" s="161"/>
      <c r="X932" s="161"/>
      <c r="Y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L932" s="161"/>
      <c r="AN932" s="161"/>
      <c r="AP932" s="161"/>
      <c r="AQ932" s="161"/>
      <c r="AR932" s="161"/>
      <c r="AS932" s="161"/>
      <c r="AT932" s="161"/>
      <c r="AU932" s="161"/>
      <c r="AV932" s="161"/>
      <c r="AW932" s="161"/>
      <c r="AX932" s="161"/>
      <c r="BA932" s="161"/>
      <c r="BC932" s="161"/>
    </row>
    <row r="933">
      <c r="B933" s="161"/>
      <c r="C933" s="161"/>
      <c r="D933" s="161"/>
      <c r="F933" s="161"/>
      <c r="G933" s="161"/>
      <c r="H933" s="161"/>
      <c r="I933" s="161"/>
      <c r="J933" s="161"/>
      <c r="M933" s="161"/>
      <c r="N933" s="161"/>
      <c r="R933" s="161"/>
      <c r="S933" s="161"/>
      <c r="W933" s="161"/>
      <c r="X933" s="161"/>
      <c r="Y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L933" s="161"/>
      <c r="AN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BA933" s="161"/>
      <c r="BC933" s="161"/>
    </row>
    <row r="934">
      <c r="B934" s="161"/>
      <c r="C934" s="161"/>
      <c r="D934" s="161"/>
      <c r="F934" s="161"/>
      <c r="G934" s="161"/>
      <c r="H934" s="161"/>
      <c r="I934" s="161"/>
      <c r="J934" s="161"/>
      <c r="M934" s="161"/>
      <c r="N934" s="161"/>
      <c r="R934" s="161"/>
      <c r="S934" s="161"/>
      <c r="W934" s="161"/>
      <c r="X934" s="161"/>
      <c r="Y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L934" s="161"/>
      <c r="AN934" s="161"/>
      <c r="AP934" s="161"/>
      <c r="AQ934" s="161"/>
      <c r="AR934" s="161"/>
      <c r="AS934" s="161"/>
      <c r="AT934" s="161"/>
      <c r="AU934" s="161"/>
      <c r="AV934" s="161"/>
      <c r="AW934" s="161"/>
      <c r="AX934" s="161"/>
      <c r="BA934" s="161"/>
      <c r="BC934" s="161"/>
    </row>
    <row r="935">
      <c r="B935" s="161"/>
      <c r="C935" s="161"/>
      <c r="D935" s="161"/>
      <c r="F935" s="161"/>
      <c r="G935" s="161"/>
      <c r="H935" s="161"/>
      <c r="I935" s="161"/>
      <c r="J935" s="161"/>
      <c r="M935" s="161"/>
      <c r="N935" s="161"/>
      <c r="R935" s="161"/>
      <c r="S935" s="161"/>
      <c r="W935" s="161"/>
      <c r="X935" s="161"/>
      <c r="Y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L935" s="161"/>
      <c r="AN935" s="161"/>
      <c r="AP935" s="161"/>
      <c r="AQ935" s="161"/>
      <c r="AR935" s="161"/>
      <c r="AS935" s="161"/>
      <c r="AT935" s="161"/>
      <c r="AU935" s="161"/>
      <c r="AV935" s="161"/>
      <c r="AW935" s="161"/>
      <c r="AX935" s="161"/>
      <c r="BA935" s="161"/>
      <c r="BC935" s="161"/>
    </row>
    <row r="936">
      <c r="B936" s="161"/>
      <c r="C936" s="161"/>
      <c r="D936" s="161"/>
      <c r="F936" s="161"/>
      <c r="G936" s="161"/>
      <c r="H936" s="161"/>
      <c r="I936" s="161"/>
      <c r="J936" s="161"/>
      <c r="M936" s="161"/>
      <c r="N936" s="161"/>
      <c r="R936" s="161"/>
      <c r="S936" s="161"/>
      <c r="W936" s="161"/>
      <c r="X936" s="161"/>
      <c r="Y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L936" s="161"/>
      <c r="AN936" s="161"/>
      <c r="AP936" s="161"/>
      <c r="AQ936" s="161"/>
      <c r="AR936" s="161"/>
      <c r="AS936" s="161"/>
      <c r="AT936" s="161"/>
      <c r="AU936" s="161"/>
      <c r="AV936" s="161"/>
      <c r="AW936" s="161"/>
      <c r="AX936" s="161"/>
      <c r="BA936" s="161"/>
      <c r="BC936" s="161"/>
    </row>
    <row r="937">
      <c r="B937" s="161"/>
      <c r="C937" s="161"/>
      <c r="D937" s="161"/>
      <c r="F937" s="161"/>
      <c r="G937" s="161"/>
      <c r="H937" s="161"/>
      <c r="I937" s="161"/>
      <c r="J937" s="161"/>
      <c r="M937" s="161"/>
      <c r="N937" s="161"/>
      <c r="R937" s="161"/>
      <c r="S937" s="161"/>
      <c r="W937" s="161"/>
      <c r="X937" s="161"/>
      <c r="Y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L937" s="161"/>
      <c r="AN937" s="161"/>
      <c r="AP937" s="161"/>
      <c r="AQ937" s="161"/>
      <c r="AR937" s="161"/>
      <c r="AS937" s="161"/>
      <c r="AT937" s="161"/>
      <c r="AU937" s="161"/>
      <c r="AV937" s="161"/>
      <c r="AW937" s="161"/>
      <c r="AX937" s="161"/>
      <c r="BA937" s="161"/>
      <c r="BC937" s="161"/>
    </row>
    <row r="938">
      <c r="B938" s="161"/>
      <c r="C938" s="161"/>
      <c r="D938" s="161"/>
      <c r="F938" s="161"/>
      <c r="G938" s="161"/>
      <c r="H938" s="161"/>
      <c r="I938" s="161"/>
      <c r="J938" s="161"/>
      <c r="M938" s="161"/>
      <c r="N938" s="161"/>
      <c r="R938" s="161"/>
      <c r="S938" s="161"/>
      <c r="W938" s="161"/>
      <c r="X938" s="161"/>
      <c r="Y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L938" s="161"/>
      <c r="AN938" s="161"/>
      <c r="AP938" s="161"/>
      <c r="AQ938" s="161"/>
      <c r="AR938" s="161"/>
      <c r="AS938" s="161"/>
      <c r="AT938" s="161"/>
      <c r="AU938" s="161"/>
      <c r="AV938" s="161"/>
      <c r="AW938" s="161"/>
      <c r="AX938" s="161"/>
      <c r="BA938" s="161"/>
      <c r="BC938" s="161"/>
    </row>
    <row r="939">
      <c r="B939" s="161"/>
      <c r="C939" s="161"/>
      <c r="D939" s="161"/>
      <c r="F939" s="161"/>
      <c r="G939" s="161"/>
      <c r="H939" s="161"/>
      <c r="I939" s="161"/>
      <c r="J939" s="161"/>
      <c r="M939" s="161"/>
      <c r="N939" s="161"/>
      <c r="R939" s="161"/>
      <c r="S939" s="161"/>
      <c r="W939" s="161"/>
      <c r="X939" s="161"/>
      <c r="Y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L939" s="161"/>
      <c r="AN939" s="161"/>
      <c r="AP939" s="161"/>
      <c r="AQ939" s="161"/>
      <c r="AR939" s="161"/>
      <c r="AS939" s="161"/>
      <c r="AT939" s="161"/>
      <c r="AU939" s="161"/>
      <c r="AV939" s="161"/>
      <c r="AW939" s="161"/>
      <c r="AX939" s="161"/>
      <c r="BA939" s="161"/>
      <c r="BC939" s="161"/>
    </row>
    <row r="940">
      <c r="B940" s="161"/>
      <c r="C940" s="161"/>
      <c r="D940" s="161"/>
      <c r="F940" s="161"/>
      <c r="G940" s="161"/>
      <c r="H940" s="161"/>
      <c r="I940" s="161"/>
      <c r="J940" s="161"/>
      <c r="M940" s="161"/>
      <c r="N940" s="161"/>
      <c r="R940" s="161"/>
      <c r="S940" s="161"/>
      <c r="W940" s="161"/>
      <c r="X940" s="161"/>
      <c r="Y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L940" s="161"/>
      <c r="AN940" s="161"/>
      <c r="AP940" s="161"/>
      <c r="AQ940" s="161"/>
      <c r="AR940" s="161"/>
      <c r="AS940" s="161"/>
      <c r="AT940" s="161"/>
      <c r="AU940" s="161"/>
      <c r="AV940" s="161"/>
      <c r="AW940" s="161"/>
      <c r="AX940" s="161"/>
      <c r="BA940" s="161"/>
      <c r="BC940" s="161"/>
    </row>
    <row r="941">
      <c r="B941" s="161"/>
      <c r="C941" s="161"/>
      <c r="D941" s="161"/>
      <c r="F941" s="161"/>
      <c r="G941" s="161"/>
      <c r="H941" s="161"/>
      <c r="I941" s="161"/>
      <c r="J941" s="161"/>
      <c r="M941" s="161"/>
      <c r="N941" s="161"/>
      <c r="R941" s="161"/>
      <c r="S941" s="161"/>
      <c r="W941" s="161"/>
      <c r="X941" s="161"/>
      <c r="Y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L941" s="161"/>
      <c r="AN941" s="161"/>
      <c r="AP941" s="161"/>
      <c r="AQ941" s="161"/>
      <c r="AR941" s="161"/>
      <c r="AS941" s="161"/>
      <c r="AT941" s="161"/>
      <c r="AU941" s="161"/>
      <c r="AV941" s="161"/>
      <c r="AW941" s="161"/>
      <c r="AX941" s="161"/>
      <c r="BA941" s="161"/>
      <c r="BC941" s="161"/>
    </row>
    <row r="942">
      <c r="B942" s="161"/>
      <c r="C942" s="161"/>
      <c r="D942" s="161"/>
      <c r="F942" s="161"/>
      <c r="G942" s="161"/>
      <c r="H942" s="161"/>
      <c r="I942" s="161"/>
      <c r="J942" s="161"/>
      <c r="M942" s="161"/>
      <c r="N942" s="161"/>
      <c r="R942" s="161"/>
      <c r="S942" s="161"/>
      <c r="W942" s="161"/>
      <c r="X942" s="161"/>
      <c r="Y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L942" s="161"/>
      <c r="AN942" s="161"/>
      <c r="AP942" s="161"/>
      <c r="AQ942" s="161"/>
      <c r="AR942" s="161"/>
      <c r="AS942" s="161"/>
      <c r="AT942" s="161"/>
      <c r="AU942" s="161"/>
      <c r="AV942" s="161"/>
      <c r="AW942" s="161"/>
      <c r="AX942" s="161"/>
      <c r="BA942" s="161"/>
      <c r="BC942" s="161"/>
    </row>
    <row r="943">
      <c r="B943" s="161"/>
      <c r="C943" s="161"/>
      <c r="D943" s="161"/>
      <c r="F943" s="161"/>
      <c r="G943" s="161"/>
      <c r="H943" s="161"/>
      <c r="I943" s="161"/>
      <c r="J943" s="161"/>
      <c r="M943" s="161"/>
      <c r="N943" s="161"/>
      <c r="R943" s="161"/>
      <c r="S943" s="161"/>
      <c r="W943" s="161"/>
      <c r="X943" s="161"/>
      <c r="Y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L943" s="161"/>
      <c r="AN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BA943" s="161"/>
      <c r="BC943" s="161"/>
    </row>
    <row r="944">
      <c r="B944" s="161"/>
      <c r="C944" s="161"/>
      <c r="D944" s="161"/>
      <c r="F944" s="161"/>
      <c r="G944" s="161"/>
      <c r="H944" s="161"/>
      <c r="I944" s="161"/>
      <c r="J944" s="161"/>
      <c r="M944" s="161"/>
      <c r="N944" s="161"/>
      <c r="R944" s="161"/>
      <c r="S944" s="161"/>
      <c r="W944" s="161"/>
      <c r="X944" s="161"/>
      <c r="Y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L944" s="161"/>
      <c r="AN944" s="161"/>
      <c r="AP944" s="161"/>
      <c r="AQ944" s="161"/>
      <c r="AR944" s="161"/>
      <c r="AS944" s="161"/>
      <c r="AT944" s="161"/>
      <c r="AU944" s="161"/>
      <c r="AV944" s="161"/>
      <c r="AW944" s="161"/>
      <c r="AX944" s="161"/>
      <c r="BA944" s="161"/>
      <c r="BC944" s="161"/>
    </row>
    <row r="945">
      <c r="B945" s="161"/>
      <c r="C945" s="161"/>
      <c r="D945" s="161"/>
      <c r="F945" s="161"/>
      <c r="G945" s="161"/>
      <c r="H945" s="161"/>
      <c r="I945" s="161"/>
      <c r="J945" s="161"/>
      <c r="M945" s="161"/>
      <c r="N945" s="161"/>
      <c r="R945" s="161"/>
      <c r="S945" s="161"/>
      <c r="W945" s="161"/>
      <c r="X945" s="161"/>
      <c r="Y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L945" s="161"/>
      <c r="AN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BA945" s="161"/>
      <c r="BC945" s="161"/>
    </row>
    <row r="946">
      <c r="B946" s="161"/>
      <c r="C946" s="161"/>
      <c r="D946" s="161"/>
      <c r="F946" s="161"/>
      <c r="G946" s="161"/>
      <c r="H946" s="161"/>
      <c r="I946" s="161"/>
      <c r="J946" s="161"/>
      <c r="M946" s="161"/>
      <c r="N946" s="161"/>
      <c r="R946" s="161"/>
      <c r="S946" s="161"/>
      <c r="W946" s="161"/>
      <c r="X946" s="161"/>
      <c r="Y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L946" s="161"/>
      <c r="AN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BA946" s="161"/>
      <c r="BC946" s="161"/>
    </row>
    <row r="947">
      <c r="B947" s="161"/>
      <c r="C947" s="161"/>
      <c r="D947" s="161"/>
      <c r="F947" s="161"/>
      <c r="G947" s="161"/>
      <c r="H947" s="161"/>
      <c r="I947" s="161"/>
      <c r="J947" s="161"/>
      <c r="M947" s="161"/>
      <c r="N947" s="161"/>
      <c r="R947" s="161"/>
      <c r="S947" s="161"/>
      <c r="W947" s="161"/>
      <c r="X947" s="161"/>
      <c r="Y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L947" s="161"/>
      <c r="AN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BA947" s="161"/>
      <c r="BC947" s="161"/>
    </row>
    <row r="948">
      <c r="B948" s="161"/>
      <c r="C948" s="161"/>
      <c r="D948" s="161"/>
      <c r="F948" s="161"/>
      <c r="G948" s="161"/>
      <c r="H948" s="161"/>
      <c r="I948" s="161"/>
      <c r="J948" s="161"/>
      <c r="M948" s="161"/>
      <c r="N948" s="161"/>
      <c r="R948" s="161"/>
      <c r="S948" s="161"/>
      <c r="W948" s="161"/>
      <c r="X948" s="161"/>
      <c r="Y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L948" s="161"/>
      <c r="AN948" s="161"/>
      <c r="AP948" s="161"/>
      <c r="AQ948" s="161"/>
      <c r="AR948" s="161"/>
      <c r="AS948" s="161"/>
      <c r="AT948" s="161"/>
      <c r="AU948" s="161"/>
      <c r="AV948" s="161"/>
      <c r="AW948" s="161"/>
      <c r="AX948" s="161"/>
      <c r="BA948" s="161"/>
      <c r="BC948" s="161"/>
    </row>
    <row r="949">
      <c r="B949" s="161"/>
      <c r="C949" s="161"/>
      <c r="D949" s="161"/>
      <c r="F949" s="161"/>
      <c r="G949" s="161"/>
      <c r="H949" s="161"/>
      <c r="I949" s="161"/>
      <c r="J949" s="161"/>
      <c r="M949" s="161"/>
      <c r="N949" s="161"/>
      <c r="R949" s="161"/>
      <c r="S949" s="161"/>
      <c r="W949" s="161"/>
      <c r="X949" s="161"/>
      <c r="Y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L949" s="161"/>
      <c r="AN949" s="161"/>
      <c r="AP949" s="161"/>
      <c r="AQ949" s="161"/>
      <c r="AR949" s="161"/>
      <c r="AS949" s="161"/>
      <c r="AT949" s="161"/>
      <c r="AU949" s="161"/>
      <c r="AV949" s="161"/>
      <c r="AW949" s="161"/>
      <c r="AX949" s="161"/>
      <c r="BA949" s="161"/>
      <c r="BC949" s="161"/>
    </row>
    <row r="950">
      <c r="B950" s="161"/>
      <c r="C950" s="161"/>
      <c r="D950" s="161"/>
      <c r="F950" s="161"/>
      <c r="G950" s="161"/>
      <c r="H950" s="161"/>
      <c r="I950" s="161"/>
      <c r="J950" s="161"/>
      <c r="M950" s="161"/>
      <c r="N950" s="161"/>
      <c r="R950" s="161"/>
      <c r="S950" s="161"/>
      <c r="W950" s="161"/>
      <c r="X950" s="161"/>
      <c r="Y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L950" s="161"/>
      <c r="AN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BA950" s="161"/>
      <c r="BC950" s="161"/>
    </row>
    <row r="951">
      <c r="B951" s="161"/>
      <c r="C951" s="161"/>
      <c r="D951" s="161"/>
      <c r="F951" s="161"/>
      <c r="G951" s="161"/>
      <c r="H951" s="161"/>
      <c r="I951" s="161"/>
      <c r="J951" s="161"/>
      <c r="M951" s="161"/>
      <c r="N951" s="161"/>
      <c r="R951" s="161"/>
      <c r="S951" s="161"/>
      <c r="W951" s="161"/>
      <c r="X951" s="161"/>
      <c r="Y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L951" s="161"/>
      <c r="AN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BA951" s="161"/>
      <c r="BC951" s="161"/>
    </row>
    <row r="952">
      <c r="B952" s="161"/>
      <c r="C952" s="161"/>
      <c r="D952" s="161"/>
      <c r="F952" s="161"/>
      <c r="G952" s="161"/>
      <c r="H952" s="161"/>
      <c r="I952" s="161"/>
      <c r="J952" s="161"/>
      <c r="M952" s="161"/>
      <c r="N952" s="161"/>
      <c r="R952" s="161"/>
      <c r="S952" s="161"/>
      <c r="W952" s="161"/>
      <c r="X952" s="161"/>
      <c r="Y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L952" s="161"/>
      <c r="AN952" s="161"/>
      <c r="AP952" s="161"/>
      <c r="AQ952" s="161"/>
      <c r="AR952" s="161"/>
      <c r="AS952" s="161"/>
      <c r="AT952" s="161"/>
      <c r="AU952" s="161"/>
      <c r="AV952" s="161"/>
      <c r="AW952" s="161"/>
      <c r="AX952" s="161"/>
      <c r="BA952" s="161"/>
      <c r="BC952" s="161"/>
    </row>
    <row r="953">
      <c r="B953" s="161"/>
      <c r="C953" s="161"/>
      <c r="D953" s="161"/>
      <c r="F953" s="161"/>
      <c r="G953" s="161"/>
      <c r="H953" s="161"/>
      <c r="I953" s="161"/>
      <c r="J953" s="161"/>
      <c r="M953" s="161"/>
      <c r="N953" s="161"/>
      <c r="R953" s="161"/>
      <c r="S953" s="161"/>
      <c r="W953" s="161"/>
      <c r="X953" s="161"/>
      <c r="Y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L953" s="161"/>
      <c r="AN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BA953" s="161"/>
      <c r="BC953" s="161"/>
    </row>
    <row r="954">
      <c r="B954" s="161"/>
      <c r="C954" s="161"/>
      <c r="D954" s="161"/>
      <c r="F954" s="161"/>
      <c r="G954" s="161"/>
      <c r="H954" s="161"/>
      <c r="I954" s="161"/>
      <c r="J954" s="161"/>
      <c r="M954" s="161"/>
      <c r="N954" s="161"/>
      <c r="R954" s="161"/>
      <c r="S954" s="161"/>
      <c r="W954" s="161"/>
      <c r="X954" s="161"/>
      <c r="Y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L954" s="161"/>
      <c r="AN954" s="161"/>
      <c r="AP954" s="161"/>
      <c r="AQ954" s="161"/>
      <c r="AR954" s="161"/>
      <c r="AS954" s="161"/>
      <c r="AT954" s="161"/>
      <c r="AU954" s="161"/>
      <c r="AV954" s="161"/>
      <c r="AW954" s="161"/>
      <c r="AX954" s="161"/>
      <c r="BA954" s="161"/>
      <c r="BC954" s="161"/>
    </row>
    <row r="955">
      <c r="B955" s="161"/>
      <c r="C955" s="161"/>
      <c r="D955" s="161"/>
      <c r="F955" s="161"/>
      <c r="G955" s="161"/>
      <c r="H955" s="161"/>
      <c r="I955" s="161"/>
      <c r="J955" s="161"/>
      <c r="M955" s="161"/>
      <c r="N955" s="161"/>
      <c r="R955" s="161"/>
      <c r="S955" s="161"/>
      <c r="W955" s="161"/>
      <c r="X955" s="161"/>
      <c r="Y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L955" s="161"/>
      <c r="AN955" s="161"/>
      <c r="AP955" s="161"/>
      <c r="AQ955" s="161"/>
      <c r="AR955" s="161"/>
      <c r="AS955" s="161"/>
      <c r="AT955" s="161"/>
      <c r="AU955" s="161"/>
      <c r="AV955" s="161"/>
      <c r="AW955" s="161"/>
      <c r="AX955" s="161"/>
      <c r="BA955" s="161"/>
      <c r="BC955" s="161"/>
    </row>
    <row r="956">
      <c r="B956" s="161"/>
      <c r="C956" s="161"/>
      <c r="D956" s="161"/>
      <c r="F956" s="161"/>
      <c r="G956" s="161"/>
      <c r="H956" s="161"/>
      <c r="I956" s="161"/>
      <c r="J956" s="161"/>
      <c r="M956" s="161"/>
      <c r="N956" s="161"/>
      <c r="R956" s="161"/>
      <c r="S956" s="161"/>
      <c r="W956" s="161"/>
      <c r="X956" s="161"/>
      <c r="Y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L956" s="161"/>
      <c r="AN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BA956" s="161"/>
      <c r="BC956" s="161"/>
    </row>
    <row r="957">
      <c r="B957" s="161"/>
      <c r="C957" s="161"/>
      <c r="D957" s="161"/>
      <c r="F957" s="161"/>
      <c r="G957" s="161"/>
      <c r="H957" s="161"/>
      <c r="I957" s="161"/>
      <c r="J957" s="161"/>
      <c r="M957" s="161"/>
      <c r="N957" s="161"/>
      <c r="R957" s="161"/>
      <c r="S957" s="161"/>
      <c r="W957" s="161"/>
      <c r="X957" s="161"/>
      <c r="Y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L957" s="161"/>
      <c r="AN957" s="161"/>
      <c r="AP957" s="161"/>
      <c r="AQ957" s="161"/>
      <c r="AR957" s="161"/>
      <c r="AS957" s="161"/>
      <c r="AT957" s="161"/>
      <c r="AU957" s="161"/>
      <c r="AV957" s="161"/>
      <c r="AW957" s="161"/>
      <c r="AX957" s="161"/>
      <c r="BA957" s="161"/>
      <c r="BC957" s="161"/>
    </row>
    <row r="958">
      <c r="B958" s="161"/>
      <c r="C958" s="161"/>
      <c r="D958" s="161"/>
      <c r="F958" s="161"/>
      <c r="G958" s="161"/>
      <c r="H958" s="161"/>
      <c r="I958" s="161"/>
      <c r="J958" s="161"/>
      <c r="M958" s="161"/>
      <c r="N958" s="161"/>
      <c r="R958" s="161"/>
      <c r="S958" s="161"/>
      <c r="W958" s="161"/>
      <c r="X958" s="161"/>
      <c r="Y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L958" s="161"/>
      <c r="AN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BA958" s="161"/>
      <c r="BC958" s="161"/>
    </row>
    <row r="959">
      <c r="B959" s="161"/>
      <c r="C959" s="161"/>
      <c r="D959" s="161"/>
      <c r="F959" s="161"/>
      <c r="G959" s="161"/>
      <c r="H959" s="161"/>
      <c r="I959" s="161"/>
      <c r="J959" s="161"/>
      <c r="M959" s="161"/>
      <c r="N959" s="161"/>
      <c r="R959" s="161"/>
      <c r="S959" s="161"/>
      <c r="W959" s="161"/>
      <c r="X959" s="161"/>
      <c r="Y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L959" s="161"/>
      <c r="AN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BA959" s="161"/>
      <c r="BC959" s="161"/>
    </row>
    <row r="960">
      <c r="B960" s="161"/>
      <c r="C960" s="161"/>
      <c r="D960" s="161"/>
      <c r="F960" s="161"/>
      <c r="G960" s="161"/>
      <c r="H960" s="161"/>
      <c r="I960" s="161"/>
      <c r="J960" s="161"/>
      <c r="M960" s="161"/>
      <c r="N960" s="161"/>
      <c r="R960" s="161"/>
      <c r="S960" s="161"/>
      <c r="W960" s="161"/>
      <c r="X960" s="161"/>
      <c r="Y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L960" s="161"/>
      <c r="AN960" s="161"/>
      <c r="AP960" s="161"/>
      <c r="AQ960" s="161"/>
      <c r="AR960" s="161"/>
      <c r="AS960" s="161"/>
      <c r="AT960" s="161"/>
      <c r="AU960" s="161"/>
      <c r="AV960" s="161"/>
      <c r="AW960" s="161"/>
      <c r="AX960" s="161"/>
      <c r="BA960" s="161"/>
      <c r="BC960" s="161"/>
    </row>
    <row r="961">
      <c r="B961" s="161"/>
      <c r="C961" s="161"/>
      <c r="D961" s="161"/>
      <c r="F961" s="161"/>
      <c r="G961" s="161"/>
      <c r="H961" s="161"/>
      <c r="I961" s="161"/>
      <c r="J961" s="161"/>
      <c r="M961" s="161"/>
      <c r="N961" s="161"/>
      <c r="R961" s="161"/>
      <c r="S961" s="161"/>
      <c r="W961" s="161"/>
      <c r="X961" s="161"/>
      <c r="Y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L961" s="161"/>
      <c r="AN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BA961" s="161"/>
      <c r="BC961" s="161"/>
    </row>
    <row r="962">
      <c r="B962" s="161"/>
      <c r="C962" s="161"/>
      <c r="D962" s="161"/>
      <c r="F962" s="161"/>
      <c r="G962" s="161"/>
      <c r="H962" s="161"/>
      <c r="I962" s="161"/>
      <c r="J962" s="161"/>
      <c r="M962" s="161"/>
      <c r="N962" s="161"/>
      <c r="R962" s="161"/>
      <c r="S962" s="161"/>
      <c r="W962" s="161"/>
      <c r="X962" s="161"/>
      <c r="Y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L962" s="161"/>
      <c r="AN962" s="161"/>
      <c r="AP962" s="161"/>
      <c r="AQ962" s="161"/>
      <c r="AR962" s="161"/>
      <c r="AS962" s="161"/>
      <c r="AT962" s="161"/>
      <c r="AU962" s="161"/>
      <c r="AV962" s="161"/>
      <c r="AW962" s="161"/>
      <c r="AX962" s="161"/>
      <c r="BA962" s="161"/>
      <c r="BC962" s="161"/>
    </row>
    <row r="963">
      <c r="B963" s="161"/>
      <c r="C963" s="161"/>
      <c r="D963" s="161"/>
      <c r="F963" s="161"/>
      <c r="G963" s="161"/>
      <c r="H963" s="161"/>
      <c r="I963" s="161"/>
      <c r="J963" s="161"/>
      <c r="M963" s="161"/>
      <c r="N963" s="161"/>
      <c r="R963" s="161"/>
      <c r="S963" s="161"/>
      <c r="W963" s="161"/>
      <c r="X963" s="161"/>
      <c r="Y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L963" s="161"/>
      <c r="AN963" s="161"/>
      <c r="AP963" s="161"/>
      <c r="AQ963" s="161"/>
      <c r="AR963" s="161"/>
      <c r="AS963" s="161"/>
      <c r="AT963" s="161"/>
      <c r="AU963" s="161"/>
      <c r="AV963" s="161"/>
      <c r="AW963" s="161"/>
      <c r="AX963" s="161"/>
      <c r="BA963" s="161"/>
      <c r="BC963" s="161"/>
    </row>
    <row r="964">
      <c r="B964" s="161"/>
      <c r="C964" s="161"/>
      <c r="D964" s="161"/>
      <c r="F964" s="161"/>
      <c r="G964" s="161"/>
      <c r="H964" s="161"/>
      <c r="I964" s="161"/>
      <c r="J964" s="161"/>
      <c r="M964" s="161"/>
      <c r="N964" s="161"/>
      <c r="R964" s="161"/>
      <c r="S964" s="161"/>
      <c r="W964" s="161"/>
      <c r="X964" s="161"/>
      <c r="Y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L964" s="161"/>
      <c r="AN964" s="161"/>
      <c r="AP964" s="161"/>
      <c r="AQ964" s="161"/>
      <c r="AR964" s="161"/>
      <c r="AS964" s="161"/>
      <c r="AT964" s="161"/>
      <c r="AU964" s="161"/>
      <c r="AV964" s="161"/>
      <c r="AW964" s="161"/>
      <c r="AX964" s="161"/>
      <c r="BA964" s="161"/>
      <c r="BC964" s="161"/>
    </row>
    <row r="965">
      <c r="B965" s="161"/>
      <c r="C965" s="161"/>
      <c r="D965" s="161"/>
      <c r="F965" s="161"/>
      <c r="G965" s="161"/>
      <c r="H965" s="161"/>
      <c r="I965" s="161"/>
      <c r="J965" s="161"/>
      <c r="M965" s="161"/>
      <c r="N965" s="161"/>
      <c r="R965" s="161"/>
      <c r="S965" s="161"/>
      <c r="W965" s="161"/>
      <c r="X965" s="161"/>
      <c r="Y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L965" s="161"/>
      <c r="AN965" s="161"/>
      <c r="AP965" s="161"/>
      <c r="AQ965" s="161"/>
      <c r="AR965" s="161"/>
      <c r="AS965" s="161"/>
      <c r="AT965" s="161"/>
      <c r="AU965" s="161"/>
      <c r="AV965" s="161"/>
      <c r="AW965" s="161"/>
      <c r="AX965" s="161"/>
      <c r="BA965" s="161"/>
      <c r="BC965" s="161"/>
    </row>
    <row r="966">
      <c r="B966" s="161"/>
      <c r="C966" s="161"/>
      <c r="D966" s="161"/>
      <c r="F966" s="161"/>
      <c r="G966" s="161"/>
      <c r="H966" s="161"/>
      <c r="I966" s="161"/>
      <c r="J966" s="161"/>
      <c r="M966" s="161"/>
      <c r="N966" s="161"/>
      <c r="R966" s="161"/>
      <c r="S966" s="161"/>
      <c r="W966" s="161"/>
      <c r="X966" s="161"/>
      <c r="Y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L966" s="161"/>
      <c r="AN966" s="161"/>
      <c r="AP966" s="161"/>
      <c r="AQ966" s="161"/>
      <c r="AR966" s="161"/>
      <c r="AS966" s="161"/>
      <c r="AT966" s="161"/>
      <c r="AU966" s="161"/>
      <c r="AV966" s="161"/>
      <c r="AW966" s="161"/>
      <c r="AX966" s="161"/>
      <c r="BA966" s="161"/>
      <c r="BC966" s="161"/>
    </row>
    <row r="967">
      <c r="B967" s="161"/>
      <c r="C967" s="161"/>
      <c r="D967" s="161"/>
      <c r="F967" s="161"/>
      <c r="G967" s="161"/>
      <c r="H967" s="161"/>
      <c r="I967" s="161"/>
      <c r="J967" s="161"/>
      <c r="M967" s="161"/>
      <c r="N967" s="161"/>
      <c r="R967" s="161"/>
      <c r="S967" s="161"/>
      <c r="W967" s="161"/>
      <c r="X967" s="161"/>
      <c r="Y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L967" s="161"/>
      <c r="AN967" s="161"/>
      <c r="AP967" s="161"/>
      <c r="AQ967" s="161"/>
      <c r="AR967" s="161"/>
      <c r="AS967" s="161"/>
      <c r="AT967" s="161"/>
      <c r="AU967" s="161"/>
      <c r="AV967" s="161"/>
      <c r="AW967" s="161"/>
      <c r="AX967" s="161"/>
      <c r="BA967" s="161"/>
      <c r="BC967" s="161"/>
    </row>
    <row r="968">
      <c r="B968" s="161"/>
      <c r="C968" s="161"/>
      <c r="D968" s="161"/>
      <c r="F968" s="161"/>
      <c r="G968" s="161"/>
      <c r="H968" s="161"/>
      <c r="I968" s="161"/>
      <c r="J968" s="161"/>
      <c r="M968" s="161"/>
      <c r="N968" s="161"/>
      <c r="R968" s="161"/>
      <c r="S968" s="161"/>
      <c r="W968" s="161"/>
      <c r="X968" s="161"/>
      <c r="Y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L968" s="161"/>
      <c r="AN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BA968" s="161"/>
      <c r="BC968" s="161"/>
    </row>
    <row r="969">
      <c r="B969" s="161"/>
      <c r="C969" s="161"/>
      <c r="D969" s="161"/>
      <c r="F969" s="161"/>
      <c r="G969" s="161"/>
      <c r="H969" s="161"/>
      <c r="I969" s="161"/>
      <c r="J969" s="161"/>
      <c r="M969" s="161"/>
      <c r="N969" s="161"/>
      <c r="R969" s="161"/>
      <c r="S969" s="161"/>
      <c r="W969" s="161"/>
      <c r="X969" s="161"/>
      <c r="Y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L969" s="161"/>
      <c r="AN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BA969" s="161"/>
      <c r="BC969" s="161"/>
    </row>
    <row r="970">
      <c r="B970" s="161"/>
      <c r="C970" s="161"/>
      <c r="D970" s="161"/>
      <c r="F970" s="161"/>
      <c r="G970" s="161"/>
      <c r="H970" s="161"/>
      <c r="I970" s="161"/>
      <c r="J970" s="161"/>
      <c r="M970" s="161"/>
      <c r="N970" s="161"/>
      <c r="R970" s="161"/>
      <c r="S970" s="161"/>
      <c r="W970" s="161"/>
      <c r="X970" s="161"/>
      <c r="Y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L970" s="161"/>
      <c r="AN970" s="161"/>
      <c r="AP970" s="161"/>
      <c r="AQ970" s="161"/>
      <c r="AR970" s="161"/>
      <c r="AS970" s="161"/>
      <c r="AT970" s="161"/>
      <c r="AU970" s="161"/>
      <c r="AV970" s="161"/>
      <c r="AW970" s="161"/>
      <c r="AX970" s="161"/>
      <c r="BA970" s="161"/>
      <c r="BC970" s="161"/>
    </row>
    <row r="971">
      <c r="B971" s="161"/>
      <c r="C971" s="161"/>
      <c r="D971" s="161"/>
      <c r="F971" s="161"/>
      <c r="G971" s="161"/>
      <c r="H971" s="161"/>
      <c r="I971" s="161"/>
      <c r="J971" s="161"/>
      <c r="M971" s="161"/>
      <c r="N971" s="161"/>
      <c r="R971" s="161"/>
      <c r="S971" s="161"/>
      <c r="W971" s="161"/>
      <c r="X971" s="161"/>
      <c r="Y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L971" s="161"/>
      <c r="AN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BA971" s="161"/>
      <c r="BC971" s="161"/>
    </row>
    <row r="972">
      <c r="B972" s="161"/>
      <c r="C972" s="161"/>
      <c r="D972" s="161"/>
      <c r="F972" s="161"/>
      <c r="G972" s="161"/>
      <c r="H972" s="161"/>
      <c r="I972" s="161"/>
      <c r="J972" s="161"/>
      <c r="M972" s="161"/>
      <c r="N972" s="161"/>
      <c r="R972" s="161"/>
      <c r="S972" s="161"/>
      <c r="W972" s="161"/>
      <c r="X972" s="161"/>
      <c r="Y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L972" s="161"/>
      <c r="AN972" s="161"/>
      <c r="AP972" s="161"/>
      <c r="AQ972" s="161"/>
      <c r="AR972" s="161"/>
      <c r="AS972" s="161"/>
      <c r="AT972" s="161"/>
      <c r="AU972" s="161"/>
      <c r="AV972" s="161"/>
      <c r="AW972" s="161"/>
      <c r="AX972" s="161"/>
      <c r="BA972" s="161"/>
      <c r="BC972" s="161"/>
    </row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</sheetData>
  <autoFilter ref="$A$1:$BC$91"/>
  <conditionalFormatting sqref="M1:M2 M31:M92 M94:M1004">
    <cfRule type="notContainsBlanks" dxfId="4" priority="1">
      <formula>LEN(TRIM(M1))&gt;0</formula>
    </cfRule>
  </conditionalFormatting>
  <conditionalFormatting sqref="M1:M2 M31:M92 M94:M1004">
    <cfRule type="notContainsBlanks" dxfId="4" priority="2">
      <formula>LEN(TRIM(M1))&gt;0</formula>
    </cfRule>
  </conditionalFormatting>
  <conditionalFormatting sqref="M1:M2 M31:M92 M94:M1004">
    <cfRule type="notContainsBlanks" dxfId="4" priority="3">
      <formula>LEN(TRIM(M1))&gt;0</formula>
    </cfRule>
  </conditionalFormatting>
  <conditionalFormatting sqref="M1:M2 M31:M92 M94:M1004">
    <cfRule type="notContainsBlanks" dxfId="4" priority="4">
      <formula>LEN(TRIM(M1))&gt;0</formula>
    </cfRule>
  </conditionalFormatting>
  <dataValidations>
    <dataValidation type="list" allowBlank="1" showErrorMessage="1" sqref="B2:B92 B94:B972">
      <formula1>"Jatimbalinus,Sumatera Bagian Utara,Jawa Bagian Tengah,Jawa Bagian Barat,Sulawesi,Sumatera Bagian Selatan,Papua &amp; Maluku,Kalimantan"</formula1>
    </dataValidation>
    <dataValidation type="list" allowBlank="1" showErrorMessage="1" sqref="W2:W92 W94:W972">
      <formula1>"Euro 4,Euro 5,Tidak Ada,Euro 2"</formula1>
    </dataValidation>
    <dataValidation type="list" allowBlank="1" showErrorMessage="1" sqref="AD2:AD92 AD94:AD972">
      <formula1>"Pertamina Patra Niaga,Pertamina Patra Logistik,Elnusa Petrofin,Vendor Transportir,Lain-Lain,SPBE"</formula1>
    </dataValidation>
    <dataValidation type="custom" allowBlank="1" showDropDown="1" sqref="BC2 AX2:AX41 M2:N92 AB2:AB92 AQ2:AV92 AX44:AX92 AB94:AB95 M94:N972 AB97:AB972 AQ94:AV972 AX94:AX972 BC26:BC972">
      <formula1>OR(NOT(ISERROR(DATEVALUE(M2))), AND(ISNUMBER(M2), LEFT(CELL("format", M2))="D"))</formula1>
    </dataValidation>
    <dataValidation type="list" allowBlank="1" showErrorMessage="1" sqref="AC2:AC92 AC94:AC972">
      <formula1>"PT.Patra Logistik,Tidak ada"</formula1>
    </dataValidation>
    <dataValidation type="list" allowBlank="1" showErrorMessage="1" sqref="H2:H92 H94:H972">
      <formula1>"Category 1 (BBM),Category 2 (BBM),Category 3 (BBM),Category 4 (BBM),Periode A (LPG),Periode B (LPG),Periode C (LPG)"</formula1>
    </dataValidation>
    <dataValidation type="list" allowBlank="1" showErrorMessage="1" sqref="F2:F92 F94:F972">
      <formula1>"Fleet BBM SPBU,Fleet BBM Pertashop,Fleet BBM APMS,Fleet BBM Industri,Fleet LPG SPBE,Fleet Aviasi DPPU,Fleet Konsinyasi BBM,Fleet LPG Industri"</formula1>
    </dataValidation>
    <dataValidation type="list" allowBlank="1" showErrorMessage="1" sqref="AW2:AW92 AW94:AW972">
      <formula1>"Include,Exclude"</formula1>
    </dataValidation>
    <dataValidation type="list" allowBlank="1" showErrorMessage="1" sqref="S3:S92 S94:S972">
      <formula1>"FAB (Full Air Brake),AOH (Air Over Hydraulic),Full Hydraulic,senenkemis"</formula1>
    </dataValidation>
    <dataValidation type="list" allowBlank="1" showErrorMessage="1" sqref="AF2:AF92 AF94:AF972">
      <formula1>"Gasoil,Gasoline,Avtur,LPG,FAME,Multi Product,Lain-Lain"</formula1>
    </dataValidation>
    <dataValidation type="list" allowBlank="1" showErrorMessage="1" sqref="R2:R92 R94:R972">
      <formula1>"Single Gardan,Double Gardan"</formula1>
    </dataValidation>
    <dataValidation type="list" allowBlank="1" showErrorMessage="1" sqref="AP2:AP90 AP94:AP972">
      <formula1>Mapping!$E$2:$E$38</formula1>
    </dataValidation>
    <dataValidation type="list" allowBlank="1" showErrorMessage="1" sqref="AG92">
      <formula1>#REF!</formula1>
    </dataValidation>
    <dataValidation type="list" allowBlank="1" showErrorMessage="1" sqref="AI2:AI92 AI94:AI972">
      <formula1>"SPBU Dombak Atas,Pertashop,SPBU Non Tangki Pendam,Tidak Ada"</formula1>
    </dataValidation>
    <dataValidation type="list" allowBlank="1" showErrorMessage="1" sqref="D2:D92 D94:D972">
      <formula1>"Approved,Reviewer"</formula1>
    </dataValidation>
    <dataValidation type="list" allowBlank="1" showErrorMessage="1" sqref="AE2:AE92 AE94:AE972">
      <formula1>"MT Reguler,MT Alih Supply,Spot Charter,MT Spotcharter,MT StrategisMT Cadangan"</formula1>
    </dataValidation>
    <dataValidation type="list" allowBlank="1" showErrorMessage="1" sqref="BA2:BA972">
      <formula1>"C1 Passanger Car Tyres,C2 Light Truck Tyres,C3 Heavy Truck Tyres,Lain-Lain"</formula1>
    </dataValidation>
    <dataValidation type="list" allowBlank="1" showErrorMessage="1" sqref="S2">
      <formula1>"FAB (Full Air Brake),AOH (Air Over Hydraulic),Full Hydraulic"</formula1>
    </dataValidation>
    <dataValidation type="list" allowBlank="1" showErrorMessage="1" sqref="X2:Y92 AJ2:AJ92 X94:Y972 AJ94:AJ972">
      <formula1>"Ya,Tidak"</formula1>
    </dataValidation>
    <dataValidation type="list" allowBlank="1" showErrorMessage="1" sqref="C91:C92">
      <formula1>#REF!</formula1>
    </dataValidation>
    <dataValidation type="list" allowBlank="1" showErrorMessage="1" sqref="J2:J92 J94:J972">
      <formula1>"Rigid,Trailer,Semi-trailer,Built-Up,Tronton,Engkel,Truck"</formula1>
    </dataValidation>
    <dataValidation type="list" allowBlank="1" showErrorMessage="1" sqref="AP91:AP92">
      <formula1>#REF!</formula1>
    </dataValidation>
    <dataValidation type="list" allowBlank="1" showErrorMessage="1" sqref="I92">
      <formula1>#REF!</formula1>
    </dataValidation>
    <dataValidation type="list" allowBlank="1" showErrorMessage="1" sqref="AG2:AG91 AG94:AG972">
      <formula1>'Mapping Kepemilikan MT'!$E$2:$E$1593</formula1>
    </dataValidation>
    <dataValidation type="list" allowBlank="1" showErrorMessage="1" sqref="I28">
      <formula1>'Mapping Kepemilikan MT'!$B$2:$B$1593</formula1>
    </dataValidation>
    <dataValidation type="list" allowBlank="1" showErrorMessage="1" sqref="AH2:AH92 AH94:AH972">
      <formula1>"PTO,POMET,Tidak Ada"</formula1>
    </dataValidation>
    <dataValidation type="list" allowBlank="1" showErrorMessage="1" sqref="G2:G92 G94:G972">
      <formula1>"All In Plus,All In Sewa Kelola,Pola Tarif,Pola Tarif Plus,Pola Tarif Sistem,pertashop,Konsinyasi,lain2,Industri,apms,hub,dppu,bantuan,Agen Minyak Tanah,All In,Aviasi"</formula1>
    </dataValidation>
    <dataValidation type="list" allowBlank="1" showErrorMessage="1" sqref="I2:I27 I29:I91 I94:I972">
      <formula1>'Mapping Kepemilikan MT'!$B$2:$B$1593</formula1>
    </dataValidation>
    <dataValidation type="list" allowBlank="1" showErrorMessage="1" sqref="C2:C90 C94:C972">
      <formula1>'Mapping Location'!$C$10:$C$237</formula1>
    </dataValidation>
    <dataValidation type="list" allowBlank="1" showErrorMessage="1" sqref="AL2:AL92 AL94:AL972">
      <formula1>"BBM,Industri,LPG,Spot Charter"</formula1>
    </dataValidation>
    <dataValidation type="list" allowBlank="1" showErrorMessage="1" sqref="AN2:AN92 AN94:AN972">
      <formula1>"Carbon Steel,Aluminium Aloy,Mild Steel"</formula1>
    </dataValidation>
  </dataValidation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0.13"/>
    <col customWidth="1" min="2" max="2" width="10.63"/>
    <col customWidth="1" min="3" max="3" width="37.75"/>
    <col customWidth="1" min="4" max="4" width="12.38"/>
    <col customWidth="1" min="5" max="5" width="14.13"/>
    <col customWidth="1" min="6" max="6" width="29.63"/>
    <col customWidth="1" min="7" max="7" width="11.88"/>
    <col customWidth="1" min="8" max="8" width="14.88"/>
    <col customWidth="1" min="9" max="9" width="19.0"/>
    <col customWidth="1" min="10" max="10" width="16.63"/>
    <col customWidth="1" min="11" max="11" width="16.88"/>
    <col customWidth="1" min="12" max="13" width="15.38"/>
    <col customWidth="1" min="14" max="14" width="14.75"/>
    <col customWidth="1" min="15" max="15" width="14.88"/>
    <col customWidth="1" min="16" max="16" width="32.38"/>
    <col customWidth="1" min="17" max="17" width="10.13"/>
    <col customWidth="1" min="18" max="18" width="15.63"/>
    <col customWidth="1" min="19" max="19" width="12.13"/>
    <col customWidth="1" min="20" max="20" width="12.88"/>
    <col customWidth="1" min="21" max="21" width="12.38"/>
    <col customWidth="1" min="22" max="22" width="15.13"/>
    <col customWidth="1" min="23" max="23" width="15.38"/>
    <col customWidth="1" min="24" max="24" width="11.75"/>
    <col customWidth="1" min="25" max="26" width="14.0"/>
  </cols>
  <sheetData>
    <row r="1" ht="12.0" customHeight="1">
      <c r="A1" s="547" t="s">
        <v>1245</v>
      </c>
      <c r="B1" s="547" t="s">
        <v>1246</v>
      </c>
      <c r="C1" s="547" t="s">
        <v>1247</v>
      </c>
      <c r="D1" s="547" t="s">
        <v>1248</v>
      </c>
      <c r="E1" s="547" t="s">
        <v>1249</v>
      </c>
      <c r="F1" s="547" t="s">
        <v>1250</v>
      </c>
      <c r="G1" s="547" t="s">
        <v>1251</v>
      </c>
      <c r="H1" s="547" t="s">
        <v>1252</v>
      </c>
      <c r="I1" s="547" t="s">
        <v>1253</v>
      </c>
      <c r="J1" s="547" t="s">
        <v>1254</v>
      </c>
      <c r="K1" s="547" t="s">
        <v>1255</v>
      </c>
      <c r="L1" s="547" t="s">
        <v>1256</v>
      </c>
      <c r="M1" s="547" t="s">
        <v>1257</v>
      </c>
      <c r="N1" s="548" t="s">
        <v>1258</v>
      </c>
      <c r="O1" s="547" t="s">
        <v>1259</v>
      </c>
      <c r="P1" s="547" t="s">
        <v>1260</v>
      </c>
      <c r="Q1" s="549" t="s">
        <v>1261</v>
      </c>
      <c r="R1" s="547" t="s">
        <v>1262</v>
      </c>
      <c r="S1" s="547" t="s">
        <v>1263</v>
      </c>
      <c r="T1" s="547" t="s">
        <v>1264</v>
      </c>
      <c r="U1" s="549" t="s">
        <v>1265</v>
      </c>
      <c r="V1" s="550" t="s">
        <v>1266</v>
      </c>
      <c r="W1" s="549" t="s">
        <v>1267</v>
      </c>
      <c r="X1" s="551" t="s">
        <v>1268</v>
      </c>
      <c r="Y1" s="552"/>
      <c r="Z1" s="552"/>
    </row>
    <row r="2" ht="12.0" customHeight="1">
      <c r="A2" s="553" t="s">
        <v>962</v>
      </c>
      <c r="B2" s="553" t="s">
        <v>6</v>
      </c>
      <c r="C2" s="554" t="s">
        <v>1269</v>
      </c>
      <c r="D2" s="554">
        <v>24.0</v>
      </c>
      <c r="E2" s="554">
        <v>3.0</v>
      </c>
      <c r="F2" s="554" t="s">
        <v>8</v>
      </c>
      <c r="G2" s="554">
        <v>2016.0</v>
      </c>
      <c r="H2" s="555" t="s">
        <v>164</v>
      </c>
      <c r="I2" s="555" t="s">
        <v>165</v>
      </c>
      <c r="J2" s="556">
        <v>46383.0</v>
      </c>
      <c r="K2" s="556">
        <v>46446.0</v>
      </c>
      <c r="L2" s="556">
        <v>46961.0</v>
      </c>
      <c r="M2" s="556"/>
      <c r="N2" s="557"/>
      <c r="O2" s="558"/>
      <c r="P2" s="559"/>
      <c r="Q2" s="560" t="s">
        <v>1270</v>
      </c>
      <c r="R2" s="555"/>
      <c r="S2" s="560"/>
      <c r="T2" s="553" t="s">
        <v>1271</v>
      </c>
      <c r="U2" s="553" t="s">
        <v>1272</v>
      </c>
      <c r="V2" s="561" t="s">
        <v>1272</v>
      </c>
      <c r="W2" s="553" t="s">
        <v>1273</v>
      </c>
      <c r="X2" s="560">
        <v>10.0</v>
      </c>
      <c r="Y2" s="562"/>
      <c r="Z2" s="562"/>
    </row>
    <row r="3" ht="12.0" customHeight="1">
      <c r="A3" s="553" t="s">
        <v>962</v>
      </c>
      <c r="B3" s="553" t="s">
        <v>12</v>
      </c>
      <c r="C3" s="554" t="s">
        <v>1269</v>
      </c>
      <c r="D3" s="554">
        <v>24.0</v>
      </c>
      <c r="E3" s="554">
        <v>3.0</v>
      </c>
      <c r="F3" s="554" t="s">
        <v>8</v>
      </c>
      <c r="G3" s="554">
        <v>2016.0</v>
      </c>
      <c r="H3" s="555" t="s">
        <v>174</v>
      </c>
      <c r="I3" s="555" t="s">
        <v>175</v>
      </c>
      <c r="J3" s="556">
        <v>46383.0</v>
      </c>
      <c r="K3" s="556">
        <v>46446.0</v>
      </c>
      <c r="L3" s="556">
        <v>46977.0</v>
      </c>
      <c r="M3" s="556"/>
      <c r="N3" s="557"/>
      <c r="O3" s="558"/>
      <c r="P3" s="559"/>
      <c r="Q3" s="560" t="s">
        <v>1270</v>
      </c>
      <c r="R3" s="555"/>
      <c r="S3" s="560"/>
      <c r="T3" s="553" t="s">
        <v>1271</v>
      </c>
      <c r="U3" s="553" t="s">
        <v>1272</v>
      </c>
      <c r="V3" s="563" t="s">
        <v>1272</v>
      </c>
      <c r="W3" s="553" t="s">
        <v>1273</v>
      </c>
      <c r="X3" s="560">
        <v>10.0</v>
      </c>
      <c r="Y3" s="562"/>
      <c r="Z3" s="562"/>
    </row>
    <row r="4" ht="12.0" customHeight="1">
      <c r="A4" s="553" t="s">
        <v>962</v>
      </c>
      <c r="B4" s="553" t="s">
        <v>14</v>
      </c>
      <c r="C4" s="554" t="s">
        <v>1269</v>
      </c>
      <c r="D4" s="554">
        <v>24.0</v>
      </c>
      <c r="E4" s="554">
        <v>3.0</v>
      </c>
      <c r="F4" s="554" t="s">
        <v>8</v>
      </c>
      <c r="G4" s="554">
        <v>2016.0</v>
      </c>
      <c r="H4" s="555" t="s">
        <v>186</v>
      </c>
      <c r="I4" s="555" t="s">
        <v>187</v>
      </c>
      <c r="J4" s="556">
        <v>46417.0</v>
      </c>
      <c r="K4" s="556">
        <v>46446.0</v>
      </c>
      <c r="L4" s="556">
        <v>46409.0</v>
      </c>
      <c r="M4" s="556"/>
      <c r="N4" s="557"/>
      <c r="O4" s="558"/>
      <c r="P4" s="559"/>
      <c r="Q4" s="560" t="s">
        <v>1270</v>
      </c>
      <c r="R4" s="555"/>
      <c r="S4" s="560"/>
      <c r="T4" s="553" t="s">
        <v>1271</v>
      </c>
      <c r="U4" s="553" t="s">
        <v>1272</v>
      </c>
      <c r="V4" s="563" t="s">
        <v>1272</v>
      </c>
      <c r="W4" s="553" t="s">
        <v>1273</v>
      </c>
      <c r="X4" s="560">
        <v>10.0</v>
      </c>
      <c r="Y4" s="562"/>
      <c r="Z4" s="562"/>
    </row>
    <row r="5" ht="12.0" customHeight="1">
      <c r="A5" s="553" t="s">
        <v>962</v>
      </c>
      <c r="B5" s="553" t="s">
        <v>17</v>
      </c>
      <c r="C5" s="554" t="s">
        <v>1269</v>
      </c>
      <c r="D5" s="554">
        <v>24.0</v>
      </c>
      <c r="E5" s="554">
        <v>3.0</v>
      </c>
      <c r="F5" s="554" t="s">
        <v>8</v>
      </c>
      <c r="G5" s="554">
        <v>2018.0</v>
      </c>
      <c r="H5" s="555" t="s">
        <v>200</v>
      </c>
      <c r="I5" s="555" t="s">
        <v>201</v>
      </c>
      <c r="J5" s="556">
        <v>46903.0</v>
      </c>
      <c r="K5" s="556">
        <v>46416.0</v>
      </c>
      <c r="L5" s="556">
        <v>46506.0</v>
      </c>
      <c r="M5" s="556"/>
      <c r="N5" s="553"/>
      <c r="O5" s="560"/>
      <c r="P5" s="559"/>
      <c r="Q5" s="560" t="s">
        <v>1270</v>
      </c>
      <c r="R5" s="555"/>
      <c r="S5" s="560"/>
      <c r="T5" s="553" t="s">
        <v>1271</v>
      </c>
      <c r="U5" s="553" t="s">
        <v>1278</v>
      </c>
      <c r="V5" s="564" t="s">
        <v>1278</v>
      </c>
      <c r="W5" s="553" t="s">
        <v>1273</v>
      </c>
      <c r="X5" s="560">
        <v>8.0</v>
      </c>
      <c r="Y5" s="562"/>
      <c r="Z5" s="562"/>
    </row>
    <row r="6" ht="12.0" customHeight="1">
      <c r="A6" s="553" t="s">
        <v>962</v>
      </c>
      <c r="B6" s="553" t="s">
        <v>20</v>
      </c>
      <c r="C6" s="554" t="s">
        <v>1269</v>
      </c>
      <c r="D6" s="554">
        <v>24.0</v>
      </c>
      <c r="E6" s="554">
        <v>3.0</v>
      </c>
      <c r="F6" s="554" t="s">
        <v>8</v>
      </c>
      <c r="G6" s="554">
        <v>2018.0</v>
      </c>
      <c r="H6" s="555" t="s">
        <v>210</v>
      </c>
      <c r="I6" s="555" t="s">
        <v>211</v>
      </c>
      <c r="J6" s="556">
        <v>46903.0</v>
      </c>
      <c r="K6" s="556">
        <v>46437.0</v>
      </c>
      <c r="L6" s="556">
        <v>46922.0</v>
      </c>
      <c r="M6" s="556"/>
      <c r="N6" s="553"/>
      <c r="O6" s="560"/>
      <c r="P6" s="559"/>
      <c r="Q6" s="560" t="s">
        <v>1270</v>
      </c>
      <c r="R6" s="555"/>
      <c r="S6" s="560"/>
      <c r="T6" s="553" t="s">
        <v>1271</v>
      </c>
      <c r="U6" s="553" t="s">
        <v>1278</v>
      </c>
      <c r="V6" s="564" t="s">
        <v>1278</v>
      </c>
      <c r="W6" s="553" t="s">
        <v>1273</v>
      </c>
      <c r="X6" s="560">
        <v>8.0</v>
      </c>
      <c r="Y6" s="562"/>
      <c r="Z6" s="562"/>
    </row>
    <row r="7" ht="12.0" customHeight="1">
      <c r="A7" s="553" t="s">
        <v>962</v>
      </c>
      <c r="B7" s="553" t="s">
        <v>22</v>
      </c>
      <c r="C7" s="554" t="s">
        <v>1269</v>
      </c>
      <c r="D7" s="554">
        <v>24.0</v>
      </c>
      <c r="E7" s="554">
        <v>3.0</v>
      </c>
      <c r="F7" s="554" t="s">
        <v>8</v>
      </c>
      <c r="G7" s="554">
        <v>2018.0</v>
      </c>
      <c r="H7" s="555" t="s">
        <v>226</v>
      </c>
      <c r="I7" s="555" t="s">
        <v>228</v>
      </c>
      <c r="J7" s="556">
        <v>46903.0</v>
      </c>
      <c r="K7" s="556">
        <v>46436.0</v>
      </c>
      <c r="L7" s="556">
        <v>46507.0</v>
      </c>
      <c r="M7" s="556"/>
      <c r="N7" s="553"/>
      <c r="O7" s="560"/>
      <c r="P7" s="559"/>
      <c r="Q7" s="560" t="s">
        <v>1270</v>
      </c>
      <c r="R7" s="555"/>
      <c r="S7" s="560"/>
      <c r="T7" s="553" t="s">
        <v>1271</v>
      </c>
      <c r="U7" s="553" t="s">
        <v>1278</v>
      </c>
      <c r="V7" s="564" t="s">
        <v>1278</v>
      </c>
      <c r="W7" s="553" t="s">
        <v>1273</v>
      </c>
      <c r="X7" s="560">
        <v>8.0</v>
      </c>
      <c r="Y7" s="562"/>
      <c r="Z7" s="562"/>
    </row>
    <row r="8" ht="12.0" customHeight="1">
      <c r="A8" s="553" t="s">
        <v>962</v>
      </c>
      <c r="B8" s="553" t="s">
        <v>24</v>
      </c>
      <c r="C8" s="554" t="s">
        <v>1269</v>
      </c>
      <c r="D8" s="554">
        <v>16.0</v>
      </c>
      <c r="E8" s="554">
        <v>2.0</v>
      </c>
      <c r="F8" s="554" t="s">
        <v>8</v>
      </c>
      <c r="G8" s="554">
        <v>2022.0</v>
      </c>
      <c r="H8" s="555" t="s">
        <v>246</v>
      </c>
      <c r="I8" s="555" t="s">
        <v>248</v>
      </c>
      <c r="J8" s="556">
        <v>46730.0</v>
      </c>
      <c r="K8" s="556">
        <v>46303.0</v>
      </c>
      <c r="L8" s="556">
        <v>46337.0</v>
      </c>
      <c r="M8" s="556"/>
      <c r="N8" s="553"/>
      <c r="O8" s="560"/>
      <c r="P8" s="559"/>
      <c r="Q8" s="560" t="s">
        <v>1270</v>
      </c>
      <c r="R8" s="555"/>
      <c r="S8" s="560"/>
      <c r="T8" s="553" t="s">
        <v>1271</v>
      </c>
      <c r="U8" s="553" t="s">
        <v>1279</v>
      </c>
      <c r="V8" s="564" t="s">
        <v>1279</v>
      </c>
      <c r="W8" s="553" t="s">
        <v>1273</v>
      </c>
      <c r="X8" s="560">
        <v>4.0</v>
      </c>
      <c r="Y8" s="562"/>
      <c r="Z8" s="562"/>
    </row>
    <row r="9" ht="12.0" customHeight="1">
      <c r="A9" s="553" t="s">
        <v>962</v>
      </c>
      <c r="B9" s="553" t="s">
        <v>26</v>
      </c>
      <c r="C9" s="554" t="s">
        <v>1269</v>
      </c>
      <c r="D9" s="554">
        <v>16.0</v>
      </c>
      <c r="E9" s="554">
        <v>2.0</v>
      </c>
      <c r="F9" s="554" t="s">
        <v>8</v>
      </c>
      <c r="G9" s="554">
        <v>2023.0</v>
      </c>
      <c r="H9" s="554" t="s">
        <v>271</v>
      </c>
      <c r="I9" s="554" t="s">
        <v>273</v>
      </c>
      <c r="J9" s="556">
        <v>47025.0</v>
      </c>
      <c r="K9" s="556">
        <v>46446.0</v>
      </c>
      <c r="L9" s="556">
        <v>46688.0</v>
      </c>
      <c r="M9" s="556"/>
      <c r="N9" s="553"/>
      <c r="O9" s="560"/>
      <c r="P9" s="559"/>
      <c r="Q9" s="560" t="s">
        <v>1270</v>
      </c>
      <c r="R9" s="555"/>
      <c r="S9" s="560"/>
      <c r="T9" s="553" t="s">
        <v>1271</v>
      </c>
      <c r="U9" s="553" t="s">
        <v>1279</v>
      </c>
      <c r="V9" s="564" t="s">
        <v>1279</v>
      </c>
      <c r="W9" s="553" t="s">
        <v>1273</v>
      </c>
      <c r="X9" s="560">
        <v>3.0</v>
      </c>
      <c r="Y9" s="562"/>
      <c r="Z9" s="562"/>
    </row>
    <row r="10" ht="12.0" customHeight="1">
      <c r="A10" s="553" t="s">
        <v>962</v>
      </c>
      <c r="B10" s="553" t="s">
        <v>28</v>
      </c>
      <c r="C10" s="554" t="s">
        <v>1269</v>
      </c>
      <c r="D10" s="554">
        <v>16.0</v>
      </c>
      <c r="E10" s="554">
        <v>2.0</v>
      </c>
      <c r="F10" s="554" t="s">
        <v>8</v>
      </c>
      <c r="G10" s="554">
        <v>2023.0</v>
      </c>
      <c r="H10" s="554" t="s">
        <v>291</v>
      </c>
      <c r="I10" s="554" t="s">
        <v>292</v>
      </c>
      <c r="J10" s="556">
        <v>47025.0</v>
      </c>
      <c r="K10" s="556">
        <v>46447.0</v>
      </c>
      <c r="L10" s="556">
        <v>46684.0</v>
      </c>
      <c r="M10" s="556"/>
      <c r="N10" s="553"/>
      <c r="O10" s="560"/>
      <c r="P10" s="559"/>
      <c r="Q10" s="560" t="s">
        <v>1270</v>
      </c>
      <c r="R10" s="555"/>
      <c r="S10" s="560"/>
      <c r="T10" s="553" t="s">
        <v>1271</v>
      </c>
      <c r="U10" s="553" t="s">
        <v>1279</v>
      </c>
      <c r="V10" s="564" t="s">
        <v>1279</v>
      </c>
      <c r="W10" s="553" t="s">
        <v>1273</v>
      </c>
      <c r="X10" s="560">
        <v>3.0</v>
      </c>
      <c r="Y10" s="562"/>
      <c r="Z10" s="562"/>
    </row>
    <row r="11" ht="12.0" customHeight="1">
      <c r="A11" s="553" t="s">
        <v>962</v>
      </c>
      <c r="B11" s="553" t="s">
        <v>31</v>
      </c>
      <c r="C11" s="554" t="s">
        <v>1269</v>
      </c>
      <c r="D11" s="554">
        <v>24.0</v>
      </c>
      <c r="E11" s="554">
        <v>3.0</v>
      </c>
      <c r="F11" s="554" t="s">
        <v>8</v>
      </c>
      <c r="G11" s="554">
        <v>2022.0</v>
      </c>
      <c r="H11" s="554" t="s">
        <v>310</v>
      </c>
      <c r="I11" s="554" t="s">
        <v>311</v>
      </c>
      <c r="J11" s="556">
        <v>46713.0</v>
      </c>
      <c r="K11" s="556">
        <v>46303.0</v>
      </c>
      <c r="L11" s="556">
        <v>46548.0</v>
      </c>
      <c r="M11" s="556"/>
      <c r="N11" s="553"/>
      <c r="O11" s="560"/>
      <c r="P11" s="559"/>
      <c r="Q11" s="560" t="s">
        <v>1270</v>
      </c>
      <c r="R11" s="555"/>
      <c r="S11" s="560"/>
      <c r="T11" s="553" t="s">
        <v>1271</v>
      </c>
      <c r="U11" s="553" t="s">
        <v>1279</v>
      </c>
      <c r="V11" s="564" t="s">
        <v>1279</v>
      </c>
      <c r="W11" s="553" t="s">
        <v>1273</v>
      </c>
      <c r="X11" s="560">
        <v>4.0</v>
      </c>
      <c r="Y11" s="562"/>
      <c r="Z11" s="562"/>
    </row>
    <row r="12" ht="12.0" customHeight="1">
      <c r="A12" s="553" t="s">
        <v>962</v>
      </c>
      <c r="B12" s="553" t="s">
        <v>33</v>
      </c>
      <c r="C12" s="554" t="s">
        <v>1269</v>
      </c>
      <c r="D12" s="554">
        <v>24.0</v>
      </c>
      <c r="E12" s="554">
        <v>3.0</v>
      </c>
      <c r="F12" s="554" t="s">
        <v>8</v>
      </c>
      <c r="G12" s="554">
        <v>2022.0</v>
      </c>
      <c r="H12" s="555" t="s">
        <v>313</v>
      </c>
      <c r="I12" s="555" t="s">
        <v>314</v>
      </c>
      <c r="J12" s="556">
        <v>46680.0</v>
      </c>
      <c r="K12" s="556">
        <v>46303.0</v>
      </c>
      <c r="L12" s="556">
        <v>46402.0</v>
      </c>
      <c r="M12" s="556"/>
      <c r="N12" s="553"/>
      <c r="O12" s="560"/>
      <c r="P12" s="559"/>
      <c r="Q12" s="560" t="s">
        <v>1270</v>
      </c>
      <c r="R12" s="555"/>
      <c r="S12" s="560"/>
      <c r="T12" s="553" t="s">
        <v>1271</v>
      </c>
      <c r="U12" s="553" t="s">
        <v>1279</v>
      </c>
      <c r="V12" s="564" t="s">
        <v>1279</v>
      </c>
      <c r="W12" s="553" t="s">
        <v>1273</v>
      </c>
      <c r="X12" s="560">
        <v>4.0</v>
      </c>
      <c r="Y12" s="562"/>
      <c r="Z12" s="562"/>
    </row>
    <row r="13" ht="12.0" customHeight="1">
      <c r="A13" s="553" t="s">
        <v>962</v>
      </c>
      <c r="B13" s="553" t="s">
        <v>35</v>
      </c>
      <c r="C13" s="554" t="s">
        <v>1269</v>
      </c>
      <c r="D13" s="554">
        <v>24.0</v>
      </c>
      <c r="E13" s="554">
        <v>3.0</v>
      </c>
      <c r="F13" s="554" t="s">
        <v>36</v>
      </c>
      <c r="G13" s="554">
        <v>2022.0</v>
      </c>
      <c r="H13" s="555" t="s">
        <v>318</v>
      </c>
      <c r="I13" s="555" t="s">
        <v>319</v>
      </c>
      <c r="J13" s="556">
        <v>46708.0</v>
      </c>
      <c r="K13" s="556">
        <v>46352.0</v>
      </c>
      <c r="L13" s="556">
        <v>46339.0</v>
      </c>
      <c r="M13" s="556"/>
      <c r="N13" s="553"/>
      <c r="O13" s="560"/>
      <c r="P13" s="559"/>
      <c r="Q13" s="560" t="s">
        <v>1270</v>
      </c>
      <c r="R13" s="555"/>
      <c r="S13" s="560"/>
      <c r="T13" s="553" t="s">
        <v>1271</v>
      </c>
      <c r="U13" s="553" t="s">
        <v>1279</v>
      </c>
      <c r="V13" s="564" t="s">
        <v>1279</v>
      </c>
      <c r="W13" s="553" t="s">
        <v>1273</v>
      </c>
      <c r="X13" s="560">
        <v>4.0</v>
      </c>
      <c r="Y13" s="562"/>
      <c r="Z13" s="562"/>
    </row>
    <row r="14" ht="12.0" customHeight="1">
      <c r="A14" s="553" t="s">
        <v>962</v>
      </c>
      <c r="B14" s="553" t="s">
        <v>38</v>
      </c>
      <c r="C14" s="554" t="s">
        <v>1269</v>
      </c>
      <c r="D14" s="554">
        <v>24.0</v>
      </c>
      <c r="E14" s="554">
        <v>3.0</v>
      </c>
      <c r="F14" s="554" t="s">
        <v>39</v>
      </c>
      <c r="G14" s="554">
        <v>2023.0</v>
      </c>
      <c r="H14" s="555" t="s">
        <v>320</v>
      </c>
      <c r="I14" s="555" t="s">
        <v>321</v>
      </c>
      <c r="J14" s="556">
        <v>46913.0</v>
      </c>
      <c r="K14" s="556">
        <v>46424.0</v>
      </c>
      <c r="L14" s="556">
        <v>46669.0</v>
      </c>
      <c r="M14" s="556"/>
      <c r="N14" s="553"/>
      <c r="O14" s="560"/>
      <c r="P14" s="559"/>
      <c r="Q14" s="560" t="s">
        <v>1270</v>
      </c>
      <c r="R14" s="555"/>
      <c r="S14" s="560"/>
      <c r="T14" s="553" t="s">
        <v>1271</v>
      </c>
      <c r="U14" s="553" t="s">
        <v>1279</v>
      </c>
      <c r="V14" s="564" t="s">
        <v>1279</v>
      </c>
      <c r="W14" s="553" t="s">
        <v>1273</v>
      </c>
      <c r="X14" s="560">
        <v>3.0</v>
      </c>
      <c r="Y14" s="562"/>
      <c r="Z14" s="562"/>
    </row>
    <row r="15" ht="12.0" customHeight="1">
      <c r="A15" s="553" t="s">
        <v>962</v>
      </c>
      <c r="B15" s="553" t="s">
        <v>41</v>
      </c>
      <c r="C15" s="554" t="s">
        <v>1269</v>
      </c>
      <c r="D15" s="554">
        <v>8.0</v>
      </c>
      <c r="E15" s="554">
        <v>2.0</v>
      </c>
      <c r="F15" s="554" t="s">
        <v>39</v>
      </c>
      <c r="G15" s="554">
        <v>2022.0</v>
      </c>
      <c r="H15" s="555" t="s">
        <v>326</v>
      </c>
      <c r="I15" s="555" t="s">
        <v>327</v>
      </c>
      <c r="J15" s="556">
        <v>46981.0</v>
      </c>
      <c r="K15" s="556">
        <v>46424.0</v>
      </c>
      <c r="L15" s="556">
        <v>46684.0</v>
      </c>
      <c r="M15" s="556"/>
      <c r="N15" s="553"/>
      <c r="O15" s="560"/>
      <c r="P15" s="559"/>
      <c r="Q15" s="560" t="s">
        <v>1270</v>
      </c>
      <c r="R15" s="555"/>
      <c r="S15" s="560"/>
      <c r="T15" s="553" t="s">
        <v>1271</v>
      </c>
      <c r="U15" s="553" t="s">
        <v>1279</v>
      </c>
      <c r="V15" s="564" t="s">
        <v>1279</v>
      </c>
      <c r="W15" s="553" t="s">
        <v>1273</v>
      </c>
      <c r="X15" s="560">
        <v>4.0</v>
      </c>
      <c r="Y15" s="562"/>
      <c r="Z15" s="562"/>
    </row>
    <row r="16" ht="12.0" customHeight="1">
      <c r="A16" s="553" t="s">
        <v>962</v>
      </c>
      <c r="B16" s="553" t="s">
        <v>44</v>
      </c>
      <c r="C16" s="554" t="s">
        <v>316</v>
      </c>
      <c r="D16" s="554">
        <v>16.0</v>
      </c>
      <c r="E16" s="554">
        <v>2.0</v>
      </c>
      <c r="F16" s="554" t="s">
        <v>39</v>
      </c>
      <c r="G16" s="554">
        <v>2018.0</v>
      </c>
      <c r="H16" s="555" t="s">
        <v>330</v>
      </c>
      <c r="I16" s="555" t="s">
        <v>331</v>
      </c>
      <c r="J16" s="556">
        <v>46877.0</v>
      </c>
      <c r="K16" s="556">
        <v>46424.0</v>
      </c>
      <c r="L16" s="556">
        <v>46505.0</v>
      </c>
      <c r="M16" s="556"/>
      <c r="N16" s="553"/>
      <c r="O16" s="560"/>
      <c r="P16" s="559"/>
      <c r="Q16" s="560" t="s">
        <v>316</v>
      </c>
      <c r="R16" s="555"/>
      <c r="S16" s="560"/>
      <c r="T16" s="553" t="s">
        <v>1271</v>
      </c>
      <c r="U16" s="553" t="s">
        <v>1278</v>
      </c>
      <c r="V16" s="564" t="s">
        <v>1278</v>
      </c>
      <c r="W16" s="553" t="s">
        <v>1273</v>
      </c>
      <c r="X16" s="560">
        <v>8.0</v>
      </c>
      <c r="Y16" s="562"/>
      <c r="Z16" s="562"/>
    </row>
    <row r="17" ht="12.0" customHeight="1">
      <c r="A17" s="553" t="s">
        <v>962</v>
      </c>
      <c r="B17" s="553" t="s">
        <v>46</v>
      </c>
      <c r="C17" s="554" t="s">
        <v>1269</v>
      </c>
      <c r="D17" s="554">
        <v>24.0</v>
      </c>
      <c r="E17" s="554">
        <v>3.0</v>
      </c>
      <c r="F17" s="554" t="s">
        <v>47</v>
      </c>
      <c r="G17" s="554">
        <v>2022.0</v>
      </c>
      <c r="H17" s="555" t="s">
        <v>333</v>
      </c>
      <c r="I17" s="555" t="s">
        <v>334</v>
      </c>
      <c r="J17" s="556">
        <v>46672.0</v>
      </c>
      <c r="K17" s="556">
        <v>46315.0</v>
      </c>
      <c r="L17" s="556">
        <v>46437.0</v>
      </c>
      <c r="M17" s="556"/>
      <c r="N17" s="553"/>
      <c r="O17" s="560"/>
      <c r="P17" s="559"/>
      <c r="Q17" s="560" t="s">
        <v>1270</v>
      </c>
      <c r="R17" s="555"/>
      <c r="S17" s="560"/>
      <c r="T17" s="553" t="s">
        <v>1271</v>
      </c>
      <c r="U17" s="553" t="s">
        <v>1279</v>
      </c>
      <c r="V17" s="564" t="s">
        <v>1279</v>
      </c>
      <c r="W17" s="553" t="s">
        <v>1273</v>
      </c>
      <c r="X17" s="560">
        <v>4.0</v>
      </c>
      <c r="Y17" s="562"/>
      <c r="Z17" s="562"/>
    </row>
    <row r="18" ht="12.0" customHeight="1">
      <c r="A18" s="553" t="s">
        <v>962</v>
      </c>
      <c r="B18" s="553" t="s">
        <v>51</v>
      </c>
      <c r="C18" s="554" t="s">
        <v>1269</v>
      </c>
      <c r="D18" s="554">
        <v>24.0</v>
      </c>
      <c r="E18" s="554">
        <v>3.0</v>
      </c>
      <c r="F18" s="554" t="s">
        <v>47</v>
      </c>
      <c r="G18" s="554">
        <v>2023.0</v>
      </c>
      <c r="H18" s="555" t="s">
        <v>337</v>
      </c>
      <c r="I18" s="555" t="s">
        <v>338</v>
      </c>
      <c r="J18" s="556">
        <v>46875.0</v>
      </c>
      <c r="K18" s="556">
        <v>46361.0</v>
      </c>
      <c r="L18" s="556">
        <v>46586.0</v>
      </c>
      <c r="M18" s="556"/>
      <c r="N18" s="553"/>
      <c r="O18" s="560"/>
      <c r="P18" s="559"/>
      <c r="Q18" s="560" t="s">
        <v>1270</v>
      </c>
      <c r="R18" s="555"/>
      <c r="S18" s="560"/>
      <c r="T18" s="553" t="s">
        <v>1271</v>
      </c>
      <c r="U18" s="553" t="s">
        <v>1279</v>
      </c>
      <c r="V18" s="564" t="s">
        <v>1279</v>
      </c>
      <c r="W18" s="553" t="s">
        <v>1273</v>
      </c>
      <c r="X18" s="560">
        <v>3.0</v>
      </c>
      <c r="Y18" s="562"/>
      <c r="Z18" s="562"/>
    </row>
    <row r="19" ht="12.0" customHeight="1">
      <c r="A19" s="553" t="s">
        <v>962</v>
      </c>
      <c r="B19" s="553" t="s">
        <v>53</v>
      </c>
      <c r="C19" s="554" t="s">
        <v>1269</v>
      </c>
      <c r="D19" s="554">
        <v>24.0</v>
      </c>
      <c r="E19" s="554">
        <v>3.0</v>
      </c>
      <c r="F19" s="554" t="s">
        <v>47</v>
      </c>
      <c r="G19" s="554">
        <v>2023.0</v>
      </c>
      <c r="H19" s="555" t="s">
        <v>340</v>
      </c>
      <c r="I19" s="555" t="s">
        <v>341</v>
      </c>
      <c r="J19" s="556">
        <v>47114.0</v>
      </c>
      <c r="K19" s="556">
        <v>46331.0</v>
      </c>
      <c r="L19" s="556">
        <v>46884.0</v>
      </c>
      <c r="M19" s="556"/>
      <c r="N19" s="553"/>
      <c r="O19" s="560"/>
      <c r="P19" s="559"/>
      <c r="Q19" s="560" t="s">
        <v>1270</v>
      </c>
      <c r="R19" s="555"/>
      <c r="S19" s="560"/>
      <c r="T19" s="553" t="s">
        <v>1271</v>
      </c>
      <c r="U19" s="553" t="s">
        <v>1279</v>
      </c>
      <c r="V19" s="561" t="s">
        <v>1279</v>
      </c>
      <c r="W19" s="553" t="s">
        <v>1273</v>
      </c>
      <c r="X19" s="560">
        <v>3.0</v>
      </c>
      <c r="Y19" s="562"/>
      <c r="Z19" s="562"/>
    </row>
    <row r="20" ht="12.0" customHeight="1">
      <c r="A20" s="553" t="s">
        <v>962</v>
      </c>
      <c r="B20" s="553" t="s">
        <v>54</v>
      </c>
      <c r="C20" s="554" t="s">
        <v>1269</v>
      </c>
      <c r="D20" s="554">
        <v>24.0</v>
      </c>
      <c r="E20" s="554">
        <v>3.0</v>
      </c>
      <c r="F20" s="554" t="s">
        <v>47</v>
      </c>
      <c r="G20" s="554">
        <v>2023.0</v>
      </c>
      <c r="H20" s="555" t="s">
        <v>343</v>
      </c>
      <c r="I20" s="555" t="s">
        <v>344</v>
      </c>
      <c r="J20" s="556">
        <v>47114.0</v>
      </c>
      <c r="K20" s="556">
        <v>46331.0</v>
      </c>
      <c r="L20" s="556">
        <v>46912.0</v>
      </c>
      <c r="M20" s="556"/>
      <c r="N20" s="553"/>
      <c r="O20" s="560"/>
      <c r="P20" s="559"/>
      <c r="Q20" s="560" t="s">
        <v>1270</v>
      </c>
      <c r="R20" s="555"/>
      <c r="S20" s="560"/>
      <c r="T20" s="553" t="s">
        <v>1271</v>
      </c>
      <c r="U20" s="553" t="s">
        <v>1279</v>
      </c>
      <c r="V20" s="561" t="s">
        <v>1279</v>
      </c>
      <c r="W20" s="553" t="s">
        <v>1273</v>
      </c>
      <c r="X20" s="560">
        <v>3.0</v>
      </c>
      <c r="Y20" s="562"/>
      <c r="Z20" s="562"/>
    </row>
    <row r="21" ht="12.0" customHeight="1">
      <c r="A21" s="553" t="s">
        <v>962</v>
      </c>
      <c r="B21" s="553" t="s">
        <v>55</v>
      </c>
      <c r="C21" s="554" t="s">
        <v>1269</v>
      </c>
      <c r="D21" s="554">
        <v>24.0</v>
      </c>
      <c r="E21" s="554">
        <v>3.0</v>
      </c>
      <c r="F21" s="554" t="s">
        <v>47</v>
      </c>
      <c r="G21" s="554">
        <v>2024.0</v>
      </c>
      <c r="H21" s="555" t="s">
        <v>346</v>
      </c>
      <c r="I21" s="555" t="s">
        <v>347</v>
      </c>
      <c r="J21" s="556">
        <v>47429.0</v>
      </c>
      <c r="K21" s="556">
        <v>46331.0</v>
      </c>
      <c r="L21" s="556">
        <v>46351.0</v>
      </c>
      <c r="M21" s="556"/>
      <c r="N21" s="553"/>
      <c r="O21" s="560"/>
      <c r="P21" s="559"/>
      <c r="Q21" s="560" t="s">
        <v>1270</v>
      </c>
      <c r="R21" s="555"/>
      <c r="S21" s="560"/>
      <c r="T21" s="553" t="s">
        <v>1271</v>
      </c>
      <c r="U21" s="553" t="s">
        <v>1279</v>
      </c>
      <c r="V21" s="564" t="s">
        <v>1279</v>
      </c>
      <c r="W21" s="553" t="s">
        <v>1273</v>
      </c>
      <c r="X21" s="560">
        <v>2.0</v>
      </c>
      <c r="Y21" s="562"/>
      <c r="Z21" s="562"/>
    </row>
    <row r="22" ht="12.0" customHeight="1">
      <c r="A22" s="553" t="s">
        <v>962</v>
      </c>
      <c r="B22" s="553" t="s">
        <v>56</v>
      </c>
      <c r="C22" s="554" t="s">
        <v>1269</v>
      </c>
      <c r="D22" s="554">
        <v>24.0</v>
      </c>
      <c r="E22" s="554">
        <v>3.0</v>
      </c>
      <c r="F22" s="554" t="s">
        <v>47</v>
      </c>
      <c r="G22" s="554">
        <v>2024.0</v>
      </c>
      <c r="H22" s="555" t="s">
        <v>349</v>
      </c>
      <c r="I22" s="555" t="s">
        <v>350</v>
      </c>
      <c r="J22" s="556">
        <v>47475.0</v>
      </c>
      <c r="K22" s="556">
        <v>46361.0</v>
      </c>
      <c r="L22" s="556">
        <v>46429.0</v>
      </c>
      <c r="M22" s="556"/>
      <c r="N22" s="553"/>
      <c r="O22" s="560"/>
      <c r="P22" s="559"/>
      <c r="Q22" s="560" t="s">
        <v>1270</v>
      </c>
      <c r="R22" s="555"/>
      <c r="S22" s="560"/>
      <c r="T22" s="553" t="s">
        <v>1271</v>
      </c>
      <c r="U22" s="553" t="s">
        <v>1279</v>
      </c>
      <c r="V22" s="561" t="s">
        <v>1279</v>
      </c>
      <c r="W22" s="553" t="s">
        <v>1273</v>
      </c>
      <c r="X22" s="560">
        <v>2.0</v>
      </c>
      <c r="Y22" s="562"/>
      <c r="Z22" s="562"/>
    </row>
    <row r="23" ht="12.0" customHeight="1">
      <c r="A23" s="553" t="s">
        <v>962</v>
      </c>
      <c r="B23" s="553" t="s">
        <v>57</v>
      </c>
      <c r="C23" s="554" t="s">
        <v>1269</v>
      </c>
      <c r="D23" s="554">
        <v>24.0</v>
      </c>
      <c r="E23" s="554">
        <v>3.0</v>
      </c>
      <c r="F23" s="554" t="s">
        <v>47</v>
      </c>
      <c r="G23" s="554">
        <v>2024.0</v>
      </c>
      <c r="H23" s="555" t="s">
        <v>356</v>
      </c>
      <c r="I23" s="555" t="s">
        <v>357</v>
      </c>
      <c r="J23" s="556">
        <v>47475.0</v>
      </c>
      <c r="K23" s="556">
        <v>46361.0</v>
      </c>
      <c r="L23" s="556">
        <v>46430.0</v>
      </c>
      <c r="M23" s="556"/>
      <c r="N23" s="553"/>
      <c r="O23" s="560"/>
      <c r="P23" s="559"/>
      <c r="Q23" s="560" t="s">
        <v>1270</v>
      </c>
      <c r="R23" s="555"/>
      <c r="S23" s="560"/>
      <c r="T23" s="553" t="s">
        <v>1271</v>
      </c>
      <c r="U23" s="553" t="s">
        <v>1279</v>
      </c>
      <c r="V23" s="564" t="s">
        <v>1279</v>
      </c>
      <c r="W23" s="553" t="s">
        <v>1273</v>
      </c>
      <c r="X23" s="560">
        <v>2.0</v>
      </c>
      <c r="Y23" s="562"/>
      <c r="Z23" s="562"/>
    </row>
    <row r="24" ht="12.0" customHeight="1">
      <c r="A24" s="553" t="s">
        <v>962</v>
      </c>
      <c r="B24" s="553" t="s">
        <v>58</v>
      </c>
      <c r="C24" s="554" t="s">
        <v>1269</v>
      </c>
      <c r="D24" s="554">
        <v>24.0</v>
      </c>
      <c r="E24" s="554">
        <v>3.0</v>
      </c>
      <c r="F24" s="554" t="s">
        <v>47</v>
      </c>
      <c r="G24" s="554">
        <v>2024.0</v>
      </c>
      <c r="H24" s="555" t="s">
        <v>361</v>
      </c>
      <c r="I24" s="555" t="s">
        <v>362</v>
      </c>
      <c r="J24" s="556">
        <v>47475.0</v>
      </c>
      <c r="K24" s="556">
        <v>46332.0</v>
      </c>
      <c r="L24" s="556">
        <v>46452.0</v>
      </c>
      <c r="M24" s="556"/>
      <c r="N24" s="553"/>
      <c r="O24" s="560"/>
      <c r="P24" s="559"/>
      <c r="Q24" s="560" t="s">
        <v>1270</v>
      </c>
      <c r="R24" s="555"/>
      <c r="S24" s="560"/>
      <c r="T24" s="553" t="s">
        <v>1271</v>
      </c>
      <c r="U24" s="553" t="s">
        <v>1279</v>
      </c>
      <c r="V24" s="561" t="s">
        <v>1279</v>
      </c>
      <c r="W24" s="553" t="s">
        <v>1273</v>
      </c>
      <c r="X24" s="560">
        <v>2.0</v>
      </c>
      <c r="Y24" s="562"/>
      <c r="Z24" s="562"/>
    </row>
    <row r="25" ht="12.0" customHeight="1">
      <c r="A25" s="553" t="s">
        <v>962</v>
      </c>
      <c r="B25" s="553" t="s">
        <v>59</v>
      </c>
      <c r="C25" s="554" t="s">
        <v>1269</v>
      </c>
      <c r="D25" s="554">
        <v>24.0</v>
      </c>
      <c r="E25" s="554">
        <v>3.0</v>
      </c>
      <c r="F25" s="554" t="s">
        <v>47</v>
      </c>
      <c r="G25" s="554">
        <v>2025.0</v>
      </c>
      <c r="H25" s="555" t="s">
        <v>364</v>
      </c>
      <c r="I25" s="555" t="s">
        <v>365</v>
      </c>
      <c r="J25" s="556">
        <v>47833.0</v>
      </c>
      <c r="K25" s="556">
        <v>46332.0</v>
      </c>
      <c r="L25" s="556">
        <v>46814.0</v>
      </c>
      <c r="M25" s="556"/>
      <c r="N25" s="553"/>
      <c r="O25" s="560"/>
      <c r="P25" s="559"/>
      <c r="Q25" s="560" t="s">
        <v>1270</v>
      </c>
      <c r="R25" s="555"/>
      <c r="S25" s="560"/>
      <c r="T25" s="553" t="s">
        <v>1271</v>
      </c>
      <c r="U25" s="553" t="s">
        <v>1279</v>
      </c>
      <c r="V25" s="564" t="s">
        <v>1279</v>
      </c>
      <c r="W25" s="553" t="s">
        <v>1273</v>
      </c>
      <c r="X25" s="560">
        <v>1.0</v>
      </c>
      <c r="Y25" s="562"/>
      <c r="Z25" s="562"/>
    </row>
    <row r="26" ht="12.0" customHeight="1">
      <c r="A26" s="553" t="s">
        <v>962</v>
      </c>
      <c r="B26" s="553" t="s">
        <v>62</v>
      </c>
      <c r="C26" s="554" t="s">
        <v>1269</v>
      </c>
      <c r="D26" s="554">
        <v>24.0</v>
      </c>
      <c r="E26" s="554">
        <v>3.0</v>
      </c>
      <c r="F26" s="554" t="s">
        <v>47</v>
      </c>
      <c r="G26" s="554">
        <v>2025.0</v>
      </c>
      <c r="H26" s="555" t="s">
        <v>367</v>
      </c>
      <c r="I26" s="555" t="s">
        <v>368</v>
      </c>
      <c r="J26" s="556">
        <v>47833.0</v>
      </c>
      <c r="K26" s="556">
        <v>46332.0</v>
      </c>
      <c r="L26" s="556">
        <v>46816.0</v>
      </c>
      <c r="M26" s="556"/>
      <c r="N26" s="553"/>
      <c r="O26" s="560"/>
      <c r="P26" s="559"/>
      <c r="Q26" s="560" t="s">
        <v>1270</v>
      </c>
      <c r="R26" s="555"/>
      <c r="S26" s="560"/>
      <c r="T26" s="553" t="s">
        <v>1271</v>
      </c>
      <c r="U26" s="553" t="s">
        <v>1279</v>
      </c>
      <c r="V26" s="563" t="s">
        <v>1279</v>
      </c>
      <c r="W26" s="553" t="s">
        <v>1273</v>
      </c>
      <c r="X26" s="560">
        <v>1.0</v>
      </c>
      <c r="Y26" s="562"/>
      <c r="Z26" s="562"/>
    </row>
    <row r="27" ht="12.0" customHeight="1">
      <c r="A27" s="553" t="s">
        <v>962</v>
      </c>
      <c r="B27" s="553" t="s">
        <v>64</v>
      </c>
      <c r="C27" s="554" t="s">
        <v>1269</v>
      </c>
      <c r="D27" s="554">
        <v>24.0</v>
      </c>
      <c r="E27" s="554">
        <v>3.0</v>
      </c>
      <c r="F27" s="554" t="s">
        <v>47</v>
      </c>
      <c r="G27" s="554">
        <v>2025.0</v>
      </c>
      <c r="H27" s="555" t="s">
        <v>370</v>
      </c>
      <c r="I27" s="555" t="s">
        <v>371</v>
      </c>
      <c r="J27" s="556">
        <v>47833.0</v>
      </c>
      <c r="K27" s="556">
        <v>46332.0</v>
      </c>
      <c r="L27" s="556">
        <v>46817.0</v>
      </c>
      <c r="M27" s="556"/>
      <c r="N27" s="553"/>
      <c r="O27" s="560"/>
      <c r="P27" s="559"/>
      <c r="Q27" s="560" t="s">
        <v>1270</v>
      </c>
      <c r="R27" s="555"/>
      <c r="S27" s="560"/>
      <c r="T27" s="553" t="s">
        <v>1271</v>
      </c>
      <c r="U27" s="553" t="s">
        <v>1279</v>
      </c>
      <c r="V27" s="564" t="s">
        <v>1279</v>
      </c>
      <c r="W27" s="553" t="s">
        <v>1273</v>
      </c>
      <c r="X27" s="560">
        <v>1.0</v>
      </c>
      <c r="Y27" s="562"/>
      <c r="Z27" s="562"/>
    </row>
    <row r="28" ht="12.0" customHeight="1">
      <c r="A28" s="553" t="s">
        <v>962</v>
      </c>
      <c r="B28" s="553" t="s">
        <v>66</v>
      </c>
      <c r="C28" s="554" t="s">
        <v>1269</v>
      </c>
      <c r="D28" s="554">
        <v>24.0</v>
      </c>
      <c r="E28" s="554">
        <v>3.0</v>
      </c>
      <c r="F28" s="554" t="s">
        <v>47</v>
      </c>
      <c r="G28" s="554">
        <v>2025.0</v>
      </c>
      <c r="H28" s="555" t="s">
        <v>374</v>
      </c>
      <c r="I28" s="555" t="s">
        <v>375</v>
      </c>
      <c r="J28" s="556">
        <v>47625.0</v>
      </c>
      <c r="K28" s="556">
        <v>46331.0</v>
      </c>
      <c r="L28" s="556">
        <v>46571.0</v>
      </c>
      <c r="M28" s="556"/>
      <c r="N28" s="553"/>
      <c r="O28" s="560"/>
      <c r="P28" s="559"/>
      <c r="Q28" s="560" t="s">
        <v>1270</v>
      </c>
      <c r="R28" s="555"/>
      <c r="S28" s="560"/>
      <c r="T28" s="553" t="s">
        <v>1271</v>
      </c>
      <c r="U28" s="553" t="s">
        <v>1279</v>
      </c>
      <c r="V28" s="563" t="s">
        <v>1279</v>
      </c>
      <c r="W28" s="553" t="s">
        <v>1273</v>
      </c>
      <c r="X28" s="560">
        <v>1.0</v>
      </c>
      <c r="Y28" s="562"/>
      <c r="Z28" s="562"/>
    </row>
    <row r="29" ht="12.0" customHeight="1">
      <c r="A29" s="553" t="s">
        <v>962</v>
      </c>
      <c r="B29" s="553" t="s">
        <v>68</v>
      </c>
      <c r="C29" s="554" t="s">
        <v>1269</v>
      </c>
      <c r="D29" s="554">
        <v>24.0</v>
      </c>
      <c r="E29" s="554">
        <v>3.0</v>
      </c>
      <c r="F29" s="554" t="s">
        <v>47</v>
      </c>
      <c r="G29" s="554">
        <v>2025.0</v>
      </c>
      <c r="H29" s="555" t="s">
        <v>377</v>
      </c>
      <c r="I29" s="555" t="s">
        <v>378</v>
      </c>
      <c r="J29" s="556">
        <v>47625.0</v>
      </c>
      <c r="K29" s="556">
        <v>46360.0</v>
      </c>
      <c r="L29" s="556">
        <v>46575.0</v>
      </c>
      <c r="M29" s="556"/>
      <c r="N29" s="553"/>
      <c r="O29" s="560"/>
      <c r="P29" s="559"/>
      <c r="Q29" s="560" t="s">
        <v>1270</v>
      </c>
      <c r="R29" s="555"/>
      <c r="S29" s="560"/>
      <c r="T29" s="553" t="s">
        <v>1271</v>
      </c>
      <c r="U29" s="553" t="s">
        <v>1279</v>
      </c>
      <c r="V29" s="564" t="s">
        <v>1279</v>
      </c>
      <c r="W29" s="553" t="s">
        <v>1273</v>
      </c>
      <c r="X29" s="560">
        <v>1.0</v>
      </c>
      <c r="Y29" s="562"/>
      <c r="Z29" s="562"/>
    </row>
    <row r="30" ht="12.0" customHeight="1">
      <c r="A30" s="553" t="s">
        <v>962</v>
      </c>
      <c r="B30" s="553" t="s">
        <v>69</v>
      </c>
      <c r="C30" s="554" t="s">
        <v>1269</v>
      </c>
      <c r="D30" s="554">
        <v>24.0</v>
      </c>
      <c r="E30" s="554">
        <v>3.0</v>
      </c>
      <c r="F30" s="554" t="s">
        <v>47</v>
      </c>
      <c r="G30" s="554">
        <v>2025.0</v>
      </c>
      <c r="H30" s="555" t="s">
        <v>380</v>
      </c>
      <c r="I30" s="555" t="s">
        <v>381</v>
      </c>
      <c r="J30" s="556">
        <v>47625.0</v>
      </c>
      <c r="K30" s="556">
        <v>46331.0</v>
      </c>
      <c r="L30" s="556">
        <v>46570.0</v>
      </c>
      <c r="M30" s="556"/>
      <c r="N30" s="553"/>
      <c r="O30" s="560"/>
      <c r="P30" s="559"/>
      <c r="Q30" s="560" t="s">
        <v>1270</v>
      </c>
      <c r="R30" s="555"/>
      <c r="S30" s="560"/>
      <c r="T30" s="553" t="s">
        <v>1271</v>
      </c>
      <c r="U30" s="553" t="s">
        <v>1279</v>
      </c>
      <c r="V30" s="564" t="s">
        <v>1279</v>
      </c>
      <c r="W30" s="553" t="s">
        <v>1273</v>
      </c>
      <c r="X30" s="560">
        <v>1.0</v>
      </c>
      <c r="Y30" s="562"/>
      <c r="Z30" s="562"/>
    </row>
    <row r="31" ht="12.0" customHeight="1">
      <c r="A31" s="553" t="s">
        <v>962</v>
      </c>
      <c r="B31" s="553" t="s">
        <v>70</v>
      </c>
      <c r="C31" s="554" t="s">
        <v>1269</v>
      </c>
      <c r="D31" s="554">
        <v>24.0</v>
      </c>
      <c r="E31" s="554">
        <v>3.0</v>
      </c>
      <c r="F31" s="554" t="s">
        <v>47</v>
      </c>
      <c r="G31" s="554">
        <v>2025.0</v>
      </c>
      <c r="H31" s="555">
        <v>4.00963001792246E14</v>
      </c>
      <c r="I31" s="567" t="s">
        <v>383</v>
      </c>
      <c r="J31" s="556">
        <v>47716.0</v>
      </c>
      <c r="K31" s="556">
        <v>46311.0</v>
      </c>
      <c r="L31" s="556">
        <v>46688.0</v>
      </c>
      <c r="M31" s="556"/>
      <c r="N31" s="553"/>
      <c r="O31" s="560"/>
      <c r="P31" s="568"/>
      <c r="Q31" s="560" t="s">
        <v>1270</v>
      </c>
      <c r="R31" s="555"/>
      <c r="S31" s="560"/>
      <c r="T31" s="553" t="s">
        <v>1271</v>
      </c>
      <c r="U31" s="553" t="s">
        <v>1279</v>
      </c>
      <c r="V31" s="564" t="s">
        <v>1279</v>
      </c>
      <c r="W31" s="553" t="s">
        <v>1273</v>
      </c>
      <c r="X31" s="560">
        <v>1.0</v>
      </c>
      <c r="Y31" s="562"/>
      <c r="Z31" s="562"/>
    </row>
    <row r="32" ht="12.0" customHeight="1">
      <c r="A32" s="553" t="s">
        <v>962</v>
      </c>
      <c r="B32" s="553" t="s">
        <v>71</v>
      </c>
      <c r="C32" s="554" t="s">
        <v>1269</v>
      </c>
      <c r="D32" s="554">
        <v>24.0</v>
      </c>
      <c r="E32" s="554">
        <v>3.0</v>
      </c>
      <c r="F32" s="554" t="s">
        <v>47</v>
      </c>
      <c r="G32" s="554">
        <v>2025.0</v>
      </c>
      <c r="H32" s="555" t="s">
        <v>385</v>
      </c>
      <c r="I32" s="555" t="s">
        <v>386</v>
      </c>
      <c r="J32" s="556">
        <v>47779.0</v>
      </c>
      <c r="K32" s="556">
        <v>46337.0</v>
      </c>
      <c r="L32" s="556">
        <v>46719.0</v>
      </c>
      <c r="M32" s="556"/>
      <c r="N32" s="553"/>
      <c r="O32" s="560"/>
      <c r="P32" s="568"/>
      <c r="Q32" s="560" t="s">
        <v>1270</v>
      </c>
      <c r="R32" s="555"/>
      <c r="S32" s="560"/>
      <c r="T32" s="553" t="s">
        <v>1271</v>
      </c>
      <c r="U32" s="553" t="s">
        <v>1279</v>
      </c>
      <c r="V32" s="564" t="s">
        <v>1279</v>
      </c>
      <c r="W32" s="553" t="s">
        <v>1273</v>
      </c>
      <c r="X32" s="560">
        <v>1.0</v>
      </c>
      <c r="Y32" s="562"/>
      <c r="Z32" s="562"/>
    </row>
    <row r="33" ht="12.0" customHeight="1">
      <c r="A33" s="553" t="s">
        <v>962</v>
      </c>
      <c r="B33" s="553" t="s">
        <v>72</v>
      </c>
      <c r="C33" s="554" t="s">
        <v>1269</v>
      </c>
      <c r="D33" s="554">
        <v>24.0</v>
      </c>
      <c r="E33" s="554">
        <v>3.0</v>
      </c>
      <c r="F33" s="554" t="s">
        <v>47</v>
      </c>
      <c r="G33" s="554">
        <v>2025.0</v>
      </c>
      <c r="H33" s="555" t="s">
        <v>390</v>
      </c>
      <c r="I33" s="555" t="s">
        <v>391</v>
      </c>
      <c r="J33" s="556">
        <v>47779.0</v>
      </c>
      <c r="K33" s="556">
        <v>46337.0</v>
      </c>
      <c r="L33" s="556">
        <v>46717.0</v>
      </c>
      <c r="M33" s="556"/>
      <c r="N33" s="553"/>
      <c r="O33" s="560"/>
      <c r="P33" s="559"/>
      <c r="Q33" s="560" t="s">
        <v>1270</v>
      </c>
      <c r="R33" s="555"/>
      <c r="S33" s="560"/>
      <c r="T33" s="553" t="s">
        <v>1271</v>
      </c>
      <c r="U33" s="553" t="s">
        <v>1279</v>
      </c>
      <c r="V33" s="564" t="s">
        <v>1279</v>
      </c>
      <c r="W33" s="553" t="s">
        <v>1273</v>
      </c>
      <c r="X33" s="560">
        <v>1.0</v>
      </c>
      <c r="Y33" s="562"/>
      <c r="Z33" s="562"/>
    </row>
    <row r="34" ht="12.0" customHeight="1">
      <c r="A34" s="553" t="s">
        <v>962</v>
      </c>
      <c r="B34" s="553" t="s">
        <v>73</v>
      </c>
      <c r="C34" s="554" t="s">
        <v>1269</v>
      </c>
      <c r="D34" s="554">
        <v>24.0</v>
      </c>
      <c r="E34" s="554">
        <v>3.0</v>
      </c>
      <c r="F34" s="554" t="s">
        <v>47</v>
      </c>
      <c r="G34" s="554">
        <v>2025.0</v>
      </c>
      <c r="H34" s="555" t="s">
        <v>393</v>
      </c>
      <c r="I34" s="555" t="s">
        <v>394</v>
      </c>
      <c r="J34" s="556">
        <v>47779.0</v>
      </c>
      <c r="K34" s="556">
        <v>46337.0</v>
      </c>
      <c r="L34" s="556">
        <v>46718.0</v>
      </c>
      <c r="M34" s="556"/>
      <c r="N34" s="553"/>
      <c r="O34" s="560"/>
      <c r="P34" s="559"/>
      <c r="Q34" s="560" t="s">
        <v>1270</v>
      </c>
      <c r="R34" s="555"/>
      <c r="S34" s="560"/>
      <c r="T34" s="553" t="s">
        <v>1271</v>
      </c>
      <c r="U34" s="553" t="s">
        <v>1279</v>
      </c>
      <c r="V34" s="564" t="s">
        <v>1279</v>
      </c>
      <c r="W34" s="553" t="s">
        <v>1273</v>
      </c>
      <c r="X34" s="560">
        <v>1.0</v>
      </c>
      <c r="Y34" s="562"/>
      <c r="Z34" s="562"/>
    </row>
    <row r="35" ht="12.0" customHeight="1">
      <c r="A35" s="553" t="s">
        <v>962</v>
      </c>
      <c r="B35" s="553" t="s">
        <v>74</v>
      </c>
      <c r="C35" s="554" t="s">
        <v>1269</v>
      </c>
      <c r="D35" s="554">
        <v>24.0</v>
      </c>
      <c r="E35" s="554">
        <v>3.0</v>
      </c>
      <c r="F35" s="554" t="s">
        <v>47</v>
      </c>
      <c r="G35" s="554">
        <v>2025.0</v>
      </c>
      <c r="H35" s="555">
        <v>4.009530019504E13</v>
      </c>
      <c r="I35" s="555" t="s">
        <v>397</v>
      </c>
      <c r="J35" s="556">
        <v>47801.0</v>
      </c>
      <c r="K35" s="556">
        <v>46337.0</v>
      </c>
      <c r="L35" s="556">
        <v>46723.0</v>
      </c>
      <c r="M35" s="556"/>
      <c r="N35" s="553"/>
      <c r="O35" s="560"/>
      <c r="P35" s="559"/>
      <c r="Q35" s="560" t="s">
        <v>1270</v>
      </c>
      <c r="R35" s="555"/>
      <c r="S35" s="560"/>
      <c r="T35" s="553" t="s">
        <v>1271</v>
      </c>
      <c r="U35" s="553" t="s">
        <v>1279</v>
      </c>
      <c r="V35" s="564" t="s">
        <v>1279</v>
      </c>
      <c r="W35" s="553" t="s">
        <v>1273</v>
      </c>
      <c r="X35" s="560">
        <v>1.0</v>
      </c>
      <c r="Y35" s="562"/>
      <c r="Z35" s="562"/>
    </row>
    <row r="36" ht="12.0" customHeight="1">
      <c r="A36" s="553" t="s">
        <v>962</v>
      </c>
      <c r="B36" s="553" t="s">
        <v>75</v>
      </c>
      <c r="C36" s="554" t="s">
        <v>1269</v>
      </c>
      <c r="D36" s="554">
        <v>24.0</v>
      </c>
      <c r="E36" s="554">
        <v>3.0</v>
      </c>
      <c r="F36" s="554" t="s">
        <v>47</v>
      </c>
      <c r="G36" s="554">
        <v>2025.0</v>
      </c>
      <c r="H36" s="555" t="s">
        <v>399</v>
      </c>
      <c r="I36" s="555" t="s">
        <v>400</v>
      </c>
      <c r="J36" s="556">
        <v>47801.0</v>
      </c>
      <c r="K36" s="556">
        <v>46337.0</v>
      </c>
      <c r="L36" s="556">
        <v>46724.0</v>
      </c>
      <c r="M36" s="556"/>
      <c r="N36" s="553"/>
      <c r="O36" s="560"/>
      <c r="P36" s="559"/>
      <c r="Q36" s="560" t="s">
        <v>1270</v>
      </c>
      <c r="R36" s="555"/>
      <c r="S36" s="560"/>
      <c r="T36" s="553" t="s">
        <v>1271</v>
      </c>
      <c r="U36" s="553" t="s">
        <v>1279</v>
      </c>
      <c r="V36" s="564" t="s">
        <v>1279</v>
      </c>
      <c r="W36" s="553" t="s">
        <v>1273</v>
      </c>
      <c r="X36" s="560">
        <v>1.0</v>
      </c>
      <c r="Y36" s="562"/>
      <c r="Z36" s="562"/>
    </row>
    <row r="37" ht="12.0" customHeight="1">
      <c r="A37" s="553" t="s">
        <v>962</v>
      </c>
      <c r="B37" s="553" t="s">
        <v>76</v>
      </c>
      <c r="C37" s="554" t="s">
        <v>1269</v>
      </c>
      <c r="D37" s="554">
        <v>24.0</v>
      </c>
      <c r="E37" s="554">
        <v>3.0</v>
      </c>
      <c r="F37" s="554" t="s">
        <v>47</v>
      </c>
      <c r="G37" s="554">
        <v>2026.0</v>
      </c>
      <c r="H37" s="555" t="s">
        <v>402</v>
      </c>
      <c r="I37" s="555" t="s">
        <v>403</v>
      </c>
      <c r="J37" s="556">
        <v>47973.0</v>
      </c>
      <c r="K37" s="556">
        <v>46358.0</v>
      </c>
      <c r="L37" s="556">
        <v>46914.0</v>
      </c>
      <c r="M37" s="556"/>
      <c r="N37" s="553"/>
      <c r="O37" s="560"/>
      <c r="P37" s="559"/>
      <c r="Q37" s="560" t="s">
        <v>1270</v>
      </c>
      <c r="R37" s="555"/>
      <c r="S37" s="560"/>
      <c r="T37" s="553" t="s">
        <v>1271</v>
      </c>
      <c r="U37" s="553" t="s">
        <v>1279</v>
      </c>
      <c r="V37" s="564" t="s">
        <v>1279</v>
      </c>
      <c r="W37" s="553" t="s">
        <v>1273</v>
      </c>
      <c r="X37" s="560">
        <v>0.0</v>
      </c>
      <c r="Y37" s="562"/>
      <c r="Z37" s="562"/>
    </row>
    <row r="38" ht="12.0" customHeight="1">
      <c r="A38" s="553" t="s">
        <v>962</v>
      </c>
      <c r="B38" s="553" t="s">
        <v>77</v>
      </c>
      <c r="C38" s="554" t="s">
        <v>1269</v>
      </c>
      <c r="D38" s="554">
        <v>16.0</v>
      </c>
      <c r="E38" s="554">
        <v>2.0</v>
      </c>
      <c r="F38" s="554" t="s">
        <v>78</v>
      </c>
      <c r="G38" s="554">
        <v>2022.0</v>
      </c>
      <c r="H38" s="555" t="s">
        <v>406</v>
      </c>
      <c r="I38" s="555" t="s">
        <v>407</v>
      </c>
      <c r="J38" s="556">
        <v>47102.0</v>
      </c>
      <c r="K38" s="556">
        <v>46367.0</v>
      </c>
      <c r="L38" s="556">
        <v>46765.0</v>
      </c>
      <c r="M38" s="556"/>
      <c r="N38" s="553"/>
      <c r="O38" s="560"/>
      <c r="P38" s="559"/>
      <c r="Q38" s="560" t="s">
        <v>1270</v>
      </c>
      <c r="R38" s="555"/>
      <c r="S38" s="560"/>
      <c r="T38" s="553" t="s">
        <v>1271</v>
      </c>
      <c r="U38" s="553" t="s">
        <v>1279</v>
      </c>
      <c r="V38" s="564" t="s">
        <v>1279</v>
      </c>
      <c r="W38" s="553" t="s">
        <v>1273</v>
      </c>
      <c r="X38" s="560">
        <v>4.0</v>
      </c>
      <c r="Y38" s="562"/>
      <c r="Z38" s="562"/>
    </row>
    <row r="39" ht="12.0" customHeight="1">
      <c r="A39" s="553" t="s">
        <v>962</v>
      </c>
      <c r="B39" s="553" t="s">
        <v>79</v>
      </c>
      <c r="C39" s="554" t="s">
        <v>1269</v>
      </c>
      <c r="D39" s="554">
        <v>16.0</v>
      </c>
      <c r="E39" s="554">
        <v>2.0</v>
      </c>
      <c r="F39" s="554" t="s">
        <v>78</v>
      </c>
      <c r="G39" s="554">
        <v>2022.0</v>
      </c>
      <c r="H39" s="555" t="s">
        <v>409</v>
      </c>
      <c r="I39" s="555" t="s">
        <v>410</v>
      </c>
      <c r="J39" s="556">
        <v>47102.0</v>
      </c>
      <c r="K39" s="556">
        <v>46367.0</v>
      </c>
      <c r="L39" s="556">
        <v>46765.0</v>
      </c>
      <c r="M39" s="556"/>
      <c r="N39" s="553"/>
      <c r="O39" s="560"/>
      <c r="P39" s="559"/>
      <c r="Q39" s="560" t="s">
        <v>1270</v>
      </c>
      <c r="R39" s="555"/>
      <c r="S39" s="560"/>
      <c r="T39" s="553" t="s">
        <v>1271</v>
      </c>
      <c r="U39" s="553" t="s">
        <v>1279</v>
      </c>
      <c r="V39" s="564" t="s">
        <v>1279</v>
      </c>
      <c r="W39" s="553" t="s">
        <v>1273</v>
      </c>
      <c r="X39" s="560">
        <v>4.0</v>
      </c>
      <c r="Y39" s="562"/>
      <c r="Z39" s="562"/>
    </row>
    <row r="40" ht="12.0" customHeight="1">
      <c r="A40" s="553" t="s">
        <v>962</v>
      </c>
      <c r="B40" s="553" t="s">
        <v>80</v>
      </c>
      <c r="C40" s="554" t="s">
        <v>1269</v>
      </c>
      <c r="D40" s="554">
        <v>16.0</v>
      </c>
      <c r="E40" s="554">
        <v>2.0</v>
      </c>
      <c r="F40" s="554" t="s">
        <v>78</v>
      </c>
      <c r="G40" s="554">
        <v>2022.0</v>
      </c>
      <c r="H40" s="555" t="s">
        <v>413</v>
      </c>
      <c r="I40" s="555" t="s">
        <v>414</v>
      </c>
      <c r="J40" s="556">
        <v>47213.0</v>
      </c>
      <c r="K40" s="556">
        <v>46305.0</v>
      </c>
      <c r="L40" s="556">
        <v>46893.0</v>
      </c>
      <c r="M40" s="556"/>
      <c r="N40" s="553"/>
      <c r="O40" s="560"/>
      <c r="P40" s="559"/>
      <c r="Q40" s="560" t="s">
        <v>1270</v>
      </c>
      <c r="R40" s="555"/>
      <c r="S40" s="560"/>
      <c r="T40" s="553" t="s">
        <v>1271</v>
      </c>
      <c r="U40" s="553" t="s">
        <v>1279</v>
      </c>
      <c r="V40" s="564" t="s">
        <v>1279</v>
      </c>
      <c r="W40" s="553" t="s">
        <v>1273</v>
      </c>
      <c r="X40" s="560">
        <v>4.0</v>
      </c>
      <c r="Y40" s="562"/>
      <c r="Z40" s="562"/>
    </row>
    <row r="41" ht="12.0" customHeight="1">
      <c r="A41" s="553" t="s">
        <v>962</v>
      </c>
      <c r="B41" s="553" t="s">
        <v>81</v>
      </c>
      <c r="C41" s="554" t="s">
        <v>1269</v>
      </c>
      <c r="D41" s="554">
        <v>24.0</v>
      </c>
      <c r="E41" s="554">
        <v>3.0</v>
      </c>
      <c r="F41" s="554" t="s">
        <v>78</v>
      </c>
      <c r="G41" s="554">
        <v>2023.0</v>
      </c>
      <c r="H41" s="555" t="s">
        <v>417</v>
      </c>
      <c r="I41" s="555" t="s">
        <v>418</v>
      </c>
      <c r="J41" s="556">
        <v>47213.0</v>
      </c>
      <c r="K41" s="556">
        <v>46305.0</v>
      </c>
      <c r="L41" s="556">
        <v>46885.0</v>
      </c>
      <c r="M41" s="556"/>
      <c r="N41" s="553"/>
      <c r="O41" s="560"/>
      <c r="P41" s="559"/>
      <c r="Q41" s="560" t="s">
        <v>1270</v>
      </c>
      <c r="R41" s="555"/>
      <c r="S41" s="560"/>
      <c r="T41" s="553" t="s">
        <v>1271</v>
      </c>
      <c r="U41" s="553" t="s">
        <v>1279</v>
      </c>
      <c r="V41" s="564" t="s">
        <v>1279</v>
      </c>
      <c r="W41" s="553" t="s">
        <v>1273</v>
      </c>
      <c r="X41" s="560">
        <v>3.0</v>
      </c>
      <c r="Y41" s="562"/>
      <c r="Z41" s="562"/>
    </row>
    <row r="42" ht="12.0" customHeight="1">
      <c r="A42" s="553" t="s">
        <v>962</v>
      </c>
      <c r="B42" s="553" t="s">
        <v>83</v>
      </c>
      <c r="C42" s="554" t="s">
        <v>1269</v>
      </c>
      <c r="D42" s="554">
        <v>24.0</v>
      </c>
      <c r="E42" s="554">
        <v>3.0</v>
      </c>
      <c r="F42" s="554" t="s">
        <v>78</v>
      </c>
      <c r="G42" s="554">
        <v>2023.0</v>
      </c>
      <c r="H42" s="555" t="s">
        <v>420</v>
      </c>
      <c r="I42" s="555" t="s">
        <v>421</v>
      </c>
      <c r="J42" s="556">
        <v>47225.0</v>
      </c>
      <c r="K42" s="556">
        <v>46317.0</v>
      </c>
      <c r="L42" s="556">
        <v>46941.0</v>
      </c>
      <c r="M42" s="556"/>
      <c r="N42" s="553"/>
      <c r="O42" s="560"/>
      <c r="P42" s="559"/>
      <c r="Q42" s="560" t="s">
        <v>1270</v>
      </c>
      <c r="R42" s="555"/>
      <c r="S42" s="560"/>
      <c r="T42" s="553" t="s">
        <v>1271</v>
      </c>
      <c r="U42" s="553" t="s">
        <v>1279</v>
      </c>
      <c r="V42" s="564" t="s">
        <v>1279</v>
      </c>
      <c r="W42" s="553" t="s">
        <v>1273</v>
      </c>
      <c r="X42" s="560">
        <v>3.0</v>
      </c>
      <c r="Y42" s="562"/>
      <c r="Z42" s="562"/>
    </row>
    <row r="43" ht="12.0" customHeight="1">
      <c r="A43" s="553" t="s">
        <v>962</v>
      </c>
      <c r="B43" s="553" t="s">
        <v>84</v>
      </c>
      <c r="C43" s="554" t="s">
        <v>1269</v>
      </c>
      <c r="D43" s="554">
        <v>16.0</v>
      </c>
      <c r="E43" s="554">
        <v>2.0</v>
      </c>
      <c r="F43" s="554" t="s">
        <v>85</v>
      </c>
      <c r="G43" s="554">
        <v>2022.0</v>
      </c>
      <c r="H43" s="555" t="s">
        <v>423</v>
      </c>
      <c r="I43" s="555" t="s">
        <v>424</v>
      </c>
      <c r="J43" s="556">
        <v>47102.0</v>
      </c>
      <c r="K43" s="556">
        <v>46367.0</v>
      </c>
      <c r="L43" s="556">
        <v>46767.0</v>
      </c>
      <c r="M43" s="556"/>
      <c r="N43" s="553"/>
      <c r="O43" s="560"/>
      <c r="P43" s="559"/>
      <c r="Q43" s="560" t="s">
        <v>1270</v>
      </c>
      <c r="R43" s="555"/>
      <c r="S43" s="560"/>
      <c r="T43" s="553" t="s">
        <v>1271</v>
      </c>
      <c r="U43" s="553" t="s">
        <v>1279</v>
      </c>
      <c r="V43" s="564" t="s">
        <v>1279</v>
      </c>
      <c r="W43" s="553" t="s">
        <v>1273</v>
      </c>
      <c r="X43" s="560">
        <v>4.0</v>
      </c>
      <c r="Y43" s="562"/>
      <c r="Z43" s="562"/>
    </row>
    <row r="44" ht="12.0" customHeight="1">
      <c r="A44" s="553" t="s">
        <v>962</v>
      </c>
      <c r="B44" s="553" t="s">
        <v>86</v>
      </c>
      <c r="C44" s="554" t="s">
        <v>1269</v>
      </c>
      <c r="D44" s="554">
        <v>16.0</v>
      </c>
      <c r="E44" s="554">
        <v>2.0</v>
      </c>
      <c r="F44" s="554" t="s">
        <v>85</v>
      </c>
      <c r="G44" s="554">
        <v>2022.0</v>
      </c>
      <c r="H44" s="555" t="s">
        <v>426</v>
      </c>
      <c r="I44" s="555" t="s">
        <v>427</v>
      </c>
      <c r="J44" s="556">
        <v>47213.0</v>
      </c>
      <c r="K44" s="556">
        <v>46314.0</v>
      </c>
      <c r="L44" s="556">
        <v>46894.0</v>
      </c>
      <c r="M44" s="556"/>
      <c r="N44" s="553"/>
      <c r="O44" s="560"/>
      <c r="P44" s="559"/>
      <c r="Q44" s="560" t="s">
        <v>1270</v>
      </c>
      <c r="R44" s="555"/>
      <c r="S44" s="560"/>
      <c r="T44" s="553" t="s">
        <v>1271</v>
      </c>
      <c r="U44" s="553" t="s">
        <v>1279</v>
      </c>
      <c r="V44" s="564" t="s">
        <v>1279</v>
      </c>
      <c r="W44" s="553" t="s">
        <v>1273</v>
      </c>
      <c r="X44" s="560">
        <v>4.0</v>
      </c>
      <c r="Y44" s="562"/>
      <c r="Z44" s="562"/>
    </row>
    <row r="45" ht="12.0" customHeight="1">
      <c r="A45" s="553" t="s">
        <v>962</v>
      </c>
      <c r="B45" s="553" t="s">
        <v>87</v>
      </c>
      <c r="C45" s="554" t="s">
        <v>1269</v>
      </c>
      <c r="D45" s="554">
        <v>24.0</v>
      </c>
      <c r="E45" s="554">
        <v>3.0</v>
      </c>
      <c r="F45" s="554" t="s">
        <v>85</v>
      </c>
      <c r="G45" s="554">
        <v>2023.0</v>
      </c>
      <c r="H45" s="555" t="s">
        <v>430</v>
      </c>
      <c r="I45" s="555" t="s">
        <v>431</v>
      </c>
      <c r="J45" s="556">
        <v>47184.0</v>
      </c>
      <c r="K45" s="556">
        <v>46277.0</v>
      </c>
      <c r="L45" s="556">
        <v>46806.0</v>
      </c>
      <c r="M45" s="556"/>
      <c r="N45" s="553"/>
      <c r="O45" s="560"/>
      <c r="P45" s="559"/>
      <c r="Q45" s="560" t="s">
        <v>1270</v>
      </c>
      <c r="R45" s="555"/>
      <c r="S45" s="560"/>
      <c r="T45" s="553" t="s">
        <v>1271</v>
      </c>
      <c r="U45" s="553" t="s">
        <v>1279</v>
      </c>
      <c r="V45" s="564" t="s">
        <v>1279</v>
      </c>
      <c r="W45" s="553" t="s">
        <v>1273</v>
      </c>
      <c r="X45" s="560">
        <v>3.0</v>
      </c>
      <c r="Y45" s="562"/>
      <c r="Z45" s="562"/>
    </row>
    <row r="46" ht="12.0" customHeight="1">
      <c r="A46" s="553" t="s">
        <v>962</v>
      </c>
      <c r="B46" s="553" t="s">
        <v>88</v>
      </c>
      <c r="C46" s="554" t="s">
        <v>1269</v>
      </c>
      <c r="D46" s="554">
        <v>8.0</v>
      </c>
      <c r="E46" s="554">
        <v>2.0</v>
      </c>
      <c r="F46" s="554" t="s">
        <v>85</v>
      </c>
      <c r="G46" s="554">
        <v>2022.0</v>
      </c>
      <c r="H46" s="555" t="s">
        <v>434</v>
      </c>
      <c r="I46" s="555" t="s">
        <v>435</v>
      </c>
      <c r="J46" s="556">
        <v>47253.0</v>
      </c>
      <c r="K46" s="556">
        <v>46367.0</v>
      </c>
      <c r="L46" s="556">
        <v>46923.0</v>
      </c>
      <c r="M46" s="556"/>
      <c r="N46" s="553"/>
      <c r="O46" s="560"/>
      <c r="P46" s="559"/>
      <c r="Q46" s="560" t="s">
        <v>1270</v>
      </c>
      <c r="R46" s="555"/>
      <c r="S46" s="560"/>
      <c r="T46" s="553" t="s">
        <v>1271</v>
      </c>
      <c r="U46" s="553" t="s">
        <v>1279</v>
      </c>
      <c r="V46" s="564" t="s">
        <v>1279</v>
      </c>
      <c r="W46" s="553" t="s">
        <v>1273</v>
      </c>
      <c r="X46" s="560">
        <v>4.0</v>
      </c>
      <c r="Y46" s="562"/>
      <c r="Z46" s="562"/>
    </row>
    <row r="47" ht="12.0" customHeight="1">
      <c r="A47" s="553" t="s">
        <v>962</v>
      </c>
      <c r="B47" s="553" t="s">
        <v>89</v>
      </c>
      <c r="C47" s="554" t="s">
        <v>1269</v>
      </c>
      <c r="D47" s="554">
        <v>24.0</v>
      </c>
      <c r="E47" s="554">
        <v>3.0</v>
      </c>
      <c r="F47" s="554" t="s">
        <v>85</v>
      </c>
      <c r="G47" s="554">
        <v>2023.0</v>
      </c>
      <c r="H47" s="555" t="s">
        <v>437</v>
      </c>
      <c r="I47" s="555" t="s">
        <v>438</v>
      </c>
      <c r="J47" s="556">
        <v>47184.0</v>
      </c>
      <c r="K47" s="556">
        <v>46277.0</v>
      </c>
      <c r="L47" s="556">
        <v>46451.0</v>
      </c>
      <c r="M47" s="556"/>
      <c r="N47" s="553"/>
      <c r="O47" s="560"/>
      <c r="P47" s="559"/>
      <c r="Q47" s="560" t="s">
        <v>1270</v>
      </c>
      <c r="R47" s="555"/>
      <c r="S47" s="560"/>
      <c r="T47" s="553" t="s">
        <v>1271</v>
      </c>
      <c r="U47" s="553" t="s">
        <v>1279</v>
      </c>
      <c r="V47" s="564" t="s">
        <v>1279</v>
      </c>
      <c r="W47" s="553" t="s">
        <v>1273</v>
      </c>
      <c r="X47" s="560">
        <v>3.0</v>
      </c>
      <c r="Y47" s="562"/>
      <c r="Z47" s="562"/>
    </row>
    <row r="48" ht="12.0" customHeight="1">
      <c r="A48" s="553" t="s">
        <v>962</v>
      </c>
      <c r="B48" s="553" t="s">
        <v>91</v>
      </c>
      <c r="C48" s="554" t="s">
        <v>1269</v>
      </c>
      <c r="D48" s="554">
        <v>16.0</v>
      </c>
      <c r="E48" s="554">
        <v>2.0</v>
      </c>
      <c r="F48" s="554" t="s">
        <v>85</v>
      </c>
      <c r="G48" s="554">
        <v>2023.0</v>
      </c>
      <c r="H48" s="555" t="s">
        <v>442</v>
      </c>
      <c r="I48" s="555" t="s">
        <v>443</v>
      </c>
      <c r="J48" s="556">
        <v>47596.0</v>
      </c>
      <c r="K48" s="556">
        <v>46337.0</v>
      </c>
      <c r="L48" s="556">
        <v>46542.0</v>
      </c>
      <c r="M48" s="556"/>
      <c r="N48" s="553"/>
      <c r="O48" s="560"/>
      <c r="P48" s="559"/>
      <c r="Q48" s="560" t="s">
        <v>1270</v>
      </c>
      <c r="R48" s="555"/>
      <c r="S48" s="560"/>
      <c r="T48" s="553" t="s">
        <v>1271</v>
      </c>
      <c r="U48" s="553" t="s">
        <v>1279</v>
      </c>
      <c r="V48" s="564" t="s">
        <v>1279</v>
      </c>
      <c r="W48" s="553" t="s">
        <v>1273</v>
      </c>
      <c r="X48" s="560">
        <v>3.0</v>
      </c>
      <c r="Y48" s="562"/>
      <c r="Z48" s="562"/>
    </row>
    <row r="49" ht="12.0" customHeight="1">
      <c r="A49" s="553" t="s">
        <v>962</v>
      </c>
      <c r="B49" s="553" t="s">
        <v>92</v>
      </c>
      <c r="C49" s="554" t="s">
        <v>1269</v>
      </c>
      <c r="D49" s="554">
        <v>16.0</v>
      </c>
      <c r="E49" s="554">
        <v>2.0</v>
      </c>
      <c r="F49" s="554" t="s">
        <v>85</v>
      </c>
      <c r="G49" s="554">
        <v>2024.0</v>
      </c>
      <c r="H49" s="555" t="s">
        <v>446</v>
      </c>
      <c r="I49" s="555" t="s">
        <v>447</v>
      </c>
      <c r="J49" s="556">
        <v>47720.0</v>
      </c>
      <c r="K49" s="556">
        <v>46277.0</v>
      </c>
      <c r="L49" s="556">
        <v>46668.0</v>
      </c>
      <c r="M49" s="556"/>
      <c r="N49" s="553"/>
      <c r="O49" s="560"/>
      <c r="P49" s="559"/>
      <c r="Q49" s="560" t="s">
        <v>1270</v>
      </c>
      <c r="R49" s="555"/>
      <c r="S49" s="560"/>
      <c r="T49" s="553" t="s">
        <v>1271</v>
      </c>
      <c r="U49" s="553" t="s">
        <v>1279</v>
      </c>
      <c r="V49" s="564" t="s">
        <v>1279</v>
      </c>
      <c r="W49" s="553" t="s">
        <v>1273</v>
      </c>
      <c r="X49" s="560">
        <v>2.0</v>
      </c>
      <c r="Y49" s="562"/>
      <c r="Z49" s="562"/>
    </row>
    <row r="50" ht="12.0" customHeight="1">
      <c r="A50" s="553" t="s">
        <v>962</v>
      </c>
      <c r="B50" s="553" t="s">
        <v>93</v>
      </c>
      <c r="C50" s="554" t="s">
        <v>1269</v>
      </c>
      <c r="D50" s="554">
        <v>16.0</v>
      </c>
      <c r="E50" s="554">
        <v>2.0</v>
      </c>
      <c r="F50" s="554" t="s">
        <v>94</v>
      </c>
      <c r="G50" s="554">
        <v>2022.0</v>
      </c>
      <c r="H50" s="555" t="s">
        <v>450</v>
      </c>
      <c r="I50" s="555" t="s">
        <v>451</v>
      </c>
      <c r="J50" s="556">
        <v>46693.0</v>
      </c>
      <c r="K50" s="556">
        <v>46274.0</v>
      </c>
      <c r="L50" s="556">
        <v>46962.0</v>
      </c>
      <c r="M50" s="556"/>
      <c r="N50" s="553"/>
      <c r="O50" s="560"/>
      <c r="P50" s="559"/>
      <c r="Q50" s="560" t="s">
        <v>1270</v>
      </c>
      <c r="R50" s="555"/>
      <c r="S50" s="560"/>
      <c r="T50" s="553" t="s">
        <v>1271</v>
      </c>
      <c r="U50" s="553" t="s">
        <v>1279</v>
      </c>
      <c r="V50" s="564" t="s">
        <v>1279</v>
      </c>
      <c r="W50" s="553" t="s">
        <v>1273</v>
      </c>
      <c r="X50" s="560">
        <v>4.0</v>
      </c>
      <c r="Y50" s="562"/>
      <c r="Z50" s="562"/>
    </row>
    <row r="51" ht="12.0" customHeight="1">
      <c r="A51" s="553" t="s">
        <v>962</v>
      </c>
      <c r="B51" s="553" t="s">
        <v>95</v>
      </c>
      <c r="C51" s="554" t="s">
        <v>1269</v>
      </c>
      <c r="D51" s="554">
        <v>24.0</v>
      </c>
      <c r="E51" s="554">
        <v>3.0</v>
      </c>
      <c r="F51" s="554" t="s">
        <v>94</v>
      </c>
      <c r="G51" s="554">
        <v>2020.0</v>
      </c>
      <c r="H51" s="555" t="s">
        <v>454</v>
      </c>
      <c r="I51" s="555" t="s">
        <v>455</v>
      </c>
      <c r="J51" s="556">
        <v>47720.0</v>
      </c>
      <c r="K51" s="556">
        <v>46421.0</v>
      </c>
      <c r="L51" s="556">
        <v>46942.0</v>
      </c>
      <c r="M51" s="556"/>
      <c r="N51" s="553"/>
      <c r="O51" s="560"/>
      <c r="P51" s="559"/>
      <c r="Q51" s="560" t="s">
        <v>1270</v>
      </c>
      <c r="R51" s="555"/>
      <c r="S51" s="560"/>
      <c r="T51" s="553" t="s">
        <v>1271</v>
      </c>
      <c r="U51" s="553" t="s">
        <v>1278</v>
      </c>
      <c r="V51" s="561" t="s">
        <v>1278</v>
      </c>
      <c r="W51" s="553" t="s">
        <v>1273</v>
      </c>
      <c r="X51" s="560">
        <v>6.0</v>
      </c>
      <c r="Y51" s="562"/>
      <c r="Z51" s="562"/>
    </row>
    <row r="52" ht="12.0" customHeight="1">
      <c r="A52" s="553" t="s">
        <v>962</v>
      </c>
      <c r="B52" s="553" t="s">
        <v>97</v>
      </c>
      <c r="C52" s="554" t="s">
        <v>1269</v>
      </c>
      <c r="D52" s="554">
        <v>24.0</v>
      </c>
      <c r="E52" s="554">
        <v>3.0</v>
      </c>
      <c r="F52" s="554" t="s">
        <v>94</v>
      </c>
      <c r="G52" s="554">
        <v>2020.0</v>
      </c>
      <c r="H52" s="555" t="s">
        <v>457</v>
      </c>
      <c r="I52" s="555" t="s">
        <v>458</v>
      </c>
      <c r="J52" s="556">
        <v>47720.0</v>
      </c>
      <c r="K52" s="556">
        <v>46421.0</v>
      </c>
      <c r="L52" s="556">
        <v>46843.0</v>
      </c>
      <c r="M52" s="556"/>
      <c r="N52" s="553"/>
      <c r="O52" s="560"/>
      <c r="P52" s="559"/>
      <c r="Q52" s="560" t="s">
        <v>1270</v>
      </c>
      <c r="R52" s="555"/>
      <c r="S52" s="560"/>
      <c r="T52" s="553" t="s">
        <v>1271</v>
      </c>
      <c r="U52" s="553" t="s">
        <v>1278</v>
      </c>
      <c r="V52" s="561" t="s">
        <v>1278</v>
      </c>
      <c r="W52" s="553" t="s">
        <v>1273</v>
      </c>
      <c r="X52" s="560">
        <v>6.0</v>
      </c>
      <c r="Y52" s="562"/>
      <c r="Z52" s="562"/>
    </row>
    <row r="53" ht="12.0" customHeight="1">
      <c r="A53" s="553" t="s">
        <v>962</v>
      </c>
      <c r="B53" s="553" t="s">
        <v>98</v>
      </c>
      <c r="C53" s="554" t="s">
        <v>1269</v>
      </c>
      <c r="D53" s="554">
        <v>16.0</v>
      </c>
      <c r="E53" s="554">
        <v>2.0</v>
      </c>
      <c r="F53" s="554" t="s">
        <v>100</v>
      </c>
      <c r="G53" s="554">
        <v>2022.0</v>
      </c>
      <c r="H53" s="555" t="s">
        <v>460</v>
      </c>
      <c r="I53" s="555" t="s">
        <v>461</v>
      </c>
      <c r="J53" s="556">
        <v>46705.0</v>
      </c>
      <c r="K53" s="556">
        <v>46330.0</v>
      </c>
      <c r="L53" s="556">
        <v>46648.0</v>
      </c>
      <c r="M53" s="556"/>
      <c r="N53" s="553"/>
      <c r="O53" s="560"/>
      <c r="P53" s="559"/>
      <c r="Q53" s="560" t="s">
        <v>1270</v>
      </c>
      <c r="R53" s="555"/>
      <c r="S53" s="560"/>
      <c r="T53" s="553" t="s">
        <v>1271</v>
      </c>
      <c r="U53" s="553" t="s">
        <v>1279</v>
      </c>
      <c r="V53" s="561" t="s">
        <v>1279</v>
      </c>
      <c r="W53" s="553" t="s">
        <v>1273</v>
      </c>
      <c r="X53" s="560">
        <v>4.0</v>
      </c>
      <c r="Y53" s="562"/>
      <c r="Z53" s="562"/>
    </row>
    <row r="54" ht="12.0" customHeight="1">
      <c r="A54" s="553" t="s">
        <v>962</v>
      </c>
      <c r="B54" s="553" t="s">
        <v>101</v>
      </c>
      <c r="C54" s="554" t="s">
        <v>1269</v>
      </c>
      <c r="D54" s="554">
        <v>16.0</v>
      </c>
      <c r="E54" s="554">
        <v>2.0</v>
      </c>
      <c r="F54" s="554" t="s">
        <v>100</v>
      </c>
      <c r="G54" s="554">
        <v>2022.0</v>
      </c>
      <c r="H54" s="555" t="s">
        <v>463</v>
      </c>
      <c r="I54" s="555" t="s">
        <v>464</v>
      </c>
      <c r="J54" s="556">
        <v>46706.0</v>
      </c>
      <c r="K54" s="556">
        <v>46330.0</v>
      </c>
      <c r="L54" s="556">
        <v>46339.0</v>
      </c>
      <c r="M54" s="556"/>
      <c r="N54" s="553"/>
      <c r="O54" s="560"/>
      <c r="P54" s="559"/>
      <c r="Q54" s="560" t="s">
        <v>1270</v>
      </c>
      <c r="R54" s="555"/>
      <c r="S54" s="560"/>
      <c r="T54" s="553" t="s">
        <v>1271</v>
      </c>
      <c r="U54" s="553" t="s">
        <v>1279</v>
      </c>
      <c r="V54" s="561" t="s">
        <v>1279</v>
      </c>
      <c r="W54" s="553" t="s">
        <v>1273</v>
      </c>
      <c r="X54" s="560">
        <v>4.0</v>
      </c>
      <c r="Y54" s="562"/>
      <c r="Z54" s="562"/>
    </row>
    <row r="55" ht="12.0" customHeight="1">
      <c r="A55" s="553" t="s">
        <v>962</v>
      </c>
      <c r="B55" s="553" t="s">
        <v>102</v>
      </c>
      <c r="C55" s="554" t="s">
        <v>1269</v>
      </c>
      <c r="D55" s="554">
        <v>16.0</v>
      </c>
      <c r="E55" s="554">
        <v>2.0</v>
      </c>
      <c r="F55" s="554" t="s">
        <v>100</v>
      </c>
      <c r="G55" s="554">
        <v>2023.0</v>
      </c>
      <c r="H55" s="555" t="s">
        <v>468</v>
      </c>
      <c r="I55" s="555" t="s">
        <v>469</v>
      </c>
      <c r="J55" s="556">
        <v>47358.0</v>
      </c>
      <c r="K55" s="556">
        <v>46301.0</v>
      </c>
      <c r="L55" s="556">
        <v>46318.0</v>
      </c>
      <c r="M55" s="556"/>
      <c r="N55" s="553"/>
      <c r="O55" s="560"/>
      <c r="P55" s="559"/>
      <c r="Q55" s="560" t="s">
        <v>1270</v>
      </c>
      <c r="R55" s="555"/>
      <c r="S55" s="560"/>
      <c r="T55" s="553" t="s">
        <v>1271</v>
      </c>
      <c r="U55" s="553" t="s">
        <v>1279</v>
      </c>
      <c r="V55" s="563" t="s">
        <v>1279</v>
      </c>
      <c r="W55" s="553" t="s">
        <v>1273</v>
      </c>
      <c r="X55" s="560">
        <v>3.0</v>
      </c>
      <c r="Y55" s="562"/>
      <c r="Z55" s="562"/>
    </row>
    <row r="56" ht="12.0" customHeight="1">
      <c r="A56" s="553" t="s">
        <v>962</v>
      </c>
      <c r="B56" s="553" t="s">
        <v>103</v>
      </c>
      <c r="C56" s="554" t="s">
        <v>1269</v>
      </c>
      <c r="D56" s="554">
        <v>24.0</v>
      </c>
      <c r="E56" s="554">
        <v>3.0</v>
      </c>
      <c r="F56" s="554" t="s">
        <v>100</v>
      </c>
      <c r="G56" s="554">
        <v>2022.0</v>
      </c>
      <c r="H56" s="555" t="s">
        <v>472</v>
      </c>
      <c r="I56" s="555" t="s">
        <v>473</v>
      </c>
      <c r="J56" s="556">
        <v>46659.0</v>
      </c>
      <c r="K56" s="556">
        <v>46330.0</v>
      </c>
      <c r="L56" s="556">
        <v>46694.0</v>
      </c>
      <c r="M56" s="556"/>
      <c r="N56" s="553"/>
      <c r="O56" s="560"/>
      <c r="P56" s="559"/>
      <c r="Q56" s="560" t="s">
        <v>1270</v>
      </c>
      <c r="R56" s="555"/>
      <c r="S56" s="560"/>
      <c r="T56" s="553" t="s">
        <v>1271</v>
      </c>
      <c r="U56" s="553" t="s">
        <v>1279</v>
      </c>
      <c r="V56" s="563" t="s">
        <v>1279</v>
      </c>
      <c r="W56" s="553" t="s">
        <v>1273</v>
      </c>
      <c r="X56" s="560">
        <v>4.0</v>
      </c>
      <c r="Y56" s="562"/>
      <c r="Z56" s="562"/>
    </row>
    <row r="57" ht="12.0" customHeight="1">
      <c r="A57" s="553" t="s">
        <v>962</v>
      </c>
      <c r="B57" s="553" t="s">
        <v>104</v>
      </c>
      <c r="C57" s="554" t="s">
        <v>1269</v>
      </c>
      <c r="D57" s="554">
        <v>16.0</v>
      </c>
      <c r="E57" s="554">
        <v>2.0</v>
      </c>
      <c r="F57" s="554" t="s">
        <v>105</v>
      </c>
      <c r="G57" s="554">
        <v>2023.0</v>
      </c>
      <c r="H57" s="555" t="s">
        <v>475</v>
      </c>
      <c r="I57" s="555" t="s">
        <v>476</v>
      </c>
      <c r="J57" s="556">
        <v>46924.0</v>
      </c>
      <c r="K57" s="556">
        <v>46346.0</v>
      </c>
      <c r="L57" s="556">
        <v>46563.0</v>
      </c>
      <c r="M57" s="556"/>
      <c r="N57" s="553"/>
      <c r="O57" s="560"/>
      <c r="P57" s="559"/>
      <c r="Q57" s="560" t="s">
        <v>1270</v>
      </c>
      <c r="R57" s="555"/>
      <c r="S57" s="560"/>
      <c r="T57" s="553" t="s">
        <v>1271</v>
      </c>
      <c r="U57" s="553" t="s">
        <v>1279</v>
      </c>
      <c r="V57" s="564" t="s">
        <v>1279</v>
      </c>
      <c r="W57" s="553" t="s">
        <v>1273</v>
      </c>
      <c r="X57" s="560">
        <v>3.0</v>
      </c>
      <c r="Y57" s="562"/>
      <c r="Z57" s="562"/>
    </row>
    <row r="58" ht="12.0" customHeight="1">
      <c r="A58" s="553" t="s">
        <v>962</v>
      </c>
      <c r="B58" s="553" t="s">
        <v>106</v>
      </c>
      <c r="C58" s="554" t="s">
        <v>1269</v>
      </c>
      <c r="D58" s="554">
        <v>24.0</v>
      </c>
      <c r="E58" s="554">
        <v>3.0</v>
      </c>
      <c r="F58" s="554" t="s">
        <v>105</v>
      </c>
      <c r="G58" s="554">
        <v>2022.0</v>
      </c>
      <c r="H58" s="555" t="s">
        <v>481</v>
      </c>
      <c r="I58" s="555" t="s">
        <v>482</v>
      </c>
      <c r="J58" s="556">
        <v>46782.0</v>
      </c>
      <c r="K58" s="556">
        <v>46438.0</v>
      </c>
      <c r="L58" s="556">
        <v>46438.0</v>
      </c>
      <c r="M58" s="556"/>
      <c r="N58" s="553"/>
      <c r="O58" s="560"/>
      <c r="P58" s="559"/>
      <c r="Q58" s="560" t="s">
        <v>1270</v>
      </c>
      <c r="R58" s="555"/>
      <c r="S58" s="560"/>
      <c r="T58" s="553" t="s">
        <v>1271</v>
      </c>
      <c r="U58" s="553" t="s">
        <v>1279</v>
      </c>
      <c r="V58" s="563" t="s">
        <v>1279</v>
      </c>
      <c r="W58" s="553" t="s">
        <v>1273</v>
      </c>
      <c r="X58" s="560">
        <v>4.0</v>
      </c>
      <c r="Y58" s="562"/>
      <c r="Z58" s="562"/>
    </row>
    <row r="59" ht="12.0" customHeight="1">
      <c r="A59" s="553" t="s">
        <v>962</v>
      </c>
      <c r="B59" s="553" t="s">
        <v>108</v>
      </c>
      <c r="C59" s="554" t="s">
        <v>1269</v>
      </c>
      <c r="D59" s="554">
        <v>16.0</v>
      </c>
      <c r="E59" s="554">
        <v>2.0</v>
      </c>
      <c r="F59" s="554" t="s">
        <v>109</v>
      </c>
      <c r="G59" s="554">
        <v>2023.0</v>
      </c>
      <c r="H59" s="555" t="s">
        <v>487</v>
      </c>
      <c r="I59" s="555" t="s">
        <v>488</v>
      </c>
      <c r="J59" s="556">
        <v>47071.0</v>
      </c>
      <c r="K59" s="556">
        <v>46333.0</v>
      </c>
      <c r="L59" s="556">
        <v>46711.0</v>
      </c>
      <c r="M59" s="556"/>
      <c r="N59" s="553"/>
      <c r="O59" s="560"/>
      <c r="P59" s="559"/>
      <c r="Q59" s="560" t="s">
        <v>1270</v>
      </c>
      <c r="R59" s="555"/>
      <c r="S59" s="560"/>
      <c r="T59" s="553" t="s">
        <v>1271</v>
      </c>
      <c r="U59" s="553" t="s">
        <v>1279</v>
      </c>
      <c r="V59" s="564" t="s">
        <v>1279</v>
      </c>
      <c r="W59" s="553" t="s">
        <v>1273</v>
      </c>
      <c r="X59" s="560">
        <v>3.0</v>
      </c>
      <c r="Y59" s="562"/>
      <c r="Z59" s="562"/>
    </row>
    <row r="60" ht="12.0" customHeight="1">
      <c r="A60" s="553" t="s">
        <v>962</v>
      </c>
      <c r="B60" s="553" t="s">
        <v>110</v>
      </c>
      <c r="C60" s="554" t="s">
        <v>1269</v>
      </c>
      <c r="D60" s="554">
        <v>16.0</v>
      </c>
      <c r="E60" s="554">
        <v>2.0</v>
      </c>
      <c r="F60" s="554" t="s">
        <v>109</v>
      </c>
      <c r="G60" s="554">
        <v>2023.0</v>
      </c>
      <c r="H60" s="555" t="s">
        <v>494</v>
      </c>
      <c r="I60" s="555" t="s">
        <v>495</v>
      </c>
      <c r="J60" s="556">
        <v>47071.0</v>
      </c>
      <c r="K60" s="556">
        <v>46333.0</v>
      </c>
      <c r="L60" s="556">
        <v>46526.0</v>
      </c>
      <c r="M60" s="556"/>
      <c r="N60" s="553"/>
      <c r="O60" s="560"/>
      <c r="P60" s="559"/>
      <c r="Q60" s="560" t="s">
        <v>1270</v>
      </c>
      <c r="R60" s="555"/>
      <c r="S60" s="560"/>
      <c r="T60" s="553" t="s">
        <v>1271</v>
      </c>
      <c r="U60" s="553" t="s">
        <v>1279</v>
      </c>
      <c r="V60" s="564" t="s">
        <v>1279</v>
      </c>
      <c r="W60" s="553" t="s">
        <v>1273</v>
      </c>
      <c r="X60" s="560">
        <v>3.0</v>
      </c>
      <c r="Y60" s="562"/>
      <c r="Z60" s="562"/>
    </row>
    <row r="61" ht="12.0" customHeight="1">
      <c r="A61" s="553" t="s">
        <v>962</v>
      </c>
      <c r="B61" s="553" t="s">
        <v>111</v>
      </c>
      <c r="C61" s="554" t="s">
        <v>1269</v>
      </c>
      <c r="D61" s="554">
        <v>16.0</v>
      </c>
      <c r="E61" s="554">
        <v>2.0</v>
      </c>
      <c r="F61" s="554" t="s">
        <v>109</v>
      </c>
      <c r="G61" s="554">
        <v>2023.0</v>
      </c>
      <c r="H61" s="555" t="s">
        <v>506</v>
      </c>
      <c r="I61" s="555" t="s">
        <v>507</v>
      </c>
      <c r="J61" s="556">
        <v>47071.0</v>
      </c>
      <c r="K61" s="556">
        <v>46333.0</v>
      </c>
      <c r="L61" s="556">
        <v>46711.0</v>
      </c>
      <c r="M61" s="556"/>
      <c r="N61" s="553"/>
      <c r="O61" s="560"/>
      <c r="P61" s="559"/>
      <c r="Q61" s="560" t="s">
        <v>1270</v>
      </c>
      <c r="R61" s="555"/>
      <c r="S61" s="560"/>
      <c r="T61" s="553" t="s">
        <v>1271</v>
      </c>
      <c r="U61" s="553" t="s">
        <v>1279</v>
      </c>
      <c r="V61" s="564" t="s">
        <v>1279</v>
      </c>
      <c r="W61" s="553" t="s">
        <v>1273</v>
      </c>
      <c r="X61" s="560">
        <v>3.0</v>
      </c>
      <c r="Y61" s="562"/>
      <c r="Z61" s="562"/>
    </row>
    <row r="62" ht="12.0" customHeight="1">
      <c r="A62" s="553" t="s">
        <v>962</v>
      </c>
      <c r="B62" s="553" t="s">
        <v>113</v>
      </c>
      <c r="C62" s="554" t="s">
        <v>1269</v>
      </c>
      <c r="D62" s="554">
        <v>24.0</v>
      </c>
      <c r="E62" s="554">
        <v>3.0</v>
      </c>
      <c r="F62" s="554" t="s">
        <v>109</v>
      </c>
      <c r="G62" s="554">
        <v>2023.0</v>
      </c>
      <c r="H62" s="555" t="s">
        <v>514</v>
      </c>
      <c r="I62" s="555" t="s">
        <v>515</v>
      </c>
      <c r="J62" s="556">
        <v>47115.0</v>
      </c>
      <c r="K62" s="556">
        <v>46395.0</v>
      </c>
      <c r="L62" s="556">
        <v>46771.0</v>
      </c>
      <c r="M62" s="556"/>
      <c r="N62" s="553"/>
      <c r="O62" s="560"/>
      <c r="P62" s="559"/>
      <c r="Q62" s="560" t="s">
        <v>1270</v>
      </c>
      <c r="R62" s="555"/>
      <c r="S62" s="560"/>
      <c r="T62" s="553" t="s">
        <v>1271</v>
      </c>
      <c r="U62" s="553" t="s">
        <v>1279</v>
      </c>
      <c r="V62" s="564" t="s">
        <v>1279</v>
      </c>
      <c r="W62" s="553" t="s">
        <v>1273</v>
      </c>
      <c r="X62" s="560">
        <v>3.0</v>
      </c>
      <c r="Y62" s="562"/>
      <c r="Z62" s="562"/>
    </row>
    <row r="63" ht="12.0" customHeight="1">
      <c r="A63" s="553" t="s">
        <v>962</v>
      </c>
      <c r="B63" s="553" t="s">
        <v>114</v>
      </c>
      <c r="C63" s="554" t="s">
        <v>1269</v>
      </c>
      <c r="D63" s="554">
        <v>24.0</v>
      </c>
      <c r="E63" s="554">
        <v>3.0</v>
      </c>
      <c r="F63" s="554" t="s">
        <v>109</v>
      </c>
      <c r="G63" s="554">
        <v>2023.0</v>
      </c>
      <c r="H63" s="555" t="s">
        <v>523</v>
      </c>
      <c r="I63" s="555" t="s">
        <v>524</v>
      </c>
      <c r="J63" s="556">
        <v>47133.0</v>
      </c>
      <c r="K63" s="556">
        <v>46395.0</v>
      </c>
      <c r="L63" s="556">
        <v>46401.0</v>
      </c>
      <c r="M63" s="556"/>
      <c r="N63" s="553"/>
      <c r="O63" s="560"/>
      <c r="P63" s="559"/>
      <c r="Q63" s="560" t="s">
        <v>1270</v>
      </c>
      <c r="R63" s="555"/>
      <c r="S63" s="560"/>
      <c r="T63" s="553" t="s">
        <v>1271</v>
      </c>
      <c r="U63" s="553" t="s">
        <v>1279</v>
      </c>
      <c r="V63" s="564" t="s">
        <v>1279</v>
      </c>
      <c r="W63" s="553" t="s">
        <v>1273</v>
      </c>
      <c r="X63" s="560">
        <v>3.0</v>
      </c>
      <c r="Y63" s="562"/>
      <c r="Z63" s="562"/>
    </row>
    <row r="64" ht="12.0" customHeight="1">
      <c r="A64" s="553" t="s">
        <v>962</v>
      </c>
      <c r="B64" s="553" t="s">
        <v>115</v>
      </c>
      <c r="C64" s="554" t="s">
        <v>316</v>
      </c>
      <c r="D64" s="554">
        <v>16.0</v>
      </c>
      <c r="E64" s="554">
        <v>2.0</v>
      </c>
      <c r="F64" s="554" t="s">
        <v>116</v>
      </c>
      <c r="G64" s="554">
        <v>2018.0</v>
      </c>
      <c r="H64" s="555" t="s">
        <v>535</v>
      </c>
      <c r="I64" s="555" t="s">
        <v>536</v>
      </c>
      <c r="J64" s="556">
        <v>46999.0</v>
      </c>
      <c r="K64" s="556">
        <v>46445.0</v>
      </c>
      <c r="L64" s="556">
        <v>46648.0</v>
      </c>
      <c r="M64" s="556"/>
      <c r="N64" s="553"/>
      <c r="O64" s="560"/>
      <c r="P64" s="559"/>
      <c r="Q64" s="560" t="s">
        <v>316</v>
      </c>
      <c r="R64" s="555"/>
      <c r="S64" s="560"/>
      <c r="T64" s="553" t="s">
        <v>1271</v>
      </c>
      <c r="U64" s="553" t="s">
        <v>1279</v>
      </c>
      <c r="V64" s="561" t="s">
        <v>1279</v>
      </c>
      <c r="W64" s="553" t="s">
        <v>1273</v>
      </c>
      <c r="X64" s="560">
        <v>8.0</v>
      </c>
      <c r="Y64" s="562"/>
      <c r="Z64" s="562"/>
    </row>
    <row r="65" ht="12.0" customHeight="1">
      <c r="A65" s="553" t="s">
        <v>962</v>
      </c>
      <c r="B65" s="553" t="s">
        <v>117</v>
      </c>
      <c r="C65" s="554" t="s">
        <v>1269</v>
      </c>
      <c r="D65" s="554">
        <v>16.0</v>
      </c>
      <c r="E65" s="554">
        <v>2.0</v>
      </c>
      <c r="F65" s="554" t="s">
        <v>118</v>
      </c>
      <c r="G65" s="554">
        <v>2023.0</v>
      </c>
      <c r="H65" s="555" t="s">
        <v>548</v>
      </c>
      <c r="I65" s="555" t="s">
        <v>549</v>
      </c>
      <c r="J65" s="556">
        <v>47199.0</v>
      </c>
      <c r="K65" s="556">
        <v>46304.0</v>
      </c>
      <c r="L65" s="556">
        <v>46493.0</v>
      </c>
      <c r="M65" s="556"/>
      <c r="N65" s="553"/>
      <c r="O65" s="560"/>
      <c r="P65" s="559"/>
      <c r="Q65" s="560" t="s">
        <v>1270</v>
      </c>
      <c r="R65" s="555"/>
      <c r="S65" s="560"/>
      <c r="T65" s="553" t="s">
        <v>1271</v>
      </c>
      <c r="U65" s="553" t="s">
        <v>1279</v>
      </c>
      <c r="V65" s="563" t="s">
        <v>1279</v>
      </c>
      <c r="W65" s="553" t="s">
        <v>1273</v>
      </c>
      <c r="X65" s="560">
        <v>3.0</v>
      </c>
      <c r="Y65" s="562"/>
      <c r="Z65" s="562"/>
    </row>
    <row r="66" ht="12.0" customHeight="1">
      <c r="A66" s="553" t="s">
        <v>962</v>
      </c>
      <c r="B66" s="553" t="s">
        <v>119</v>
      </c>
      <c r="C66" s="554" t="s">
        <v>1269</v>
      </c>
      <c r="D66" s="554">
        <v>16.0</v>
      </c>
      <c r="E66" s="554">
        <v>2.0</v>
      </c>
      <c r="F66" s="554" t="s">
        <v>118</v>
      </c>
      <c r="G66" s="554">
        <v>2024.0</v>
      </c>
      <c r="H66" s="555" t="s">
        <v>557</v>
      </c>
      <c r="I66" s="555" t="s">
        <v>558</v>
      </c>
      <c r="J66" s="556">
        <v>47360.0</v>
      </c>
      <c r="K66" s="556">
        <v>46448.0</v>
      </c>
      <c r="L66" s="556">
        <v>46277.0</v>
      </c>
      <c r="M66" s="556"/>
      <c r="N66" s="553"/>
      <c r="O66" s="560"/>
      <c r="P66" s="559"/>
      <c r="Q66" s="560" t="s">
        <v>1270</v>
      </c>
      <c r="R66" s="555"/>
      <c r="S66" s="560"/>
      <c r="T66" s="553" t="s">
        <v>1271</v>
      </c>
      <c r="U66" s="553" t="s">
        <v>1279</v>
      </c>
      <c r="V66" s="561" t="s">
        <v>1279</v>
      </c>
      <c r="W66" s="553" t="s">
        <v>1273</v>
      </c>
      <c r="X66" s="560">
        <v>2.0</v>
      </c>
      <c r="Y66" s="562"/>
      <c r="Z66" s="562"/>
    </row>
    <row r="67" ht="12.0" customHeight="1">
      <c r="A67" s="553" t="s">
        <v>962</v>
      </c>
      <c r="B67" s="553" t="s">
        <v>120</v>
      </c>
      <c r="C67" s="554" t="s">
        <v>1269</v>
      </c>
      <c r="D67" s="554">
        <v>8.0</v>
      </c>
      <c r="E67" s="554">
        <v>2.0</v>
      </c>
      <c r="F67" s="554" t="s">
        <v>118</v>
      </c>
      <c r="G67" s="554">
        <v>2024.0</v>
      </c>
      <c r="H67" s="555" t="s">
        <v>570</v>
      </c>
      <c r="I67" s="555" t="s">
        <v>571</v>
      </c>
      <c r="J67" s="556">
        <v>47337.0</v>
      </c>
      <c r="K67" s="556">
        <v>46449.0</v>
      </c>
      <c r="L67" s="556">
        <v>46962.0</v>
      </c>
      <c r="M67" s="556"/>
      <c r="N67" s="553"/>
      <c r="O67" s="560"/>
      <c r="P67" s="559"/>
      <c r="Q67" s="560" t="s">
        <v>1270</v>
      </c>
      <c r="R67" s="555"/>
      <c r="S67" s="560"/>
      <c r="T67" s="553" t="s">
        <v>1271</v>
      </c>
      <c r="U67" s="553" t="s">
        <v>1279</v>
      </c>
      <c r="V67" s="564" t="s">
        <v>1279</v>
      </c>
      <c r="W67" s="553" t="s">
        <v>1273</v>
      </c>
      <c r="X67" s="560">
        <v>2.0</v>
      </c>
      <c r="Y67" s="562"/>
      <c r="Z67" s="562"/>
    </row>
    <row r="68" ht="12.0" customHeight="1">
      <c r="A68" s="553" t="s">
        <v>962</v>
      </c>
      <c r="B68" s="553" t="s">
        <v>121</v>
      </c>
      <c r="C68" s="554" t="s">
        <v>316</v>
      </c>
      <c r="D68" s="554">
        <v>16.0</v>
      </c>
      <c r="E68" s="554">
        <v>2.0</v>
      </c>
      <c r="F68" s="554" t="s">
        <v>118</v>
      </c>
      <c r="G68" s="554">
        <v>2024.0</v>
      </c>
      <c r="H68" s="555" t="s">
        <v>582</v>
      </c>
      <c r="I68" s="555" t="s">
        <v>583</v>
      </c>
      <c r="J68" s="556">
        <v>47673.0</v>
      </c>
      <c r="K68" s="556">
        <v>46437.0</v>
      </c>
      <c r="L68" s="556">
        <v>46625.0</v>
      </c>
      <c r="M68" s="556"/>
      <c r="N68" s="553"/>
      <c r="O68" s="560"/>
      <c r="P68" s="559"/>
      <c r="Q68" s="560" t="s">
        <v>316</v>
      </c>
      <c r="R68" s="555"/>
      <c r="S68" s="560"/>
      <c r="T68" s="553" t="s">
        <v>1271</v>
      </c>
      <c r="U68" s="553" t="s">
        <v>1279</v>
      </c>
      <c r="V68" s="564" t="s">
        <v>1279</v>
      </c>
      <c r="W68" s="553" t="s">
        <v>1273</v>
      </c>
      <c r="X68" s="560">
        <v>2.0</v>
      </c>
      <c r="Y68" s="562"/>
      <c r="Z68" s="562"/>
    </row>
    <row r="69" ht="12.0" customHeight="1">
      <c r="A69" s="553" t="s">
        <v>962</v>
      </c>
      <c r="B69" s="553" t="s">
        <v>122</v>
      </c>
      <c r="C69" s="554" t="s">
        <v>1269</v>
      </c>
      <c r="D69" s="554">
        <v>16.0</v>
      </c>
      <c r="E69" s="554">
        <v>2.0</v>
      </c>
      <c r="F69" s="554" t="s">
        <v>118</v>
      </c>
      <c r="G69" s="554">
        <v>2024.0</v>
      </c>
      <c r="H69" s="555" t="s">
        <v>596</v>
      </c>
      <c r="I69" s="555" t="s">
        <v>597</v>
      </c>
      <c r="J69" s="556">
        <v>47563.0</v>
      </c>
      <c r="K69" s="556">
        <v>46449.0</v>
      </c>
      <c r="L69" s="556">
        <v>46492.0</v>
      </c>
      <c r="M69" s="556"/>
      <c r="N69" s="553"/>
      <c r="O69" s="560"/>
      <c r="P69" s="559"/>
      <c r="Q69" s="560" t="s">
        <v>1270</v>
      </c>
      <c r="R69" s="555"/>
      <c r="S69" s="560"/>
      <c r="T69" s="553" t="s">
        <v>1271</v>
      </c>
      <c r="U69" s="553" t="s">
        <v>1279</v>
      </c>
      <c r="V69" s="564" t="s">
        <v>1279</v>
      </c>
      <c r="W69" s="553" t="s">
        <v>1273</v>
      </c>
      <c r="X69" s="560">
        <v>2.0</v>
      </c>
      <c r="Y69" s="562"/>
      <c r="Z69" s="562"/>
    </row>
    <row r="70" ht="12.0" customHeight="1">
      <c r="A70" s="553" t="s">
        <v>962</v>
      </c>
      <c r="B70" s="553" t="s">
        <v>123</v>
      </c>
      <c r="C70" s="554" t="s">
        <v>1269</v>
      </c>
      <c r="D70" s="554">
        <v>24.0</v>
      </c>
      <c r="E70" s="554">
        <v>3.0</v>
      </c>
      <c r="F70" s="554" t="s">
        <v>124</v>
      </c>
      <c r="G70" s="554">
        <v>2025.0</v>
      </c>
      <c r="H70" s="555" t="s">
        <v>611</v>
      </c>
      <c r="I70" s="555" t="s">
        <v>612</v>
      </c>
      <c r="J70" s="556">
        <v>47937.0</v>
      </c>
      <c r="K70" s="556">
        <v>46301.0</v>
      </c>
      <c r="L70" s="556">
        <v>46856.0</v>
      </c>
      <c r="M70" s="556"/>
      <c r="N70" s="553"/>
      <c r="O70" s="560"/>
      <c r="P70" s="559"/>
      <c r="Q70" s="560" t="s">
        <v>1270</v>
      </c>
      <c r="R70" s="555"/>
      <c r="S70" s="560"/>
      <c r="T70" s="553" t="s">
        <v>1271</v>
      </c>
      <c r="U70" s="553" t="s">
        <v>1279</v>
      </c>
      <c r="V70" s="564" t="s">
        <v>1279</v>
      </c>
      <c r="W70" s="553" t="s">
        <v>1273</v>
      </c>
      <c r="X70" s="560">
        <v>1.0</v>
      </c>
      <c r="Y70" s="562"/>
      <c r="Z70" s="562"/>
    </row>
    <row r="71" ht="12.0" customHeight="1">
      <c r="A71" s="553" t="s">
        <v>962</v>
      </c>
      <c r="B71" s="553" t="s">
        <v>125</v>
      </c>
      <c r="C71" s="554" t="s">
        <v>1269</v>
      </c>
      <c r="D71" s="554">
        <v>24.0</v>
      </c>
      <c r="E71" s="554">
        <v>3.0</v>
      </c>
      <c r="F71" s="554" t="s">
        <v>124</v>
      </c>
      <c r="G71" s="554">
        <v>2025.0</v>
      </c>
      <c r="H71" s="555" t="s">
        <v>618</v>
      </c>
      <c r="I71" s="555" t="s">
        <v>619</v>
      </c>
      <c r="J71" s="556">
        <v>47911.0</v>
      </c>
      <c r="K71" s="556">
        <v>46278.0</v>
      </c>
      <c r="L71" s="556">
        <v>46829.0</v>
      </c>
      <c r="M71" s="556"/>
      <c r="N71" s="553"/>
      <c r="O71" s="560"/>
      <c r="P71" s="559"/>
      <c r="Q71" s="560" t="s">
        <v>1270</v>
      </c>
      <c r="R71" s="555"/>
      <c r="S71" s="560"/>
      <c r="T71" s="553" t="s">
        <v>1271</v>
      </c>
      <c r="U71" s="553" t="s">
        <v>1279</v>
      </c>
      <c r="V71" s="564" t="s">
        <v>1279</v>
      </c>
      <c r="W71" s="553" t="s">
        <v>1273</v>
      </c>
      <c r="X71" s="560">
        <v>1.0</v>
      </c>
      <c r="Y71" s="562"/>
      <c r="Z71" s="562"/>
    </row>
    <row r="72" ht="12.0" customHeight="1">
      <c r="A72" s="553" t="s">
        <v>962</v>
      </c>
      <c r="B72" s="553" t="s">
        <v>127</v>
      </c>
      <c r="C72" s="554" t="s">
        <v>1269</v>
      </c>
      <c r="D72" s="554">
        <v>24.0</v>
      </c>
      <c r="E72" s="554">
        <v>3.0</v>
      </c>
      <c r="F72" s="554" t="s">
        <v>124</v>
      </c>
      <c r="G72" s="554">
        <v>2022.0</v>
      </c>
      <c r="H72" s="555" t="s">
        <v>621</v>
      </c>
      <c r="I72" s="555" t="s">
        <v>622</v>
      </c>
      <c r="J72" s="556">
        <v>46639.0</v>
      </c>
      <c r="K72" s="556">
        <v>46301.0</v>
      </c>
      <c r="L72" s="556">
        <v>46312.0</v>
      </c>
      <c r="M72" s="556"/>
      <c r="N72" s="553"/>
      <c r="O72" s="560"/>
      <c r="P72" s="559"/>
      <c r="Q72" s="560" t="s">
        <v>1270</v>
      </c>
      <c r="R72" s="555"/>
      <c r="S72" s="560"/>
      <c r="T72" s="553" t="s">
        <v>1271</v>
      </c>
      <c r="U72" s="553" t="s">
        <v>1279</v>
      </c>
      <c r="V72" s="564" t="s">
        <v>1279</v>
      </c>
      <c r="W72" s="553" t="s">
        <v>1273</v>
      </c>
      <c r="X72" s="560">
        <v>4.0</v>
      </c>
      <c r="Y72" s="562"/>
      <c r="Z72" s="562"/>
    </row>
    <row r="73" ht="12.0" customHeight="1">
      <c r="A73" s="553" t="s">
        <v>962</v>
      </c>
      <c r="B73" s="553" t="s">
        <v>129</v>
      </c>
      <c r="C73" s="554" t="s">
        <v>1269</v>
      </c>
      <c r="D73" s="554">
        <v>24.0</v>
      </c>
      <c r="E73" s="554">
        <v>3.0</v>
      </c>
      <c r="F73" s="554" t="s">
        <v>133</v>
      </c>
      <c r="G73" s="554">
        <v>2024.0</v>
      </c>
      <c r="H73" s="555" t="s">
        <v>624</v>
      </c>
      <c r="I73" s="555" t="s">
        <v>625</v>
      </c>
      <c r="J73" s="556">
        <v>47645.0</v>
      </c>
      <c r="K73" s="556">
        <v>46364.0</v>
      </c>
      <c r="L73" s="556">
        <v>46576.0</v>
      </c>
      <c r="M73" s="556"/>
      <c r="N73" s="553"/>
      <c r="O73" s="560"/>
      <c r="P73" s="559"/>
      <c r="Q73" s="560" t="s">
        <v>1270</v>
      </c>
      <c r="R73" s="555"/>
      <c r="S73" s="560"/>
      <c r="T73" s="553" t="s">
        <v>1271</v>
      </c>
      <c r="U73" s="553" t="s">
        <v>1279</v>
      </c>
      <c r="V73" s="564" t="s">
        <v>1279</v>
      </c>
      <c r="W73" s="553" t="s">
        <v>1273</v>
      </c>
      <c r="X73" s="560">
        <v>2.0</v>
      </c>
      <c r="Y73" s="562"/>
      <c r="Z73" s="562"/>
    </row>
    <row r="74" ht="12.0" customHeight="1">
      <c r="A74" s="553" t="s">
        <v>962</v>
      </c>
      <c r="B74" s="553" t="s">
        <v>134</v>
      </c>
      <c r="C74" s="554" t="s">
        <v>1269</v>
      </c>
      <c r="D74" s="554">
        <v>24.0</v>
      </c>
      <c r="E74" s="554">
        <v>3.0</v>
      </c>
      <c r="F74" s="554" t="s">
        <v>133</v>
      </c>
      <c r="G74" s="554">
        <v>2024.0</v>
      </c>
      <c r="H74" s="555" t="s">
        <v>627</v>
      </c>
      <c r="I74" s="555" t="s">
        <v>628</v>
      </c>
      <c r="J74" s="556">
        <v>47668.0</v>
      </c>
      <c r="K74" s="556">
        <v>46364.0</v>
      </c>
      <c r="L74" s="556">
        <v>46591.0</v>
      </c>
      <c r="M74" s="556"/>
      <c r="N74" s="553"/>
      <c r="O74" s="560"/>
      <c r="P74" s="559"/>
      <c r="Q74" s="560" t="s">
        <v>1270</v>
      </c>
      <c r="R74" s="555"/>
      <c r="S74" s="560"/>
      <c r="T74" s="553" t="s">
        <v>1271</v>
      </c>
      <c r="U74" s="553" t="s">
        <v>1279</v>
      </c>
      <c r="V74" s="564" t="s">
        <v>1279</v>
      </c>
      <c r="W74" s="553" t="s">
        <v>1273</v>
      </c>
      <c r="X74" s="560">
        <v>2.0</v>
      </c>
      <c r="Y74" s="562"/>
      <c r="Z74" s="562"/>
    </row>
    <row r="75" ht="12.0" customHeight="1">
      <c r="A75" s="553" t="s">
        <v>962</v>
      </c>
      <c r="B75" s="553" t="s">
        <v>135</v>
      </c>
      <c r="C75" s="554" t="s">
        <v>316</v>
      </c>
      <c r="D75" s="554">
        <v>16.0</v>
      </c>
      <c r="E75" s="554">
        <v>2.0</v>
      </c>
      <c r="F75" s="554" t="s">
        <v>142</v>
      </c>
      <c r="G75" s="554">
        <v>2017.0</v>
      </c>
      <c r="H75" s="555" t="s">
        <v>630</v>
      </c>
      <c r="I75" s="555" t="s">
        <v>631</v>
      </c>
      <c r="J75" s="556">
        <v>46831.0</v>
      </c>
      <c r="K75" s="556">
        <v>46338.0</v>
      </c>
      <c r="L75" s="556">
        <v>46436.0</v>
      </c>
      <c r="M75" s="556"/>
      <c r="N75" s="553"/>
      <c r="O75" s="560"/>
      <c r="P75" s="559"/>
      <c r="Q75" s="560" t="s">
        <v>316</v>
      </c>
      <c r="R75" s="555"/>
      <c r="S75" s="560"/>
      <c r="T75" s="553" t="s">
        <v>1271</v>
      </c>
      <c r="U75" s="553" t="s">
        <v>1272</v>
      </c>
      <c r="V75" s="564" t="s">
        <v>1272</v>
      </c>
      <c r="W75" s="553" t="s">
        <v>1273</v>
      </c>
      <c r="X75" s="560">
        <v>9.0</v>
      </c>
      <c r="Y75" s="562"/>
      <c r="Z75" s="562"/>
    </row>
    <row r="76" ht="12.0" customHeight="1">
      <c r="A76" s="553" t="s">
        <v>962</v>
      </c>
      <c r="B76" s="553" t="s">
        <v>145</v>
      </c>
      <c r="C76" s="554" t="s">
        <v>1269</v>
      </c>
      <c r="D76" s="554">
        <v>24.0</v>
      </c>
      <c r="E76" s="554">
        <v>3.0</v>
      </c>
      <c r="F76" s="554" t="s">
        <v>142</v>
      </c>
      <c r="G76" s="554">
        <v>2019.0</v>
      </c>
      <c r="H76" s="555" t="s">
        <v>633</v>
      </c>
      <c r="I76" s="555" t="s">
        <v>634</v>
      </c>
      <c r="J76" s="556">
        <v>47402.0</v>
      </c>
      <c r="K76" s="556">
        <v>46355.0</v>
      </c>
      <c r="L76" s="556">
        <v>46815.0</v>
      </c>
      <c r="M76" s="556"/>
      <c r="N76" s="553"/>
      <c r="O76" s="560"/>
      <c r="P76" s="559"/>
      <c r="Q76" s="560" t="s">
        <v>1270</v>
      </c>
      <c r="R76" s="555"/>
      <c r="S76" s="560"/>
      <c r="T76" s="553" t="s">
        <v>1271</v>
      </c>
      <c r="U76" s="553" t="s">
        <v>1278</v>
      </c>
      <c r="V76" s="564" t="s">
        <v>1278</v>
      </c>
      <c r="W76" s="553" t="s">
        <v>1273</v>
      </c>
      <c r="X76" s="560">
        <v>7.0</v>
      </c>
      <c r="Y76" s="562"/>
      <c r="Z76" s="562"/>
    </row>
    <row r="77" ht="12.0" customHeight="1">
      <c r="A77" s="553" t="s">
        <v>962</v>
      </c>
      <c r="B77" s="553" t="s">
        <v>147</v>
      </c>
      <c r="C77" s="554" t="s">
        <v>1269</v>
      </c>
      <c r="D77" s="554">
        <v>16.0</v>
      </c>
      <c r="E77" s="554">
        <v>2.0</v>
      </c>
      <c r="F77" s="554" t="s">
        <v>142</v>
      </c>
      <c r="G77" s="554">
        <v>2019.0</v>
      </c>
      <c r="H77" s="555" t="s">
        <v>636</v>
      </c>
      <c r="I77" s="555" t="s">
        <v>637</v>
      </c>
      <c r="J77" s="556">
        <v>47396.0</v>
      </c>
      <c r="K77" s="556">
        <v>46268.0</v>
      </c>
      <c r="L77" s="556">
        <v>46472.0</v>
      </c>
      <c r="M77" s="556"/>
      <c r="N77" s="553"/>
      <c r="O77" s="560"/>
      <c r="P77" s="559"/>
      <c r="Q77" s="560" t="s">
        <v>1270</v>
      </c>
      <c r="R77" s="555"/>
      <c r="S77" s="560"/>
      <c r="T77" s="553" t="s">
        <v>1271</v>
      </c>
      <c r="U77" s="553" t="s">
        <v>1278</v>
      </c>
      <c r="V77" s="564" t="s">
        <v>1278</v>
      </c>
      <c r="W77" s="553" t="s">
        <v>1273</v>
      </c>
      <c r="X77" s="560">
        <v>7.0</v>
      </c>
      <c r="Y77" s="562"/>
      <c r="Z77" s="562"/>
    </row>
    <row r="78" ht="12.0" customHeight="1">
      <c r="A78" s="553" t="s">
        <v>962</v>
      </c>
      <c r="B78" s="553" t="s">
        <v>149</v>
      </c>
      <c r="C78" s="554" t="s">
        <v>1269</v>
      </c>
      <c r="D78" s="554">
        <v>24.0</v>
      </c>
      <c r="E78" s="554">
        <v>3.0</v>
      </c>
      <c r="F78" s="554" t="s">
        <v>142</v>
      </c>
      <c r="G78" s="554">
        <v>2019.0</v>
      </c>
      <c r="H78" s="555" t="s">
        <v>640</v>
      </c>
      <c r="I78" s="555" t="s">
        <v>641</v>
      </c>
      <c r="J78" s="556">
        <v>47405.0</v>
      </c>
      <c r="K78" s="556">
        <v>46276.0</v>
      </c>
      <c r="L78" s="556">
        <v>46599.0</v>
      </c>
      <c r="M78" s="556"/>
      <c r="N78" s="553"/>
      <c r="O78" s="560"/>
      <c r="P78" s="559"/>
      <c r="Q78" s="560" t="s">
        <v>1270</v>
      </c>
      <c r="R78" s="555"/>
      <c r="S78" s="560"/>
      <c r="T78" s="553" t="s">
        <v>1271</v>
      </c>
      <c r="U78" s="553" t="s">
        <v>1278</v>
      </c>
      <c r="V78" s="564" t="s">
        <v>1278</v>
      </c>
      <c r="W78" s="553" t="s">
        <v>1273</v>
      </c>
      <c r="X78" s="560">
        <v>7.0</v>
      </c>
      <c r="Y78" s="562"/>
      <c r="Z78" s="562"/>
    </row>
    <row r="79" ht="12.0" customHeight="1">
      <c r="A79" s="553" t="s">
        <v>962</v>
      </c>
      <c r="B79" s="553" t="s">
        <v>150</v>
      </c>
      <c r="C79" s="554" t="s">
        <v>1269</v>
      </c>
      <c r="D79" s="554">
        <v>16.0</v>
      </c>
      <c r="E79" s="554">
        <v>2.0</v>
      </c>
      <c r="F79" s="554" t="s">
        <v>142</v>
      </c>
      <c r="G79" s="554">
        <v>2019.0</v>
      </c>
      <c r="H79" s="555" t="s">
        <v>643</v>
      </c>
      <c r="I79" s="555" t="s">
        <v>644</v>
      </c>
      <c r="J79" s="556">
        <v>47396.0</v>
      </c>
      <c r="K79" s="556">
        <v>46277.0</v>
      </c>
      <c r="L79" s="556">
        <v>46773.0</v>
      </c>
      <c r="M79" s="556"/>
      <c r="N79" s="553"/>
      <c r="O79" s="560"/>
      <c r="P79" s="559"/>
      <c r="Q79" s="560" t="s">
        <v>1270</v>
      </c>
      <c r="R79" s="555"/>
      <c r="S79" s="560"/>
      <c r="T79" s="553" t="s">
        <v>1271</v>
      </c>
      <c r="U79" s="553" t="s">
        <v>1278</v>
      </c>
      <c r="V79" s="564" t="s">
        <v>1278</v>
      </c>
      <c r="W79" s="553" t="s">
        <v>1273</v>
      </c>
      <c r="X79" s="560">
        <v>7.0</v>
      </c>
      <c r="Y79" s="562"/>
      <c r="Z79" s="562"/>
    </row>
    <row r="80" ht="12.0" customHeight="1">
      <c r="A80" s="553" t="s">
        <v>962</v>
      </c>
      <c r="B80" s="553" t="s">
        <v>152</v>
      </c>
      <c r="C80" s="554" t="s">
        <v>1269</v>
      </c>
      <c r="D80" s="554">
        <v>16.0</v>
      </c>
      <c r="E80" s="554">
        <v>2.0</v>
      </c>
      <c r="F80" s="554" t="s">
        <v>142</v>
      </c>
      <c r="G80" s="554">
        <v>2019.0</v>
      </c>
      <c r="H80" s="555" t="s">
        <v>645</v>
      </c>
      <c r="I80" s="555" t="s">
        <v>646</v>
      </c>
      <c r="J80" s="556">
        <v>47396.0</v>
      </c>
      <c r="K80" s="556">
        <v>46277.0</v>
      </c>
      <c r="L80" s="556">
        <v>46443.0</v>
      </c>
      <c r="M80" s="556"/>
      <c r="N80" s="553"/>
      <c r="O80" s="560"/>
      <c r="P80" s="559"/>
      <c r="Q80" s="560" t="s">
        <v>1270</v>
      </c>
      <c r="R80" s="555"/>
      <c r="S80" s="560"/>
      <c r="T80" s="553" t="s">
        <v>1271</v>
      </c>
      <c r="U80" s="553" t="s">
        <v>1278</v>
      </c>
      <c r="V80" s="564" t="s">
        <v>1278</v>
      </c>
      <c r="W80" s="553" t="s">
        <v>1273</v>
      </c>
      <c r="X80" s="560">
        <v>7.0</v>
      </c>
      <c r="Y80" s="562"/>
      <c r="Z80" s="562"/>
    </row>
    <row r="81" ht="12.0" customHeight="1">
      <c r="A81" s="553" t="s">
        <v>962</v>
      </c>
      <c r="B81" s="553" t="s">
        <v>154</v>
      </c>
      <c r="C81" s="554" t="s">
        <v>1269</v>
      </c>
      <c r="D81" s="554">
        <v>24.0</v>
      </c>
      <c r="E81" s="554">
        <v>3.0</v>
      </c>
      <c r="F81" s="554" t="s">
        <v>109</v>
      </c>
      <c r="G81" s="554">
        <v>2026.0</v>
      </c>
      <c r="H81" s="555" t="s">
        <v>650</v>
      </c>
      <c r="I81" s="555" t="s">
        <v>651</v>
      </c>
      <c r="J81" s="556">
        <v>47958.0</v>
      </c>
      <c r="K81" s="556">
        <v>46318.0</v>
      </c>
      <c r="L81" s="556">
        <v>46886.0</v>
      </c>
      <c r="M81" s="556"/>
      <c r="N81" s="553"/>
      <c r="O81" s="560"/>
      <c r="P81" s="559"/>
      <c r="Q81" s="560" t="s">
        <v>1270</v>
      </c>
      <c r="R81" s="555"/>
      <c r="S81" s="560"/>
      <c r="T81" s="553" t="s">
        <v>1271</v>
      </c>
      <c r="U81" s="553" t="s">
        <v>1279</v>
      </c>
      <c r="V81" s="564" t="s">
        <v>1279</v>
      </c>
      <c r="W81" s="553" t="s">
        <v>1273</v>
      </c>
      <c r="X81" s="560">
        <v>0.0</v>
      </c>
      <c r="Y81" s="562"/>
      <c r="Z81" s="562"/>
    </row>
    <row r="82" ht="12.0" customHeight="1">
      <c r="A82" s="553" t="s">
        <v>962</v>
      </c>
      <c r="B82" s="553" t="s">
        <v>155</v>
      </c>
      <c r="C82" s="554" t="s">
        <v>1269</v>
      </c>
      <c r="D82" s="554">
        <v>24.0</v>
      </c>
      <c r="E82" s="554">
        <v>3.0</v>
      </c>
      <c r="F82" s="554" t="s">
        <v>109</v>
      </c>
      <c r="G82" s="554">
        <v>2026.0</v>
      </c>
      <c r="H82" s="555" t="s">
        <v>653</v>
      </c>
      <c r="I82" s="555" t="s">
        <v>654</v>
      </c>
      <c r="J82" s="556">
        <v>47958.0</v>
      </c>
      <c r="K82" s="556">
        <v>46319.0</v>
      </c>
      <c r="L82" s="556">
        <v>46891.0</v>
      </c>
      <c r="M82" s="556"/>
      <c r="N82" s="553"/>
      <c r="O82" s="560"/>
      <c r="P82" s="559"/>
      <c r="Q82" s="560" t="s">
        <v>1270</v>
      </c>
      <c r="R82" s="555"/>
      <c r="S82" s="560"/>
      <c r="T82" s="553" t="s">
        <v>1271</v>
      </c>
      <c r="U82" s="553" t="s">
        <v>1279</v>
      </c>
      <c r="V82" s="564" t="s">
        <v>1279</v>
      </c>
      <c r="W82" s="553" t="s">
        <v>1273</v>
      </c>
      <c r="X82" s="560">
        <v>0.0</v>
      </c>
      <c r="Y82" s="562"/>
      <c r="Z82" s="562"/>
    </row>
    <row r="83" ht="12.0" customHeight="1">
      <c r="A83" s="553" t="s">
        <v>962</v>
      </c>
      <c r="B83" s="553" t="s">
        <v>156</v>
      </c>
      <c r="C83" s="554" t="s">
        <v>1269</v>
      </c>
      <c r="D83" s="554">
        <v>16.0</v>
      </c>
      <c r="E83" s="554">
        <v>2.0</v>
      </c>
      <c r="F83" s="554" t="s">
        <v>39</v>
      </c>
      <c r="G83" s="554">
        <v>2026.0</v>
      </c>
      <c r="H83" s="555" t="s">
        <v>658</v>
      </c>
      <c r="I83" s="555" t="s">
        <v>659</v>
      </c>
      <c r="J83" s="556">
        <v>47954.0</v>
      </c>
      <c r="K83" s="556">
        <v>46323.0</v>
      </c>
      <c r="L83" s="556">
        <v>46892.0</v>
      </c>
      <c r="M83" s="556"/>
      <c r="N83" s="553"/>
      <c r="O83" s="560"/>
      <c r="P83" s="559"/>
      <c r="Q83" s="560" t="s">
        <v>1270</v>
      </c>
      <c r="R83" s="555"/>
      <c r="S83" s="560"/>
      <c r="T83" s="553" t="s">
        <v>1271</v>
      </c>
      <c r="U83" s="553" t="s">
        <v>1279</v>
      </c>
      <c r="V83" s="564" t="s">
        <v>1279</v>
      </c>
      <c r="W83" s="553" t="s">
        <v>1273</v>
      </c>
      <c r="X83" s="560">
        <v>0.0</v>
      </c>
      <c r="Y83" s="562"/>
      <c r="Z83" s="562"/>
    </row>
    <row r="84" ht="12.0" customHeight="1">
      <c r="A84" s="553" t="s">
        <v>962</v>
      </c>
      <c r="B84" s="553" t="s">
        <v>157</v>
      </c>
      <c r="C84" s="554" t="s">
        <v>1269</v>
      </c>
      <c r="D84" s="554">
        <v>16.0</v>
      </c>
      <c r="E84" s="554">
        <v>2.0</v>
      </c>
      <c r="F84" s="554" t="s">
        <v>39</v>
      </c>
      <c r="G84" s="554">
        <v>2026.0</v>
      </c>
      <c r="H84" s="555" t="s">
        <v>661</v>
      </c>
      <c r="I84" s="555" t="s">
        <v>662</v>
      </c>
      <c r="J84" s="556">
        <v>47954.0</v>
      </c>
      <c r="K84" s="556">
        <v>46323.0</v>
      </c>
      <c r="L84" s="556">
        <v>46894.0</v>
      </c>
      <c r="M84" s="556"/>
      <c r="N84" s="553"/>
      <c r="O84" s="560"/>
      <c r="P84" s="559"/>
      <c r="Q84" s="560" t="s">
        <v>1270</v>
      </c>
      <c r="R84" s="555"/>
      <c r="S84" s="560"/>
      <c r="T84" s="553" t="s">
        <v>1271</v>
      </c>
      <c r="U84" s="553" t="s">
        <v>1279</v>
      </c>
      <c r="V84" s="564" t="s">
        <v>1279</v>
      </c>
      <c r="W84" s="553" t="s">
        <v>1273</v>
      </c>
      <c r="X84" s="560">
        <v>0.0</v>
      </c>
      <c r="Y84" s="562"/>
      <c r="Z84" s="562"/>
    </row>
    <row r="85" ht="12.0" customHeight="1">
      <c r="A85" s="562"/>
      <c r="B85" s="562"/>
      <c r="C85" s="562"/>
      <c r="D85" s="562"/>
      <c r="E85" s="562"/>
      <c r="F85" s="562"/>
      <c r="G85" s="562"/>
      <c r="H85" s="562"/>
      <c r="I85" s="562"/>
      <c r="J85" s="562"/>
      <c r="K85" s="562"/>
      <c r="L85" s="562"/>
      <c r="M85" s="562"/>
      <c r="N85" s="562"/>
      <c r="O85" s="569"/>
      <c r="P85" s="570"/>
      <c r="Q85" s="562"/>
      <c r="R85" s="562"/>
      <c r="S85" s="562"/>
      <c r="T85" s="562"/>
      <c r="U85" s="562"/>
      <c r="V85" s="562"/>
      <c r="W85" s="562"/>
      <c r="X85" s="562"/>
      <c r="Y85" s="562"/>
      <c r="Z85" s="562"/>
    </row>
    <row r="86" ht="12.0" customHeight="1">
      <c r="A86" s="562"/>
      <c r="B86" s="562"/>
      <c r="C86" s="562"/>
      <c r="D86" s="562"/>
      <c r="E86" s="562"/>
      <c r="F86" s="562"/>
      <c r="G86" s="562"/>
      <c r="H86" s="562"/>
      <c r="I86" s="562"/>
      <c r="J86" s="562"/>
      <c r="K86" s="562"/>
      <c r="L86" s="562"/>
      <c r="M86" s="562"/>
      <c r="N86" s="562"/>
      <c r="O86" s="569"/>
      <c r="P86" s="570"/>
      <c r="Q86" s="562"/>
      <c r="R86" s="562"/>
      <c r="S86" s="562"/>
      <c r="T86" s="562"/>
      <c r="U86" s="562"/>
      <c r="V86" s="562"/>
      <c r="W86" s="562"/>
      <c r="X86" s="562"/>
      <c r="Y86" s="562"/>
      <c r="Z86" s="562"/>
    </row>
    <row r="87" ht="12.0" customHeight="1">
      <c r="A87" s="562"/>
      <c r="B87" s="562"/>
      <c r="C87" s="562"/>
      <c r="D87" s="562"/>
      <c r="E87" s="562"/>
      <c r="F87" s="562"/>
      <c r="G87" s="562"/>
      <c r="H87" s="562"/>
      <c r="I87" s="562"/>
      <c r="J87" s="562"/>
      <c r="K87" s="562"/>
      <c r="L87" s="562"/>
      <c r="M87" s="562"/>
      <c r="N87" s="562"/>
      <c r="O87" s="569"/>
      <c r="P87" s="570"/>
      <c r="Q87" s="562"/>
      <c r="R87" s="562"/>
      <c r="S87" s="562"/>
      <c r="T87" s="562"/>
      <c r="U87" s="562"/>
      <c r="V87" s="562"/>
      <c r="W87" s="562"/>
      <c r="X87" s="562"/>
      <c r="Y87" s="562"/>
      <c r="Z87" s="562"/>
    </row>
    <row r="88" ht="12.0" customHeight="1">
      <c r="A88" s="562"/>
      <c r="B88" s="571"/>
      <c r="C88" s="562" t="s">
        <v>1296</v>
      </c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9"/>
      <c r="P88" s="570"/>
      <c r="Q88" s="562"/>
      <c r="R88" s="562"/>
      <c r="S88" s="562"/>
      <c r="T88" s="562"/>
      <c r="U88" s="562"/>
      <c r="V88" s="562"/>
      <c r="W88" s="562"/>
      <c r="X88" s="562"/>
      <c r="Y88" s="562"/>
      <c r="Z88" s="562"/>
    </row>
    <row r="89" ht="12.0" customHeight="1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9"/>
      <c r="P89" s="570"/>
      <c r="Q89" s="562"/>
      <c r="R89" s="562"/>
      <c r="S89" s="562"/>
      <c r="T89" s="562"/>
      <c r="U89" s="562"/>
      <c r="V89" s="562"/>
      <c r="W89" s="562"/>
      <c r="X89" s="562"/>
      <c r="Y89" s="562"/>
      <c r="Z89" s="562"/>
    </row>
    <row r="90" ht="12.0" customHeight="1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9"/>
      <c r="P90" s="570"/>
      <c r="Q90" s="562"/>
      <c r="R90" s="562"/>
      <c r="S90" s="562"/>
      <c r="T90" s="562"/>
      <c r="U90" s="562"/>
      <c r="V90" s="562"/>
      <c r="W90" s="562"/>
      <c r="X90" s="562"/>
      <c r="Y90" s="562"/>
      <c r="Z90" s="562"/>
    </row>
    <row r="91" ht="12.0" customHeight="1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9"/>
      <c r="P91" s="570"/>
      <c r="Q91" s="562"/>
      <c r="R91" s="562"/>
      <c r="S91" s="562"/>
      <c r="T91" s="562"/>
      <c r="U91" s="562"/>
      <c r="V91" s="562"/>
      <c r="W91" s="562"/>
      <c r="X91" s="562"/>
      <c r="Y91" s="562"/>
      <c r="Z91" s="562"/>
    </row>
    <row r="92" ht="12.0" customHeight="1">
      <c r="A92" s="562"/>
      <c r="B92" s="562"/>
      <c r="C92" s="562"/>
      <c r="D92" s="562"/>
      <c r="E92" s="562"/>
      <c r="F92" s="562"/>
      <c r="G92" s="562"/>
      <c r="H92" s="562"/>
      <c r="I92" s="562"/>
      <c r="J92" s="562"/>
      <c r="K92" s="562"/>
      <c r="L92" s="562"/>
      <c r="M92" s="562"/>
      <c r="N92" s="562"/>
      <c r="O92" s="569"/>
      <c r="P92" s="570"/>
      <c r="Q92" s="562"/>
      <c r="R92" s="562"/>
      <c r="S92" s="562"/>
      <c r="T92" s="562"/>
      <c r="U92" s="562"/>
      <c r="V92" s="562"/>
      <c r="W92" s="562"/>
      <c r="X92" s="562"/>
      <c r="Y92" s="562"/>
      <c r="Z92" s="562"/>
    </row>
    <row r="93" ht="12.0" customHeight="1">
      <c r="A93" s="562"/>
      <c r="B93" s="562"/>
      <c r="C93" s="562"/>
      <c r="D93" s="562"/>
      <c r="E93" s="562"/>
      <c r="F93" s="562"/>
      <c r="G93" s="562"/>
      <c r="H93" s="562"/>
      <c r="I93" s="562"/>
      <c r="J93" s="562"/>
      <c r="K93" s="562"/>
      <c r="L93" s="562"/>
      <c r="M93" s="562"/>
      <c r="N93" s="562"/>
      <c r="O93" s="569"/>
      <c r="P93" s="570"/>
      <c r="Q93" s="562"/>
      <c r="R93" s="562"/>
      <c r="S93" s="562"/>
      <c r="T93" s="562"/>
      <c r="U93" s="562"/>
      <c r="V93" s="562"/>
      <c r="W93" s="562"/>
      <c r="X93" s="562"/>
      <c r="Y93" s="562"/>
      <c r="Z93" s="562"/>
    </row>
    <row r="94" ht="12.0" customHeight="1">
      <c r="A94" s="562"/>
      <c r="B94" s="562"/>
      <c r="C94" s="562"/>
      <c r="D94" s="562"/>
      <c r="E94" s="562"/>
      <c r="F94" s="562"/>
      <c r="G94" s="562"/>
      <c r="H94" s="562"/>
      <c r="I94" s="562"/>
      <c r="J94" s="562"/>
      <c r="K94" s="562"/>
      <c r="L94" s="562"/>
      <c r="M94" s="562"/>
      <c r="N94" s="562"/>
      <c r="O94" s="569"/>
      <c r="P94" s="570"/>
      <c r="Q94" s="562"/>
      <c r="R94" s="562"/>
      <c r="S94" s="562"/>
      <c r="T94" s="562"/>
      <c r="U94" s="562"/>
      <c r="V94" s="562"/>
      <c r="W94" s="562"/>
      <c r="X94" s="562"/>
      <c r="Y94" s="562"/>
      <c r="Z94" s="562"/>
    </row>
    <row r="95" ht="12.0" customHeight="1">
      <c r="A95" s="562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9"/>
      <c r="P95" s="570"/>
      <c r="Q95" s="562"/>
      <c r="R95" s="562"/>
      <c r="S95" s="562"/>
      <c r="T95" s="562"/>
      <c r="U95" s="562"/>
      <c r="V95" s="562"/>
      <c r="W95" s="562"/>
      <c r="X95" s="562"/>
      <c r="Y95" s="562"/>
      <c r="Z95" s="562"/>
    </row>
    <row r="96" ht="12.0" customHeight="1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9"/>
      <c r="P96" s="570"/>
      <c r="Q96" s="562"/>
      <c r="R96" s="562"/>
      <c r="S96" s="562"/>
      <c r="T96" s="562"/>
      <c r="U96" s="562"/>
      <c r="V96" s="562"/>
      <c r="W96" s="562"/>
      <c r="X96" s="562"/>
      <c r="Y96" s="562"/>
      <c r="Z96" s="562"/>
    </row>
    <row r="97" ht="12.0" customHeight="1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9"/>
      <c r="P97" s="570"/>
      <c r="Q97" s="562"/>
      <c r="R97" s="562"/>
      <c r="S97" s="562"/>
      <c r="T97" s="562"/>
      <c r="U97" s="562"/>
      <c r="V97" s="562"/>
      <c r="W97" s="562"/>
      <c r="X97" s="562"/>
      <c r="Y97" s="562"/>
      <c r="Z97" s="562"/>
    </row>
    <row r="98" ht="12.0" customHeight="1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9"/>
      <c r="P98" s="570"/>
      <c r="Q98" s="562"/>
      <c r="R98" s="562"/>
      <c r="S98" s="562"/>
      <c r="T98" s="562"/>
      <c r="U98" s="562"/>
      <c r="V98" s="562"/>
      <c r="W98" s="562"/>
      <c r="X98" s="562"/>
      <c r="Y98" s="562"/>
      <c r="Z98" s="562"/>
    </row>
    <row r="99" ht="12.0" customHeight="1">
      <c r="A99" s="562"/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9"/>
      <c r="P99" s="570"/>
      <c r="Q99" s="562"/>
      <c r="R99" s="562"/>
      <c r="S99" s="562"/>
      <c r="T99" s="562"/>
      <c r="U99" s="562"/>
      <c r="V99" s="562"/>
      <c r="W99" s="562"/>
      <c r="X99" s="562"/>
      <c r="Y99" s="562"/>
      <c r="Z99" s="562"/>
    </row>
    <row r="100" ht="12.0" customHeight="1">
      <c r="A100" s="562"/>
      <c r="B100" s="562"/>
      <c r="C100" s="562"/>
      <c r="D100" s="562"/>
      <c r="E100" s="562"/>
      <c r="F100" s="562"/>
      <c r="G100" s="562"/>
      <c r="H100" s="562"/>
      <c r="I100" s="562"/>
      <c r="J100" s="562"/>
      <c r="K100" s="562"/>
      <c r="L100" s="562"/>
      <c r="M100" s="562"/>
      <c r="N100" s="562"/>
      <c r="O100" s="569"/>
      <c r="P100" s="570"/>
      <c r="Q100" s="562"/>
      <c r="R100" s="562"/>
      <c r="S100" s="562"/>
      <c r="T100" s="562"/>
      <c r="U100" s="562"/>
      <c r="V100" s="562"/>
      <c r="W100" s="562"/>
      <c r="X100" s="562"/>
      <c r="Y100" s="562"/>
      <c r="Z100" s="562"/>
    </row>
    <row r="101" ht="12.0" customHeight="1">
      <c r="A101" s="562"/>
      <c r="B101" s="562"/>
      <c r="C101" s="562"/>
      <c r="D101" s="562"/>
      <c r="E101" s="562"/>
      <c r="F101" s="562"/>
      <c r="G101" s="562"/>
      <c r="H101" s="562"/>
      <c r="I101" s="562"/>
      <c r="J101" s="562"/>
      <c r="K101" s="562"/>
      <c r="L101" s="562"/>
      <c r="M101" s="562"/>
      <c r="N101" s="562"/>
      <c r="O101" s="569"/>
      <c r="P101" s="570"/>
      <c r="Q101" s="562"/>
      <c r="R101" s="562"/>
      <c r="S101" s="562"/>
      <c r="T101" s="562"/>
      <c r="U101" s="562"/>
      <c r="V101" s="562"/>
      <c r="W101" s="562"/>
      <c r="X101" s="562"/>
      <c r="Y101" s="562"/>
      <c r="Z101" s="562"/>
    </row>
    <row r="102" ht="12.0" customHeight="1">
      <c r="A102" s="562"/>
      <c r="B102" s="562"/>
      <c r="C102" s="562"/>
      <c r="D102" s="562"/>
      <c r="E102" s="562"/>
      <c r="F102" s="562"/>
      <c r="G102" s="562"/>
      <c r="H102" s="562"/>
      <c r="I102" s="562"/>
      <c r="J102" s="562"/>
      <c r="K102" s="562"/>
      <c r="L102" s="562"/>
      <c r="M102" s="562"/>
      <c r="N102" s="562"/>
      <c r="O102" s="569"/>
      <c r="P102" s="570"/>
      <c r="Q102" s="562"/>
      <c r="R102" s="562"/>
      <c r="S102" s="562"/>
      <c r="T102" s="562"/>
      <c r="U102" s="562"/>
      <c r="V102" s="562"/>
      <c r="W102" s="562"/>
      <c r="X102" s="562"/>
      <c r="Y102" s="562"/>
      <c r="Z102" s="562"/>
    </row>
    <row r="103" ht="12.0" customHeight="1">
      <c r="A103" s="562"/>
      <c r="B103" s="562"/>
      <c r="C103" s="562"/>
      <c r="D103" s="562"/>
      <c r="E103" s="562"/>
      <c r="F103" s="562"/>
      <c r="G103" s="562"/>
      <c r="H103" s="562"/>
      <c r="I103" s="562"/>
      <c r="J103" s="562"/>
      <c r="K103" s="562"/>
      <c r="L103" s="562"/>
      <c r="M103" s="562"/>
      <c r="N103" s="562"/>
      <c r="O103" s="569"/>
      <c r="P103" s="570"/>
      <c r="Q103" s="562"/>
      <c r="R103" s="562"/>
      <c r="S103" s="562"/>
      <c r="T103" s="562"/>
      <c r="U103" s="562"/>
      <c r="V103" s="562"/>
      <c r="W103" s="562"/>
      <c r="X103" s="562"/>
      <c r="Y103" s="562"/>
      <c r="Z103" s="562"/>
    </row>
    <row r="104" ht="12.0" customHeight="1">
      <c r="A104" s="562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9"/>
      <c r="P104" s="570"/>
      <c r="Q104" s="562"/>
      <c r="R104" s="562"/>
      <c r="S104" s="562"/>
      <c r="T104" s="562"/>
      <c r="U104" s="562"/>
      <c r="V104" s="562"/>
      <c r="W104" s="562"/>
      <c r="X104" s="562"/>
      <c r="Y104" s="562"/>
      <c r="Z104" s="562"/>
    </row>
    <row r="105" ht="12.0" customHeight="1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9"/>
      <c r="P105" s="570"/>
      <c r="Q105" s="562"/>
      <c r="R105" s="562"/>
      <c r="S105" s="562"/>
      <c r="T105" s="562"/>
      <c r="U105" s="562"/>
      <c r="V105" s="562"/>
      <c r="W105" s="562"/>
      <c r="X105" s="562"/>
      <c r="Y105" s="562"/>
      <c r="Z105" s="562"/>
    </row>
    <row r="106" ht="12.0" customHeight="1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9"/>
      <c r="P106" s="570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</row>
    <row r="107" ht="12.0" customHeight="1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9"/>
      <c r="P107" s="570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</row>
    <row r="108" ht="12.0" customHeight="1">
      <c r="A108" s="562"/>
      <c r="B108" s="562"/>
      <c r="C108" s="562"/>
      <c r="D108" s="562"/>
      <c r="E108" s="562"/>
      <c r="F108" s="562"/>
      <c r="G108" s="562"/>
      <c r="H108" s="562"/>
      <c r="I108" s="562"/>
      <c r="J108" s="562"/>
      <c r="K108" s="562"/>
      <c r="L108" s="562"/>
      <c r="M108" s="562"/>
      <c r="N108" s="562"/>
      <c r="O108" s="569"/>
      <c r="P108" s="570"/>
      <c r="Q108" s="562"/>
      <c r="R108" s="562"/>
      <c r="S108" s="562"/>
      <c r="T108" s="562"/>
      <c r="U108" s="562"/>
      <c r="V108" s="562"/>
      <c r="W108" s="562"/>
      <c r="X108" s="562"/>
      <c r="Y108" s="562"/>
      <c r="Z108" s="562"/>
    </row>
    <row r="109" ht="12.0" customHeight="1">
      <c r="A109" s="562"/>
      <c r="B109" s="562"/>
      <c r="C109" s="562"/>
      <c r="D109" s="562"/>
      <c r="E109" s="562"/>
      <c r="F109" s="562"/>
      <c r="G109" s="562"/>
      <c r="H109" s="562"/>
      <c r="I109" s="562"/>
      <c r="J109" s="562"/>
      <c r="K109" s="562"/>
      <c r="L109" s="562"/>
      <c r="M109" s="562"/>
      <c r="N109" s="562"/>
      <c r="O109" s="569"/>
      <c r="P109" s="570"/>
      <c r="Q109" s="562"/>
      <c r="R109" s="562"/>
      <c r="S109" s="562"/>
      <c r="T109" s="562"/>
      <c r="U109" s="562"/>
      <c r="V109" s="562"/>
      <c r="W109" s="562"/>
      <c r="X109" s="562"/>
      <c r="Y109" s="562"/>
      <c r="Z109" s="562"/>
    </row>
    <row r="110" ht="12.0" customHeight="1">
      <c r="A110" s="562"/>
      <c r="B110" s="562"/>
      <c r="C110" s="562"/>
      <c r="D110" s="562"/>
      <c r="E110" s="562"/>
      <c r="F110" s="562"/>
      <c r="G110" s="562"/>
      <c r="H110" s="562"/>
      <c r="I110" s="562"/>
      <c r="J110" s="562"/>
      <c r="K110" s="562"/>
      <c r="L110" s="562"/>
      <c r="M110" s="562"/>
      <c r="N110" s="562"/>
      <c r="O110" s="569"/>
      <c r="P110" s="570"/>
      <c r="Q110" s="562"/>
      <c r="R110" s="562"/>
      <c r="S110" s="562"/>
      <c r="T110" s="562"/>
      <c r="U110" s="562"/>
      <c r="V110" s="562"/>
      <c r="W110" s="562"/>
      <c r="X110" s="562"/>
      <c r="Y110" s="562"/>
      <c r="Z110" s="562"/>
    </row>
    <row r="111" ht="12.0" customHeight="1">
      <c r="A111" s="562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9"/>
      <c r="P111" s="570"/>
      <c r="Q111" s="562"/>
      <c r="R111" s="562"/>
      <c r="S111" s="562"/>
      <c r="T111" s="562"/>
      <c r="U111" s="562"/>
      <c r="V111" s="562"/>
      <c r="W111" s="562"/>
      <c r="X111" s="562"/>
      <c r="Y111" s="562"/>
      <c r="Z111" s="562"/>
    </row>
    <row r="112" ht="12.0" customHeight="1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9"/>
      <c r="P112" s="570"/>
      <c r="Q112" s="562"/>
      <c r="R112" s="562"/>
      <c r="S112" s="562"/>
      <c r="T112" s="562"/>
      <c r="U112" s="562"/>
      <c r="V112" s="562"/>
      <c r="W112" s="562"/>
      <c r="X112" s="562"/>
      <c r="Y112" s="562"/>
      <c r="Z112" s="562"/>
    </row>
    <row r="113" ht="12.0" customHeight="1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9"/>
      <c r="P113" s="570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</row>
    <row r="114" ht="12.0" customHeight="1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9"/>
      <c r="P114" s="570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</row>
    <row r="115" ht="12.0" customHeight="1">
      <c r="A115" s="562"/>
      <c r="B115" s="562"/>
      <c r="C115" s="562"/>
      <c r="D115" s="562"/>
      <c r="E115" s="562"/>
      <c r="F115" s="562"/>
      <c r="G115" s="562"/>
      <c r="H115" s="562"/>
      <c r="I115" s="562"/>
      <c r="J115" s="562"/>
      <c r="K115" s="562"/>
      <c r="L115" s="562"/>
      <c r="M115" s="562"/>
      <c r="N115" s="562"/>
      <c r="O115" s="569"/>
      <c r="P115" s="570"/>
      <c r="Q115" s="562"/>
      <c r="R115" s="562"/>
      <c r="S115" s="562"/>
      <c r="T115" s="562"/>
      <c r="U115" s="562"/>
      <c r="V115" s="562"/>
      <c r="W115" s="562"/>
      <c r="X115" s="562"/>
      <c r="Y115" s="562"/>
      <c r="Z115" s="562"/>
    </row>
    <row r="116" ht="12.0" customHeight="1">
      <c r="A116" s="562"/>
      <c r="B116" s="562"/>
      <c r="C116" s="562"/>
      <c r="D116" s="562"/>
      <c r="E116" s="562"/>
      <c r="F116" s="562"/>
      <c r="G116" s="562"/>
      <c r="H116" s="562"/>
      <c r="I116" s="562"/>
      <c r="J116" s="562"/>
      <c r="K116" s="562"/>
      <c r="L116" s="562"/>
      <c r="M116" s="562"/>
      <c r="N116" s="562"/>
      <c r="O116" s="569"/>
      <c r="P116" s="570"/>
      <c r="Q116" s="562"/>
      <c r="R116" s="562"/>
      <c r="S116" s="562"/>
      <c r="T116" s="562"/>
      <c r="U116" s="562"/>
      <c r="V116" s="562"/>
      <c r="W116" s="562"/>
      <c r="X116" s="562"/>
      <c r="Y116" s="562"/>
      <c r="Z116" s="562"/>
    </row>
    <row r="117" ht="12.0" customHeight="1">
      <c r="A117" s="562"/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  <c r="N117" s="562"/>
      <c r="O117" s="569"/>
      <c r="P117" s="570"/>
      <c r="Q117" s="562"/>
      <c r="R117" s="562"/>
      <c r="S117" s="562"/>
      <c r="T117" s="562"/>
      <c r="U117" s="562"/>
      <c r="V117" s="562"/>
      <c r="W117" s="562"/>
      <c r="X117" s="562"/>
      <c r="Y117" s="562"/>
      <c r="Z117" s="562"/>
    </row>
    <row r="118" ht="12.0" customHeight="1">
      <c r="A118" s="562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9"/>
      <c r="P118" s="570"/>
      <c r="Q118" s="562"/>
      <c r="R118" s="562"/>
      <c r="S118" s="562"/>
      <c r="T118" s="562"/>
      <c r="U118" s="562"/>
      <c r="V118" s="562"/>
      <c r="W118" s="562"/>
      <c r="X118" s="562"/>
      <c r="Y118" s="562"/>
      <c r="Z118" s="562"/>
    </row>
    <row r="119" ht="12.0" customHeight="1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9"/>
      <c r="P119" s="570"/>
      <c r="Q119" s="562"/>
      <c r="R119" s="562"/>
      <c r="S119" s="562"/>
      <c r="T119" s="562"/>
      <c r="U119" s="562"/>
      <c r="V119" s="562"/>
      <c r="W119" s="562"/>
      <c r="X119" s="562"/>
      <c r="Y119" s="562"/>
      <c r="Z119" s="562"/>
    </row>
    <row r="120" ht="12.0" customHeight="1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9"/>
      <c r="P120" s="570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</row>
    <row r="121" ht="12.0" customHeight="1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9"/>
      <c r="P121" s="570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</row>
    <row r="122" ht="12.0" customHeight="1">
      <c r="A122" s="562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9"/>
      <c r="P122" s="570"/>
      <c r="Q122" s="562"/>
      <c r="R122" s="562"/>
      <c r="S122" s="562"/>
      <c r="T122" s="562"/>
      <c r="U122" s="562"/>
      <c r="V122" s="562"/>
      <c r="W122" s="562"/>
      <c r="X122" s="562"/>
      <c r="Y122" s="562"/>
      <c r="Z122" s="562"/>
    </row>
    <row r="123" ht="12.0" customHeight="1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9"/>
      <c r="P123" s="570"/>
      <c r="Q123" s="562"/>
      <c r="R123" s="562"/>
      <c r="S123" s="562"/>
      <c r="T123" s="562"/>
      <c r="U123" s="562"/>
      <c r="V123" s="562"/>
      <c r="W123" s="562"/>
      <c r="X123" s="562"/>
      <c r="Y123" s="562"/>
      <c r="Z123" s="562"/>
    </row>
    <row r="124" ht="12.0" customHeight="1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9"/>
      <c r="P124" s="570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</row>
    <row r="125" ht="12.0" customHeight="1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9"/>
      <c r="P125" s="570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</row>
    <row r="126" ht="12.0" customHeight="1">
      <c r="A126" s="562"/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9"/>
      <c r="P126" s="570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</row>
    <row r="127" ht="12.0" customHeight="1">
      <c r="A127" s="562"/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2"/>
      <c r="N127" s="562"/>
      <c r="O127" s="569"/>
      <c r="P127" s="570"/>
      <c r="Q127" s="562"/>
      <c r="R127" s="562"/>
      <c r="S127" s="562"/>
      <c r="T127" s="562"/>
      <c r="U127" s="562"/>
      <c r="V127" s="562"/>
      <c r="W127" s="562"/>
      <c r="X127" s="562"/>
      <c r="Y127" s="562"/>
      <c r="Z127" s="562"/>
    </row>
    <row r="128" ht="12.0" customHeight="1">
      <c r="A128" s="562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9"/>
      <c r="P128" s="570"/>
      <c r="Q128" s="562"/>
      <c r="R128" s="562"/>
      <c r="S128" s="562"/>
      <c r="T128" s="562"/>
      <c r="U128" s="562"/>
      <c r="V128" s="562"/>
      <c r="W128" s="562"/>
      <c r="X128" s="562"/>
      <c r="Y128" s="562"/>
      <c r="Z128" s="562"/>
    </row>
    <row r="129" ht="12.0" customHeight="1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9"/>
      <c r="P129" s="570"/>
      <c r="Q129" s="562"/>
      <c r="R129" s="562"/>
      <c r="S129" s="562"/>
      <c r="T129" s="562"/>
      <c r="U129" s="562"/>
      <c r="V129" s="562"/>
      <c r="W129" s="562"/>
      <c r="X129" s="562"/>
      <c r="Y129" s="562"/>
      <c r="Z129" s="562"/>
    </row>
    <row r="130" ht="12.0" customHeight="1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9"/>
      <c r="P130" s="570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</row>
    <row r="131" ht="12.0" customHeight="1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9"/>
      <c r="P131" s="570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</row>
    <row r="132" ht="12.0" customHeight="1">
      <c r="A132" s="562"/>
      <c r="B132" s="562"/>
      <c r="C132" s="562"/>
      <c r="D132" s="562"/>
      <c r="E132" s="562"/>
      <c r="F132" s="562"/>
      <c r="G132" s="562"/>
      <c r="H132" s="562"/>
      <c r="I132" s="562"/>
      <c r="J132" s="562"/>
      <c r="K132" s="562"/>
      <c r="L132" s="562"/>
      <c r="M132" s="562"/>
      <c r="N132" s="562"/>
      <c r="O132" s="569"/>
      <c r="P132" s="570"/>
      <c r="Q132" s="562"/>
      <c r="R132" s="562"/>
      <c r="S132" s="562"/>
      <c r="T132" s="562"/>
      <c r="U132" s="562"/>
      <c r="V132" s="562"/>
      <c r="W132" s="562"/>
      <c r="X132" s="562"/>
      <c r="Y132" s="562"/>
      <c r="Z132" s="562"/>
    </row>
    <row r="133" ht="12.0" customHeight="1">
      <c r="A133" s="562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9"/>
      <c r="P133" s="570"/>
      <c r="Q133" s="562"/>
      <c r="R133" s="562"/>
      <c r="S133" s="562"/>
      <c r="T133" s="562"/>
      <c r="U133" s="562"/>
      <c r="V133" s="562"/>
      <c r="W133" s="562"/>
      <c r="X133" s="562"/>
      <c r="Y133" s="562"/>
      <c r="Z133" s="562"/>
    </row>
    <row r="134" ht="12.0" customHeight="1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9"/>
      <c r="P134" s="570"/>
      <c r="Q134" s="562"/>
      <c r="R134" s="562"/>
      <c r="S134" s="562"/>
      <c r="T134" s="562"/>
      <c r="U134" s="562"/>
      <c r="V134" s="562"/>
      <c r="W134" s="562"/>
      <c r="X134" s="562"/>
      <c r="Y134" s="562"/>
      <c r="Z134" s="562"/>
    </row>
    <row r="135" ht="12.0" customHeight="1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9"/>
      <c r="P135" s="570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</row>
    <row r="136" ht="12.0" customHeight="1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9"/>
      <c r="P136" s="570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</row>
    <row r="137" ht="12.0" customHeight="1">
      <c r="A137" s="562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9"/>
      <c r="P137" s="570"/>
      <c r="Q137" s="562"/>
      <c r="R137" s="562"/>
      <c r="S137" s="562"/>
      <c r="T137" s="562"/>
      <c r="U137" s="562"/>
      <c r="V137" s="562"/>
      <c r="W137" s="562"/>
      <c r="X137" s="562"/>
      <c r="Y137" s="562"/>
      <c r="Z137" s="562"/>
    </row>
    <row r="138" ht="12.0" customHeight="1">
      <c r="A138" s="562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9"/>
      <c r="P138" s="570"/>
      <c r="Q138" s="562"/>
      <c r="R138" s="562"/>
      <c r="S138" s="562"/>
      <c r="T138" s="562"/>
      <c r="U138" s="562"/>
      <c r="V138" s="562"/>
      <c r="W138" s="562"/>
      <c r="X138" s="562"/>
      <c r="Y138" s="562"/>
      <c r="Z138" s="562"/>
    </row>
    <row r="139" ht="12.0" customHeight="1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9"/>
      <c r="P139" s="570"/>
      <c r="Q139" s="562"/>
      <c r="R139" s="562"/>
      <c r="S139" s="562"/>
      <c r="T139" s="562"/>
      <c r="U139" s="562"/>
      <c r="V139" s="562"/>
      <c r="W139" s="562"/>
      <c r="X139" s="562"/>
      <c r="Y139" s="562"/>
      <c r="Z139" s="562"/>
    </row>
    <row r="140" ht="12.0" customHeight="1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9"/>
      <c r="P140" s="570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</row>
    <row r="141" ht="12.0" customHeight="1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9"/>
      <c r="P141" s="570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</row>
    <row r="142" ht="12.0" customHeight="1">
      <c r="A142" s="562"/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9"/>
      <c r="P142" s="570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</row>
    <row r="143" ht="12.0" customHeight="1">
      <c r="A143" s="562"/>
      <c r="B143" s="562"/>
      <c r="C143" s="562"/>
      <c r="D143" s="562"/>
      <c r="E143" s="562"/>
      <c r="F143" s="562"/>
      <c r="G143" s="562"/>
      <c r="H143" s="562"/>
      <c r="I143" s="562"/>
      <c r="J143" s="562"/>
      <c r="K143" s="562"/>
      <c r="L143" s="562"/>
      <c r="M143" s="562"/>
      <c r="N143" s="562"/>
      <c r="O143" s="569"/>
      <c r="P143" s="570"/>
      <c r="Q143" s="562"/>
      <c r="R143" s="562"/>
      <c r="S143" s="562"/>
      <c r="T143" s="562"/>
      <c r="U143" s="562"/>
      <c r="V143" s="562"/>
      <c r="W143" s="562"/>
      <c r="X143" s="562"/>
      <c r="Y143" s="562"/>
      <c r="Z143" s="562"/>
    </row>
    <row r="144" ht="12.0" customHeight="1">
      <c r="A144" s="562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9"/>
      <c r="P144" s="570"/>
      <c r="Q144" s="562"/>
      <c r="R144" s="562"/>
      <c r="S144" s="562"/>
      <c r="T144" s="562"/>
      <c r="U144" s="562"/>
      <c r="V144" s="562"/>
      <c r="W144" s="562"/>
      <c r="X144" s="562"/>
      <c r="Y144" s="562"/>
      <c r="Z144" s="562"/>
    </row>
    <row r="145" ht="12.0" customHeight="1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9"/>
      <c r="P145" s="570"/>
      <c r="Q145" s="562"/>
      <c r="R145" s="562"/>
      <c r="S145" s="562"/>
      <c r="T145" s="562"/>
      <c r="U145" s="562"/>
      <c r="V145" s="562"/>
      <c r="W145" s="562"/>
      <c r="X145" s="562"/>
      <c r="Y145" s="562"/>
      <c r="Z145" s="562"/>
    </row>
    <row r="146" ht="12.0" customHeight="1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9"/>
      <c r="P146" s="570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</row>
    <row r="147" ht="12.0" customHeight="1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9"/>
      <c r="P147" s="570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</row>
    <row r="148" ht="12.0" customHeight="1">
      <c r="A148" s="562"/>
      <c r="B148" s="562"/>
      <c r="C148" s="562"/>
      <c r="D148" s="562"/>
      <c r="E148" s="562"/>
      <c r="F148" s="562"/>
      <c r="G148" s="562"/>
      <c r="H148" s="562"/>
      <c r="I148" s="562"/>
      <c r="J148" s="562"/>
      <c r="K148" s="562"/>
      <c r="L148" s="562"/>
      <c r="M148" s="562"/>
      <c r="N148" s="562"/>
      <c r="O148" s="569"/>
      <c r="P148" s="570"/>
      <c r="Q148" s="562"/>
      <c r="R148" s="562"/>
      <c r="S148" s="562"/>
      <c r="T148" s="562"/>
      <c r="U148" s="562"/>
      <c r="V148" s="562"/>
      <c r="W148" s="562"/>
      <c r="X148" s="562"/>
      <c r="Y148" s="562"/>
      <c r="Z148" s="562"/>
    </row>
    <row r="149" ht="12.0" customHeight="1">
      <c r="A149" s="562"/>
      <c r="B149" s="562"/>
      <c r="C149" s="562"/>
      <c r="D149" s="562"/>
      <c r="E149" s="562"/>
      <c r="F149" s="562"/>
      <c r="G149" s="562"/>
      <c r="H149" s="562"/>
      <c r="I149" s="562"/>
      <c r="J149" s="562"/>
      <c r="K149" s="562"/>
      <c r="L149" s="562"/>
      <c r="M149" s="562"/>
      <c r="N149" s="562"/>
      <c r="O149" s="569"/>
      <c r="P149" s="570"/>
      <c r="Q149" s="562"/>
      <c r="R149" s="562"/>
      <c r="S149" s="562"/>
      <c r="T149" s="562"/>
      <c r="U149" s="562"/>
      <c r="V149" s="562"/>
      <c r="W149" s="562"/>
      <c r="X149" s="562"/>
      <c r="Y149" s="562"/>
      <c r="Z149" s="562"/>
    </row>
    <row r="150" ht="12.0" customHeight="1">
      <c r="A150" s="562"/>
      <c r="B150" s="562"/>
      <c r="C150" s="562"/>
      <c r="D150" s="562"/>
      <c r="E150" s="562"/>
      <c r="F150" s="562"/>
      <c r="G150" s="562"/>
      <c r="H150" s="562"/>
      <c r="I150" s="562"/>
      <c r="J150" s="562"/>
      <c r="K150" s="562"/>
      <c r="L150" s="562"/>
      <c r="M150" s="562"/>
      <c r="N150" s="562"/>
      <c r="O150" s="569"/>
      <c r="P150" s="570"/>
      <c r="Q150" s="562"/>
      <c r="R150" s="562"/>
      <c r="S150" s="562"/>
      <c r="T150" s="562"/>
      <c r="U150" s="562"/>
      <c r="V150" s="562"/>
      <c r="W150" s="562"/>
      <c r="X150" s="562"/>
      <c r="Y150" s="562"/>
      <c r="Z150" s="562"/>
    </row>
    <row r="151" ht="12.0" customHeight="1">
      <c r="A151" s="562"/>
      <c r="B151" s="562"/>
      <c r="C151" s="562"/>
      <c r="D151" s="562"/>
      <c r="E151" s="562"/>
      <c r="F151" s="562"/>
      <c r="G151" s="562"/>
      <c r="H151" s="562"/>
      <c r="I151" s="562"/>
      <c r="J151" s="562"/>
      <c r="K151" s="562"/>
      <c r="L151" s="562"/>
      <c r="M151" s="562"/>
      <c r="N151" s="562"/>
      <c r="O151" s="569"/>
      <c r="P151" s="570"/>
      <c r="Q151" s="562"/>
      <c r="R151" s="562"/>
      <c r="S151" s="562"/>
      <c r="T151" s="562"/>
      <c r="U151" s="562"/>
      <c r="V151" s="562"/>
      <c r="W151" s="562"/>
      <c r="X151" s="562"/>
      <c r="Y151" s="562"/>
      <c r="Z151" s="562"/>
    </row>
    <row r="152" ht="12.0" customHeight="1">
      <c r="A152" s="562"/>
      <c r="B152" s="562"/>
      <c r="C152" s="562"/>
      <c r="D152" s="562"/>
      <c r="E152" s="562"/>
      <c r="F152" s="562"/>
      <c r="G152" s="562"/>
      <c r="H152" s="562"/>
      <c r="I152" s="562"/>
      <c r="J152" s="562"/>
      <c r="K152" s="562"/>
      <c r="L152" s="562"/>
      <c r="M152" s="562"/>
      <c r="N152" s="562"/>
      <c r="O152" s="569"/>
      <c r="P152" s="570"/>
      <c r="Q152" s="562"/>
      <c r="R152" s="562"/>
      <c r="S152" s="562"/>
      <c r="T152" s="562"/>
      <c r="U152" s="562"/>
      <c r="V152" s="562"/>
      <c r="W152" s="562"/>
      <c r="X152" s="562"/>
      <c r="Y152" s="562"/>
      <c r="Z152" s="562"/>
    </row>
    <row r="153" ht="12.0" customHeight="1">
      <c r="A153" s="562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9"/>
      <c r="P153" s="570"/>
      <c r="Q153" s="562"/>
      <c r="R153" s="562"/>
      <c r="S153" s="562"/>
      <c r="T153" s="562"/>
      <c r="U153" s="562"/>
      <c r="V153" s="562"/>
      <c r="W153" s="562"/>
      <c r="X153" s="562"/>
      <c r="Y153" s="562"/>
      <c r="Z153" s="562"/>
    </row>
    <row r="154" ht="12.0" customHeight="1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9"/>
      <c r="P154" s="570"/>
      <c r="Q154" s="562"/>
      <c r="R154" s="562"/>
      <c r="S154" s="562"/>
      <c r="T154" s="562"/>
      <c r="U154" s="562"/>
      <c r="V154" s="562"/>
      <c r="W154" s="562"/>
      <c r="X154" s="562"/>
      <c r="Y154" s="562"/>
      <c r="Z154" s="562"/>
    </row>
    <row r="155" ht="12.0" customHeight="1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9"/>
      <c r="P155" s="570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</row>
    <row r="156" ht="12.0" customHeight="1">
      <c r="A156" s="562"/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9"/>
      <c r="P156" s="570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</row>
    <row r="157" ht="12.0" customHeight="1">
      <c r="A157" s="562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9"/>
      <c r="P157" s="570"/>
      <c r="Q157" s="562"/>
      <c r="R157" s="562"/>
      <c r="S157" s="562"/>
      <c r="T157" s="562"/>
      <c r="U157" s="562"/>
      <c r="V157" s="562"/>
      <c r="W157" s="562"/>
      <c r="X157" s="562"/>
      <c r="Y157" s="562"/>
      <c r="Z157" s="562"/>
    </row>
    <row r="158" ht="12.0" customHeight="1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9"/>
      <c r="P158" s="570"/>
      <c r="Q158" s="562"/>
      <c r="R158" s="562"/>
      <c r="S158" s="562"/>
      <c r="T158" s="562"/>
      <c r="U158" s="562"/>
      <c r="V158" s="562"/>
      <c r="W158" s="562"/>
      <c r="X158" s="562"/>
      <c r="Y158" s="562"/>
      <c r="Z158" s="562"/>
    </row>
    <row r="159" ht="12.0" customHeight="1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9"/>
      <c r="P159" s="570"/>
      <c r="Q159" s="562"/>
      <c r="R159" s="562"/>
      <c r="S159" s="562"/>
      <c r="T159" s="562"/>
      <c r="U159" s="562"/>
      <c r="V159" s="562"/>
      <c r="W159" s="562"/>
      <c r="X159" s="562"/>
      <c r="Y159" s="562"/>
      <c r="Z159" s="562"/>
    </row>
    <row r="160" ht="12.0" customHeight="1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9"/>
      <c r="P160" s="570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</row>
    <row r="161" ht="12.0" customHeight="1">
      <c r="A161" s="562"/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9"/>
      <c r="P161" s="570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</row>
    <row r="162" ht="12.0" customHeight="1">
      <c r="A162" s="562"/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9"/>
      <c r="P162" s="570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</row>
    <row r="163" ht="12.0" customHeight="1">
      <c r="A163" s="562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9"/>
      <c r="P163" s="570"/>
      <c r="Q163" s="562"/>
      <c r="R163" s="562"/>
      <c r="S163" s="562"/>
      <c r="T163" s="562"/>
      <c r="U163" s="562"/>
      <c r="V163" s="562"/>
      <c r="W163" s="562"/>
      <c r="X163" s="562"/>
      <c r="Y163" s="562"/>
      <c r="Z163" s="562"/>
    </row>
    <row r="164" ht="12.0" customHeight="1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9"/>
      <c r="P164" s="570"/>
      <c r="Q164" s="562"/>
      <c r="R164" s="562"/>
      <c r="S164" s="562"/>
      <c r="T164" s="562"/>
      <c r="U164" s="562"/>
      <c r="V164" s="562"/>
      <c r="W164" s="562"/>
      <c r="X164" s="562"/>
      <c r="Y164" s="562"/>
      <c r="Z164" s="562"/>
    </row>
    <row r="165" ht="12.0" customHeight="1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9"/>
      <c r="P165" s="570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</row>
    <row r="166" ht="12.0" customHeight="1">
      <c r="A166" s="562"/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9"/>
      <c r="P166" s="570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</row>
    <row r="167" ht="12.0" customHeight="1">
      <c r="A167" s="562"/>
      <c r="B167" s="562"/>
      <c r="C167" s="562"/>
      <c r="D167" s="562"/>
      <c r="E167" s="562"/>
      <c r="F167" s="562"/>
      <c r="G167" s="562"/>
      <c r="H167" s="562"/>
      <c r="I167" s="562"/>
      <c r="J167" s="562"/>
      <c r="K167" s="562"/>
      <c r="L167" s="562"/>
      <c r="M167" s="562"/>
      <c r="N167" s="562"/>
      <c r="O167" s="569"/>
      <c r="P167" s="570"/>
      <c r="Q167" s="562"/>
      <c r="R167" s="562"/>
      <c r="S167" s="562"/>
      <c r="T167" s="562"/>
      <c r="U167" s="562"/>
      <c r="V167" s="562"/>
      <c r="W167" s="562"/>
      <c r="X167" s="562"/>
      <c r="Y167" s="562"/>
      <c r="Z167" s="562"/>
    </row>
    <row r="168" ht="12.0" customHeight="1">
      <c r="A168" s="562"/>
      <c r="B168" s="562"/>
      <c r="C168" s="562"/>
      <c r="D168" s="562"/>
      <c r="E168" s="562"/>
      <c r="F168" s="562"/>
      <c r="G168" s="562"/>
      <c r="H168" s="562"/>
      <c r="I168" s="562"/>
      <c r="J168" s="562"/>
      <c r="K168" s="562"/>
      <c r="L168" s="562"/>
      <c r="M168" s="562"/>
      <c r="N168" s="562"/>
      <c r="O168" s="569"/>
      <c r="P168" s="570"/>
      <c r="Q168" s="562"/>
      <c r="R168" s="562"/>
      <c r="S168" s="562"/>
      <c r="T168" s="562"/>
      <c r="U168" s="562"/>
      <c r="V168" s="562"/>
      <c r="W168" s="562"/>
      <c r="X168" s="562"/>
      <c r="Y168" s="562"/>
      <c r="Z168" s="562"/>
    </row>
    <row r="169" ht="12.0" customHeight="1">
      <c r="A169" s="562"/>
      <c r="B169" s="562"/>
      <c r="C169" s="562"/>
      <c r="D169" s="562"/>
      <c r="E169" s="562"/>
      <c r="F169" s="562"/>
      <c r="G169" s="562"/>
      <c r="H169" s="562"/>
      <c r="I169" s="562"/>
      <c r="J169" s="562"/>
      <c r="K169" s="562"/>
      <c r="L169" s="562"/>
      <c r="M169" s="562"/>
      <c r="N169" s="562"/>
      <c r="O169" s="569"/>
      <c r="P169" s="570"/>
      <c r="Q169" s="562"/>
      <c r="R169" s="562"/>
      <c r="S169" s="562"/>
      <c r="T169" s="562"/>
      <c r="U169" s="562"/>
      <c r="V169" s="562"/>
      <c r="W169" s="562"/>
      <c r="X169" s="562"/>
      <c r="Y169" s="562"/>
      <c r="Z169" s="562"/>
    </row>
    <row r="170" ht="12.0" customHeight="1">
      <c r="A170" s="562"/>
      <c r="B170" s="562"/>
      <c r="C170" s="562"/>
      <c r="D170" s="562"/>
      <c r="E170" s="562"/>
      <c r="F170" s="562"/>
      <c r="G170" s="562"/>
      <c r="H170" s="562"/>
      <c r="I170" s="562"/>
      <c r="J170" s="562"/>
      <c r="K170" s="562"/>
      <c r="L170" s="562"/>
      <c r="M170" s="562"/>
      <c r="N170" s="562"/>
      <c r="O170" s="569"/>
      <c r="P170" s="570"/>
      <c r="Q170" s="562"/>
      <c r="R170" s="562"/>
      <c r="S170" s="562"/>
      <c r="T170" s="562"/>
      <c r="U170" s="562"/>
      <c r="V170" s="562"/>
      <c r="W170" s="562"/>
      <c r="X170" s="562"/>
      <c r="Y170" s="562"/>
      <c r="Z170" s="562"/>
    </row>
    <row r="171" ht="12.0" customHeight="1">
      <c r="A171" s="562"/>
      <c r="B171" s="562"/>
      <c r="C171" s="562"/>
      <c r="D171" s="562"/>
      <c r="E171" s="562"/>
      <c r="F171" s="562"/>
      <c r="G171" s="562"/>
      <c r="H171" s="562"/>
      <c r="I171" s="562"/>
      <c r="J171" s="562"/>
      <c r="K171" s="562"/>
      <c r="L171" s="562"/>
      <c r="M171" s="562"/>
      <c r="N171" s="562"/>
      <c r="O171" s="569"/>
      <c r="P171" s="570"/>
      <c r="Q171" s="562"/>
      <c r="R171" s="562"/>
      <c r="S171" s="562"/>
      <c r="T171" s="562"/>
      <c r="U171" s="562"/>
      <c r="V171" s="562"/>
      <c r="W171" s="562"/>
      <c r="X171" s="562"/>
      <c r="Y171" s="562"/>
      <c r="Z171" s="562"/>
    </row>
    <row r="172" ht="12.0" customHeight="1">
      <c r="A172" s="562"/>
      <c r="B172" s="562"/>
      <c r="C172" s="562"/>
      <c r="D172" s="562"/>
      <c r="E172" s="562"/>
      <c r="F172" s="562"/>
      <c r="G172" s="562"/>
      <c r="H172" s="562"/>
      <c r="I172" s="562"/>
      <c r="J172" s="562"/>
      <c r="K172" s="562"/>
      <c r="L172" s="562"/>
      <c r="M172" s="562"/>
      <c r="N172" s="562"/>
      <c r="O172" s="569"/>
      <c r="P172" s="570"/>
      <c r="Q172" s="562"/>
      <c r="R172" s="562"/>
      <c r="S172" s="562"/>
      <c r="T172" s="562"/>
      <c r="U172" s="562"/>
      <c r="V172" s="562"/>
      <c r="W172" s="562"/>
      <c r="X172" s="562"/>
      <c r="Y172" s="562"/>
      <c r="Z172" s="562"/>
    </row>
    <row r="173" ht="12.0" customHeight="1">
      <c r="A173" s="562"/>
      <c r="B173" s="562"/>
      <c r="C173" s="562"/>
      <c r="D173" s="562"/>
      <c r="E173" s="562"/>
      <c r="F173" s="562"/>
      <c r="G173" s="562"/>
      <c r="H173" s="562"/>
      <c r="I173" s="562"/>
      <c r="J173" s="562"/>
      <c r="K173" s="562"/>
      <c r="L173" s="562"/>
      <c r="M173" s="562"/>
      <c r="N173" s="562"/>
      <c r="O173" s="569"/>
      <c r="P173" s="570"/>
      <c r="Q173" s="562"/>
      <c r="R173" s="562"/>
      <c r="S173" s="562"/>
      <c r="T173" s="562"/>
      <c r="U173" s="562"/>
      <c r="V173" s="562"/>
      <c r="W173" s="562"/>
      <c r="X173" s="562"/>
      <c r="Y173" s="562"/>
      <c r="Z173" s="562"/>
    </row>
    <row r="174" ht="12.0" customHeight="1">
      <c r="A174" s="562"/>
      <c r="B174" s="562"/>
      <c r="C174" s="562"/>
      <c r="D174" s="562"/>
      <c r="E174" s="562"/>
      <c r="F174" s="562"/>
      <c r="G174" s="562"/>
      <c r="H174" s="562"/>
      <c r="I174" s="562"/>
      <c r="J174" s="562"/>
      <c r="K174" s="562"/>
      <c r="L174" s="562"/>
      <c r="M174" s="562"/>
      <c r="N174" s="562"/>
      <c r="O174" s="569"/>
      <c r="P174" s="570"/>
      <c r="Q174" s="562"/>
      <c r="R174" s="562"/>
      <c r="S174" s="562"/>
      <c r="T174" s="562"/>
      <c r="U174" s="562"/>
      <c r="V174" s="562"/>
      <c r="W174" s="562"/>
      <c r="X174" s="562"/>
      <c r="Y174" s="562"/>
      <c r="Z174" s="562"/>
    </row>
    <row r="175" ht="12.0" customHeight="1">
      <c r="A175" s="562"/>
      <c r="B175" s="562"/>
      <c r="C175" s="562"/>
      <c r="D175" s="562"/>
      <c r="E175" s="562"/>
      <c r="F175" s="562"/>
      <c r="G175" s="562"/>
      <c r="H175" s="562"/>
      <c r="I175" s="562"/>
      <c r="J175" s="562"/>
      <c r="K175" s="562"/>
      <c r="L175" s="562"/>
      <c r="M175" s="562"/>
      <c r="N175" s="562"/>
      <c r="O175" s="569"/>
      <c r="P175" s="570"/>
      <c r="Q175" s="562"/>
      <c r="R175" s="562"/>
      <c r="S175" s="562"/>
      <c r="T175" s="562"/>
      <c r="U175" s="562"/>
      <c r="V175" s="562"/>
      <c r="W175" s="562"/>
      <c r="X175" s="562"/>
      <c r="Y175" s="562"/>
      <c r="Z175" s="562"/>
    </row>
    <row r="176" ht="12.0" customHeight="1">
      <c r="A176" s="562"/>
      <c r="B176" s="562"/>
      <c r="C176" s="562"/>
      <c r="D176" s="562"/>
      <c r="E176" s="562"/>
      <c r="F176" s="562"/>
      <c r="G176" s="562"/>
      <c r="H176" s="562"/>
      <c r="I176" s="562"/>
      <c r="J176" s="562"/>
      <c r="K176" s="562"/>
      <c r="L176" s="562"/>
      <c r="M176" s="562"/>
      <c r="N176" s="562"/>
      <c r="O176" s="569"/>
      <c r="P176" s="570"/>
      <c r="Q176" s="562"/>
      <c r="R176" s="562"/>
      <c r="S176" s="562"/>
      <c r="T176" s="562"/>
      <c r="U176" s="562"/>
      <c r="V176" s="562"/>
      <c r="W176" s="562"/>
      <c r="X176" s="562"/>
      <c r="Y176" s="562"/>
      <c r="Z176" s="562"/>
    </row>
    <row r="177" ht="12.0" customHeight="1">
      <c r="A177" s="562"/>
      <c r="B177" s="562"/>
      <c r="C177" s="562"/>
      <c r="D177" s="562"/>
      <c r="E177" s="562"/>
      <c r="F177" s="562"/>
      <c r="G177" s="562"/>
      <c r="H177" s="562"/>
      <c r="I177" s="562"/>
      <c r="J177" s="562"/>
      <c r="K177" s="562"/>
      <c r="L177" s="562"/>
      <c r="M177" s="562"/>
      <c r="N177" s="562"/>
      <c r="O177" s="569"/>
      <c r="P177" s="570"/>
      <c r="Q177" s="562"/>
      <c r="R177" s="562"/>
      <c r="S177" s="562"/>
      <c r="T177" s="562"/>
      <c r="U177" s="562"/>
      <c r="V177" s="562"/>
      <c r="W177" s="562"/>
      <c r="X177" s="562"/>
      <c r="Y177" s="562"/>
      <c r="Z177" s="562"/>
    </row>
    <row r="178" ht="12.0" customHeight="1">
      <c r="A178" s="562"/>
      <c r="B178" s="562"/>
      <c r="C178" s="562"/>
      <c r="D178" s="562"/>
      <c r="E178" s="562"/>
      <c r="F178" s="562"/>
      <c r="G178" s="562"/>
      <c r="H178" s="562"/>
      <c r="I178" s="562"/>
      <c r="J178" s="562"/>
      <c r="K178" s="562"/>
      <c r="L178" s="562"/>
      <c r="M178" s="562"/>
      <c r="N178" s="562"/>
      <c r="O178" s="569"/>
      <c r="P178" s="570"/>
      <c r="Q178" s="562"/>
      <c r="R178" s="562"/>
      <c r="S178" s="562"/>
      <c r="T178" s="562"/>
      <c r="U178" s="562"/>
      <c r="V178" s="562"/>
      <c r="W178" s="562"/>
      <c r="X178" s="562"/>
      <c r="Y178" s="562"/>
      <c r="Z178" s="562"/>
    </row>
    <row r="179" ht="12.0" customHeight="1">
      <c r="A179" s="562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9"/>
      <c r="P179" s="570"/>
      <c r="Q179" s="562"/>
      <c r="R179" s="562"/>
      <c r="S179" s="562"/>
      <c r="T179" s="562"/>
      <c r="U179" s="562"/>
      <c r="V179" s="562"/>
      <c r="W179" s="562"/>
      <c r="X179" s="562"/>
      <c r="Y179" s="562"/>
      <c r="Z179" s="562"/>
    </row>
    <row r="180" ht="12.0" customHeight="1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9"/>
      <c r="P180" s="570"/>
      <c r="Q180" s="562"/>
      <c r="R180" s="562"/>
      <c r="S180" s="562"/>
      <c r="T180" s="562"/>
      <c r="U180" s="562"/>
      <c r="V180" s="562"/>
      <c r="W180" s="562"/>
      <c r="X180" s="562"/>
      <c r="Y180" s="562"/>
      <c r="Z180" s="562"/>
    </row>
    <row r="181" ht="12.0" customHeight="1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9"/>
      <c r="P181" s="570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</row>
    <row r="182" ht="12.0" customHeight="1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9"/>
      <c r="P182" s="570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</row>
    <row r="183" ht="12.0" customHeight="1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9"/>
      <c r="P183" s="570"/>
      <c r="Q183" s="562"/>
      <c r="R183" s="562"/>
      <c r="S183" s="562"/>
      <c r="T183" s="562"/>
      <c r="U183" s="562"/>
      <c r="V183" s="562"/>
      <c r="W183" s="562"/>
      <c r="X183" s="562"/>
      <c r="Y183" s="562"/>
      <c r="Z183" s="562"/>
    </row>
    <row r="184" ht="12.0" customHeight="1">
      <c r="A184" s="562"/>
      <c r="B184" s="562"/>
      <c r="C184" s="562"/>
      <c r="D184" s="562"/>
      <c r="E184" s="562"/>
      <c r="F184" s="562"/>
      <c r="G184" s="562"/>
      <c r="H184" s="562"/>
      <c r="I184" s="562"/>
      <c r="J184" s="562"/>
      <c r="K184" s="562"/>
      <c r="L184" s="562"/>
      <c r="M184" s="562"/>
      <c r="N184" s="562"/>
      <c r="O184" s="569"/>
      <c r="P184" s="570"/>
      <c r="Q184" s="562"/>
      <c r="R184" s="562"/>
      <c r="S184" s="562"/>
      <c r="T184" s="562"/>
      <c r="U184" s="562"/>
      <c r="V184" s="562"/>
      <c r="W184" s="562"/>
      <c r="X184" s="562"/>
      <c r="Y184" s="562"/>
      <c r="Z184" s="562"/>
    </row>
    <row r="185" ht="12.0" customHeight="1">
      <c r="A185" s="562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9"/>
      <c r="P185" s="570"/>
      <c r="Q185" s="562"/>
      <c r="R185" s="562"/>
      <c r="S185" s="562"/>
      <c r="T185" s="562"/>
      <c r="U185" s="562"/>
      <c r="V185" s="562"/>
      <c r="W185" s="562"/>
      <c r="X185" s="562"/>
      <c r="Y185" s="562"/>
      <c r="Z185" s="562"/>
    </row>
    <row r="186" ht="12.0" customHeight="1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9"/>
      <c r="P186" s="570"/>
      <c r="Q186" s="562"/>
      <c r="R186" s="562"/>
      <c r="S186" s="562"/>
      <c r="T186" s="562"/>
      <c r="U186" s="562"/>
      <c r="V186" s="562"/>
      <c r="W186" s="562"/>
      <c r="X186" s="562"/>
      <c r="Y186" s="562"/>
      <c r="Z186" s="562"/>
    </row>
    <row r="187" ht="12.0" customHeight="1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9"/>
      <c r="P187" s="570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</row>
    <row r="188" ht="12.0" customHeight="1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9"/>
      <c r="P188" s="570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</row>
    <row r="189" ht="12.0" customHeight="1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9"/>
      <c r="P189" s="570"/>
      <c r="Q189" s="562"/>
      <c r="R189" s="562"/>
      <c r="S189" s="562"/>
      <c r="T189" s="562"/>
      <c r="U189" s="562"/>
      <c r="V189" s="562"/>
      <c r="W189" s="562"/>
      <c r="X189" s="562"/>
      <c r="Y189" s="562"/>
      <c r="Z189" s="562"/>
    </row>
    <row r="190" ht="12.0" customHeight="1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9"/>
      <c r="P190" s="570"/>
      <c r="Q190" s="562"/>
      <c r="R190" s="562"/>
      <c r="S190" s="562"/>
      <c r="T190" s="562"/>
      <c r="U190" s="562"/>
      <c r="V190" s="562"/>
      <c r="W190" s="562"/>
      <c r="X190" s="562"/>
      <c r="Y190" s="562"/>
      <c r="Z190" s="562"/>
    </row>
    <row r="191" ht="12.0" customHeight="1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9"/>
      <c r="P191" s="570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</row>
    <row r="192" ht="12.0" customHeight="1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9"/>
      <c r="P192" s="570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</row>
    <row r="193" ht="12.0" customHeight="1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9"/>
      <c r="P193" s="570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</row>
    <row r="194" ht="12.0" customHeight="1">
      <c r="A194" s="562"/>
      <c r="B194" s="562"/>
      <c r="C194" s="562"/>
      <c r="D194" s="562"/>
      <c r="E194" s="562"/>
      <c r="F194" s="562"/>
      <c r="G194" s="562"/>
      <c r="H194" s="562"/>
      <c r="I194" s="562"/>
      <c r="J194" s="562"/>
      <c r="K194" s="562"/>
      <c r="L194" s="562"/>
      <c r="M194" s="562"/>
      <c r="N194" s="562"/>
      <c r="O194" s="569"/>
      <c r="P194" s="570"/>
      <c r="Q194" s="562"/>
      <c r="R194" s="562"/>
      <c r="S194" s="562"/>
      <c r="T194" s="562"/>
      <c r="U194" s="562"/>
      <c r="V194" s="562"/>
      <c r="W194" s="562"/>
      <c r="X194" s="562"/>
      <c r="Y194" s="562"/>
      <c r="Z194" s="562"/>
    </row>
    <row r="195" ht="12.0" customHeight="1">
      <c r="A195" s="562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9"/>
      <c r="P195" s="570"/>
      <c r="Q195" s="562"/>
      <c r="R195" s="562"/>
      <c r="S195" s="562"/>
      <c r="T195" s="562"/>
      <c r="U195" s="562"/>
      <c r="V195" s="562"/>
      <c r="W195" s="562"/>
      <c r="X195" s="562"/>
      <c r="Y195" s="562"/>
      <c r="Z195" s="562"/>
    </row>
    <row r="196" ht="12.0" customHeight="1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9"/>
      <c r="P196" s="570"/>
      <c r="Q196" s="562"/>
      <c r="R196" s="562"/>
      <c r="S196" s="562"/>
      <c r="T196" s="562"/>
      <c r="U196" s="562"/>
      <c r="V196" s="562"/>
      <c r="W196" s="562"/>
      <c r="X196" s="562"/>
      <c r="Y196" s="562"/>
      <c r="Z196" s="562"/>
    </row>
    <row r="197" ht="12.0" customHeight="1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9"/>
      <c r="P197" s="570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</row>
    <row r="198" ht="12.0" customHeight="1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9"/>
      <c r="P198" s="570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</row>
    <row r="199" ht="12.0" customHeight="1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9"/>
      <c r="P199" s="570"/>
      <c r="Q199" s="562"/>
      <c r="R199" s="562"/>
      <c r="S199" s="562"/>
      <c r="T199" s="562"/>
      <c r="U199" s="562"/>
      <c r="V199" s="562"/>
      <c r="W199" s="562"/>
      <c r="X199" s="562"/>
      <c r="Y199" s="562"/>
      <c r="Z199" s="562"/>
    </row>
    <row r="200" ht="12.0" customHeight="1">
      <c r="A200" s="562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9"/>
      <c r="P200" s="570"/>
      <c r="Q200" s="562"/>
      <c r="R200" s="562"/>
      <c r="S200" s="562"/>
      <c r="T200" s="562"/>
      <c r="U200" s="562"/>
      <c r="V200" s="562"/>
      <c r="W200" s="562"/>
      <c r="X200" s="562"/>
      <c r="Y200" s="562"/>
      <c r="Z200" s="562"/>
    </row>
    <row r="201" ht="12.0" customHeight="1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9"/>
      <c r="P201" s="570"/>
      <c r="Q201" s="562"/>
      <c r="R201" s="562"/>
      <c r="S201" s="562"/>
      <c r="T201" s="562"/>
      <c r="U201" s="562"/>
      <c r="V201" s="562"/>
      <c r="W201" s="562"/>
      <c r="X201" s="562"/>
      <c r="Y201" s="562"/>
      <c r="Z201" s="562"/>
    </row>
    <row r="202" ht="12.0" customHeight="1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9"/>
      <c r="P202" s="570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</row>
    <row r="203" ht="12.0" customHeight="1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9"/>
      <c r="P203" s="570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</row>
    <row r="204" ht="12.0" customHeight="1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9"/>
      <c r="P204" s="570"/>
      <c r="Q204" s="562"/>
      <c r="R204" s="562"/>
      <c r="S204" s="562"/>
      <c r="T204" s="562"/>
      <c r="U204" s="562"/>
      <c r="V204" s="562"/>
      <c r="W204" s="562"/>
      <c r="X204" s="562"/>
      <c r="Y204" s="562"/>
      <c r="Z204" s="562"/>
    </row>
    <row r="205" ht="12.0" customHeight="1">
      <c r="A205" s="562"/>
      <c r="B205" s="562"/>
      <c r="C205" s="562"/>
      <c r="D205" s="562"/>
      <c r="E205" s="562"/>
      <c r="F205" s="562"/>
      <c r="G205" s="562"/>
      <c r="H205" s="562"/>
      <c r="I205" s="562"/>
      <c r="J205" s="562"/>
      <c r="K205" s="562"/>
      <c r="L205" s="562"/>
      <c r="M205" s="562"/>
      <c r="N205" s="562"/>
      <c r="O205" s="569"/>
      <c r="P205" s="570"/>
      <c r="Q205" s="562"/>
      <c r="R205" s="562"/>
      <c r="S205" s="562"/>
      <c r="T205" s="562"/>
      <c r="U205" s="562"/>
      <c r="V205" s="562"/>
      <c r="W205" s="562"/>
      <c r="X205" s="562"/>
      <c r="Y205" s="562"/>
      <c r="Z205" s="562"/>
    </row>
    <row r="206" ht="12.0" customHeight="1">
      <c r="A206" s="562"/>
      <c r="B206" s="562"/>
      <c r="C206" s="562"/>
      <c r="D206" s="562"/>
      <c r="E206" s="562"/>
      <c r="F206" s="562"/>
      <c r="G206" s="562"/>
      <c r="H206" s="562"/>
      <c r="I206" s="562"/>
      <c r="J206" s="562"/>
      <c r="K206" s="562"/>
      <c r="L206" s="562"/>
      <c r="M206" s="562"/>
      <c r="N206" s="562"/>
      <c r="O206" s="569"/>
      <c r="P206" s="570"/>
      <c r="Q206" s="562"/>
      <c r="R206" s="562"/>
      <c r="S206" s="562"/>
      <c r="T206" s="562"/>
      <c r="U206" s="562"/>
      <c r="V206" s="562"/>
      <c r="W206" s="562"/>
      <c r="X206" s="562"/>
      <c r="Y206" s="562"/>
      <c r="Z206" s="562"/>
    </row>
    <row r="207" ht="12.0" customHeight="1">
      <c r="A207" s="562"/>
      <c r="B207" s="562"/>
      <c r="C207" s="562"/>
      <c r="D207" s="562"/>
      <c r="E207" s="562"/>
      <c r="F207" s="562"/>
      <c r="G207" s="562"/>
      <c r="H207" s="562"/>
      <c r="I207" s="562"/>
      <c r="J207" s="562"/>
      <c r="K207" s="562"/>
      <c r="L207" s="562"/>
      <c r="M207" s="562"/>
      <c r="N207" s="562"/>
      <c r="O207" s="569"/>
      <c r="P207" s="570"/>
      <c r="Q207" s="562"/>
      <c r="R207" s="562"/>
      <c r="S207" s="562"/>
      <c r="T207" s="562"/>
      <c r="U207" s="562"/>
      <c r="V207" s="562"/>
      <c r="W207" s="562"/>
      <c r="X207" s="562"/>
      <c r="Y207" s="562"/>
      <c r="Z207" s="562"/>
    </row>
    <row r="208" ht="12.0" customHeight="1">
      <c r="A208" s="562"/>
      <c r="B208" s="562"/>
      <c r="C208" s="562"/>
      <c r="D208" s="562"/>
      <c r="E208" s="562"/>
      <c r="F208" s="562"/>
      <c r="G208" s="562"/>
      <c r="H208" s="562"/>
      <c r="I208" s="562"/>
      <c r="J208" s="562"/>
      <c r="K208" s="562"/>
      <c r="L208" s="562"/>
      <c r="M208" s="562"/>
      <c r="N208" s="562"/>
      <c r="O208" s="569"/>
      <c r="P208" s="570"/>
      <c r="Q208" s="562"/>
      <c r="R208" s="562"/>
      <c r="S208" s="562"/>
      <c r="T208" s="562"/>
      <c r="U208" s="562"/>
      <c r="V208" s="562"/>
      <c r="W208" s="562"/>
      <c r="X208" s="562"/>
      <c r="Y208" s="562"/>
      <c r="Z208" s="562"/>
    </row>
    <row r="209" ht="12.0" customHeight="1">
      <c r="A209" s="562"/>
      <c r="B209" s="562"/>
      <c r="C209" s="562"/>
      <c r="D209" s="562"/>
      <c r="E209" s="562"/>
      <c r="F209" s="562"/>
      <c r="G209" s="562"/>
      <c r="H209" s="562"/>
      <c r="I209" s="562"/>
      <c r="J209" s="562"/>
      <c r="K209" s="562"/>
      <c r="L209" s="562"/>
      <c r="M209" s="562"/>
      <c r="N209" s="562"/>
      <c r="O209" s="569"/>
      <c r="P209" s="570"/>
      <c r="Q209" s="562"/>
      <c r="R209" s="562"/>
      <c r="S209" s="562"/>
      <c r="T209" s="562"/>
      <c r="U209" s="562"/>
      <c r="V209" s="562"/>
      <c r="W209" s="562"/>
      <c r="X209" s="562"/>
      <c r="Y209" s="562"/>
      <c r="Z209" s="562"/>
    </row>
    <row r="210" ht="12.0" customHeight="1">
      <c r="A210" s="562"/>
      <c r="B210" s="562"/>
      <c r="C210" s="562"/>
      <c r="D210" s="562"/>
      <c r="E210" s="562"/>
      <c r="F210" s="562"/>
      <c r="G210" s="562"/>
      <c r="H210" s="562"/>
      <c r="I210" s="562"/>
      <c r="J210" s="562"/>
      <c r="K210" s="562"/>
      <c r="L210" s="562"/>
      <c r="M210" s="562"/>
      <c r="N210" s="562"/>
      <c r="O210" s="569"/>
      <c r="P210" s="570"/>
      <c r="Q210" s="562"/>
      <c r="R210" s="562"/>
      <c r="S210" s="562"/>
      <c r="T210" s="562"/>
      <c r="U210" s="562"/>
      <c r="V210" s="562"/>
      <c r="W210" s="562"/>
      <c r="X210" s="562"/>
      <c r="Y210" s="562"/>
      <c r="Z210" s="562"/>
    </row>
    <row r="211" ht="12.0" customHeight="1">
      <c r="A211" s="562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9"/>
      <c r="P211" s="570"/>
      <c r="Q211" s="562"/>
      <c r="R211" s="562"/>
      <c r="S211" s="562"/>
      <c r="T211" s="562"/>
      <c r="U211" s="562"/>
      <c r="V211" s="562"/>
      <c r="W211" s="562"/>
      <c r="X211" s="562"/>
      <c r="Y211" s="562"/>
      <c r="Z211" s="562"/>
    </row>
    <row r="212" ht="12.0" customHeight="1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9"/>
      <c r="P212" s="570"/>
      <c r="Q212" s="562"/>
      <c r="R212" s="562"/>
      <c r="S212" s="562"/>
      <c r="T212" s="562"/>
      <c r="U212" s="562"/>
      <c r="V212" s="562"/>
      <c r="W212" s="562"/>
      <c r="X212" s="562"/>
      <c r="Y212" s="562"/>
      <c r="Z212" s="562"/>
    </row>
    <row r="213" ht="12.0" customHeight="1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9"/>
      <c r="P213" s="570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</row>
    <row r="214" ht="12.0" customHeight="1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9"/>
      <c r="P214" s="570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</row>
    <row r="215" ht="12.0" customHeight="1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9"/>
      <c r="P215" s="570"/>
      <c r="Q215" s="562"/>
      <c r="R215" s="562"/>
      <c r="S215" s="562"/>
      <c r="T215" s="562"/>
      <c r="U215" s="562"/>
      <c r="V215" s="562"/>
      <c r="W215" s="562"/>
      <c r="X215" s="562"/>
      <c r="Y215" s="562"/>
      <c r="Z215" s="562"/>
    </row>
    <row r="216" ht="12.0" customHeight="1">
      <c r="A216" s="562"/>
      <c r="B216" s="562"/>
      <c r="C216" s="562"/>
      <c r="D216" s="562"/>
      <c r="E216" s="562"/>
      <c r="F216" s="562"/>
      <c r="G216" s="562"/>
      <c r="H216" s="562"/>
      <c r="I216" s="562"/>
      <c r="J216" s="562"/>
      <c r="K216" s="562"/>
      <c r="L216" s="562"/>
      <c r="M216" s="562"/>
      <c r="N216" s="562"/>
      <c r="O216" s="569"/>
      <c r="P216" s="570"/>
      <c r="Q216" s="562"/>
      <c r="R216" s="562"/>
      <c r="S216" s="562"/>
      <c r="T216" s="562"/>
      <c r="U216" s="562"/>
      <c r="V216" s="562"/>
      <c r="W216" s="562"/>
      <c r="X216" s="562"/>
      <c r="Y216" s="562"/>
      <c r="Z216" s="562"/>
    </row>
    <row r="217" ht="12.0" customHeight="1">
      <c r="A217" s="562"/>
      <c r="B217" s="562"/>
      <c r="C217" s="562"/>
      <c r="D217" s="562"/>
      <c r="E217" s="562"/>
      <c r="F217" s="562"/>
      <c r="G217" s="562"/>
      <c r="H217" s="562"/>
      <c r="I217" s="562"/>
      <c r="J217" s="562"/>
      <c r="K217" s="562"/>
      <c r="L217" s="562"/>
      <c r="M217" s="562"/>
      <c r="N217" s="562"/>
      <c r="O217" s="569"/>
      <c r="P217" s="570"/>
      <c r="Q217" s="562"/>
      <c r="R217" s="562"/>
      <c r="S217" s="562"/>
      <c r="T217" s="562"/>
      <c r="U217" s="562"/>
      <c r="V217" s="562"/>
      <c r="W217" s="562"/>
      <c r="X217" s="562"/>
      <c r="Y217" s="562"/>
      <c r="Z217" s="562"/>
    </row>
    <row r="218" ht="12.0" customHeight="1">
      <c r="A218" s="562"/>
      <c r="B218" s="562"/>
      <c r="C218" s="562"/>
      <c r="D218" s="562"/>
      <c r="E218" s="562"/>
      <c r="F218" s="562"/>
      <c r="G218" s="562"/>
      <c r="H218" s="562"/>
      <c r="I218" s="562"/>
      <c r="J218" s="562"/>
      <c r="K218" s="562"/>
      <c r="L218" s="562"/>
      <c r="M218" s="562"/>
      <c r="N218" s="562"/>
      <c r="O218" s="569"/>
      <c r="P218" s="570"/>
      <c r="Q218" s="562"/>
      <c r="R218" s="562"/>
      <c r="S218" s="562"/>
      <c r="T218" s="562"/>
      <c r="U218" s="562"/>
      <c r="V218" s="562"/>
      <c r="W218" s="562"/>
      <c r="X218" s="562"/>
      <c r="Y218" s="562"/>
      <c r="Z218" s="562"/>
    </row>
    <row r="219" ht="12.0" customHeight="1">
      <c r="A219" s="562"/>
      <c r="B219" s="562"/>
      <c r="C219" s="562"/>
      <c r="D219" s="562"/>
      <c r="E219" s="562"/>
      <c r="F219" s="562"/>
      <c r="G219" s="562"/>
      <c r="H219" s="562"/>
      <c r="I219" s="562"/>
      <c r="J219" s="562"/>
      <c r="K219" s="562"/>
      <c r="L219" s="562"/>
      <c r="M219" s="562"/>
      <c r="N219" s="562"/>
      <c r="O219" s="569"/>
      <c r="P219" s="570"/>
      <c r="Q219" s="562"/>
      <c r="R219" s="562"/>
      <c r="S219" s="562"/>
      <c r="T219" s="562"/>
      <c r="U219" s="562"/>
      <c r="V219" s="562"/>
      <c r="W219" s="562"/>
      <c r="X219" s="562"/>
      <c r="Y219" s="562"/>
      <c r="Z219" s="562"/>
    </row>
    <row r="220" ht="12.0" customHeight="1">
      <c r="A220" s="562"/>
      <c r="B220" s="562"/>
      <c r="C220" s="562"/>
      <c r="D220" s="562"/>
      <c r="E220" s="562"/>
      <c r="F220" s="562"/>
      <c r="G220" s="562"/>
      <c r="H220" s="562"/>
      <c r="I220" s="562"/>
      <c r="J220" s="562"/>
      <c r="K220" s="562"/>
      <c r="L220" s="562"/>
      <c r="M220" s="562"/>
      <c r="N220" s="562"/>
      <c r="O220" s="569"/>
      <c r="P220" s="570"/>
      <c r="Q220" s="562"/>
      <c r="R220" s="562"/>
      <c r="S220" s="562"/>
      <c r="T220" s="562"/>
      <c r="U220" s="562"/>
      <c r="V220" s="562"/>
      <c r="W220" s="562"/>
      <c r="X220" s="562"/>
      <c r="Y220" s="562"/>
      <c r="Z220" s="562"/>
    </row>
    <row r="221" ht="12.0" customHeight="1">
      <c r="A221" s="562"/>
      <c r="B221" s="562"/>
      <c r="C221" s="562"/>
      <c r="D221" s="562"/>
      <c r="E221" s="562"/>
      <c r="F221" s="562"/>
      <c r="G221" s="562"/>
      <c r="H221" s="562"/>
      <c r="I221" s="562"/>
      <c r="J221" s="562"/>
      <c r="K221" s="562"/>
      <c r="L221" s="562"/>
      <c r="M221" s="562"/>
      <c r="N221" s="562"/>
      <c r="O221" s="569"/>
      <c r="P221" s="570"/>
      <c r="Q221" s="562"/>
      <c r="R221" s="562"/>
      <c r="S221" s="562"/>
      <c r="T221" s="562"/>
      <c r="U221" s="562"/>
      <c r="V221" s="562"/>
      <c r="W221" s="562"/>
      <c r="X221" s="562"/>
      <c r="Y221" s="562"/>
      <c r="Z221" s="562"/>
    </row>
    <row r="222" ht="12.0" customHeight="1">
      <c r="A222" s="562"/>
      <c r="B222" s="562"/>
      <c r="C222" s="562"/>
      <c r="D222" s="562"/>
      <c r="E222" s="562"/>
      <c r="F222" s="562"/>
      <c r="G222" s="562"/>
      <c r="H222" s="562"/>
      <c r="I222" s="562"/>
      <c r="J222" s="562"/>
      <c r="K222" s="562"/>
      <c r="L222" s="562"/>
      <c r="M222" s="562"/>
      <c r="N222" s="562"/>
      <c r="O222" s="569"/>
      <c r="P222" s="570"/>
      <c r="Q222" s="562"/>
      <c r="R222" s="562"/>
      <c r="S222" s="562"/>
      <c r="T222" s="562"/>
      <c r="U222" s="562"/>
      <c r="V222" s="562"/>
      <c r="W222" s="562"/>
      <c r="X222" s="562"/>
      <c r="Y222" s="562"/>
      <c r="Z222" s="562"/>
    </row>
    <row r="223" ht="12.0" customHeight="1">
      <c r="A223" s="562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9"/>
      <c r="P223" s="570"/>
      <c r="Q223" s="562"/>
      <c r="R223" s="562"/>
      <c r="S223" s="562"/>
      <c r="T223" s="562"/>
      <c r="U223" s="562"/>
      <c r="V223" s="562"/>
      <c r="W223" s="562"/>
      <c r="X223" s="562"/>
      <c r="Y223" s="562"/>
      <c r="Z223" s="562"/>
    </row>
    <row r="224" ht="12.0" customHeight="1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9"/>
      <c r="P224" s="570"/>
      <c r="Q224" s="562"/>
      <c r="R224" s="562"/>
      <c r="S224" s="562"/>
      <c r="T224" s="562"/>
      <c r="U224" s="562"/>
      <c r="V224" s="562"/>
      <c r="W224" s="562"/>
      <c r="X224" s="562"/>
      <c r="Y224" s="562"/>
      <c r="Z224" s="562"/>
    </row>
    <row r="225" ht="12.0" customHeight="1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9"/>
      <c r="P225" s="570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</row>
    <row r="226" ht="12.0" customHeight="1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9"/>
      <c r="P226" s="570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</row>
    <row r="227" ht="12.0" customHeight="1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9"/>
      <c r="P227" s="570"/>
      <c r="Q227" s="562"/>
      <c r="R227" s="562"/>
      <c r="S227" s="562"/>
      <c r="T227" s="562"/>
      <c r="U227" s="562"/>
      <c r="V227" s="562"/>
      <c r="W227" s="562"/>
      <c r="X227" s="562"/>
      <c r="Y227" s="562"/>
      <c r="Z227" s="562"/>
    </row>
    <row r="228" ht="12.0" customHeight="1">
      <c r="A228" s="562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9"/>
      <c r="P228" s="570"/>
      <c r="Q228" s="562"/>
      <c r="R228" s="562"/>
      <c r="S228" s="562"/>
      <c r="T228" s="562"/>
      <c r="U228" s="562"/>
      <c r="V228" s="562"/>
      <c r="W228" s="562"/>
      <c r="X228" s="562"/>
      <c r="Y228" s="562"/>
      <c r="Z228" s="562"/>
    </row>
    <row r="229" ht="12.0" customHeight="1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9"/>
      <c r="P229" s="570"/>
      <c r="Q229" s="562"/>
      <c r="R229" s="562"/>
      <c r="S229" s="562"/>
      <c r="T229" s="562"/>
      <c r="U229" s="562"/>
      <c r="V229" s="562"/>
      <c r="W229" s="562"/>
      <c r="X229" s="562"/>
      <c r="Y229" s="562"/>
      <c r="Z229" s="562"/>
    </row>
    <row r="230" ht="12.0" customHeight="1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9"/>
      <c r="P230" s="570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</row>
    <row r="231" ht="12.0" customHeight="1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9"/>
      <c r="P231" s="570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</row>
    <row r="232" ht="12.0" customHeight="1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9"/>
      <c r="P232" s="570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</row>
    <row r="233" ht="12.0" customHeight="1">
      <c r="A233" s="562"/>
      <c r="B233" s="562"/>
      <c r="C233" s="562"/>
      <c r="D233" s="562"/>
      <c r="E233" s="562"/>
      <c r="F233" s="562"/>
      <c r="G233" s="562"/>
      <c r="H233" s="562"/>
      <c r="I233" s="562"/>
      <c r="J233" s="562"/>
      <c r="K233" s="562"/>
      <c r="L233" s="562"/>
      <c r="M233" s="562"/>
      <c r="N233" s="562"/>
      <c r="O233" s="569"/>
      <c r="P233" s="570"/>
      <c r="Q233" s="562"/>
      <c r="R233" s="562"/>
      <c r="S233" s="562"/>
      <c r="T233" s="562"/>
      <c r="U233" s="562"/>
      <c r="V233" s="562"/>
      <c r="W233" s="562"/>
      <c r="X233" s="562"/>
      <c r="Y233" s="562"/>
      <c r="Z233" s="562"/>
    </row>
    <row r="234" ht="12.0" customHeight="1">
      <c r="A234" s="562"/>
      <c r="B234" s="562"/>
      <c r="C234" s="562"/>
      <c r="D234" s="562"/>
      <c r="E234" s="562"/>
      <c r="F234" s="562"/>
      <c r="G234" s="562"/>
      <c r="H234" s="562"/>
      <c r="I234" s="562"/>
      <c r="J234" s="562"/>
      <c r="K234" s="562"/>
      <c r="L234" s="562"/>
      <c r="M234" s="562"/>
      <c r="N234" s="562"/>
      <c r="O234" s="569"/>
      <c r="P234" s="570"/>
      <c r="Q234" s="562"/>
      <c r="R234" s="562"/>
      <c r="S234" s="562"/>
      <c r="T234" s="562"/>
      <c r="U234" s="562"/>
      <c r="V234" s="562"/>
      <c r="W234" s="562"/>
      <c r="X234" s="562"/>
      <c r="Y234" s="562"/>
      <c r="Z234" s="562"/>
    </row>
    <row r="235" ht="12.0" customHeight="1">
      <c r="A235" s="562"/>
      <c r="B235" s="562"/>
      <c r="C235" s="562"/>
      <c r="D235" s="562"/>
      <c r="E235" s="562"/>
      <c r="F235" s="562"/>
      <c r="G235" s="562"/>
      <c r="H235" s="562"/>
      <c r="I235" s="562"/>
      <c r="J235" s="562"/>
      <c r="K235" s="562"/>
      <c r="L235" s="562"/>
      <c r="M235" s="562"/>
      <c r="N235" s="562"/>
      <c r="O235" s="569"/>
      <c r="P235" s="570"/>
      <c r="Q235" s="562"/>
      <c r="R235" s="562"/>
      <c r="S235" s="562"/>
      <c r="T235" s="562"/>
      <c r="U235" s="562"/>
      <c r="V235" s="562"/>
      <c r="W235" s="562"/>
      <c r="X235" s="562"/>
      <c r="Y235" s="562"/>
      <c r="Z235" s="562"/>
    </row>
    <row r="236" ht="12.0" customHeight="1">
      <c r="A236" s="562"/>
      <c r="B236" s="562"/>
      <c r="C236" s="562"/>
      <c r="D236" s="562"/>
      <c r="E236" s="562"/>
      <c r="F236" s="562"/>
      <c r="G236" s="562"/>
      <c r="H236" s="562"/>
      <c r="I236" s="562"/>
      <c r="J236" s="562"/>
      <c r="K236" s="562"/>
      <c r="L236" s="562"/>
      <c r="M236" s="562"/>
      <c r="N236" s="562"/>
      <c r="O236" s="569"/>
      <c r="P236" s="570"/>
      <c r="Q236" s="562"/>
      <c r="R236" s="562"/>
      <c r="S236" s="562"/>
      <c r="T236" s="562"/>
      <c r="U236" s="562"/>
      <c r="V236" s="562"/>
      <c r="W236" s="562"/>
      <c r="X236" s="562"/>
      <c r="Y236" s="562"/>
      <c r="Z236" s="562"/>
    </row>
    <row r="237" ht="12.0" customHeight="1">
      <c r="A237" s="562"/>
      <c r="B237" s="562"/>
      <c r="C237" s="562"/>
      <c r="D237" s="562"/>
      <c r="E237" s="562"/>
      <c r="F237" s="562"/>
      <c r="G237" s="562"/>
      <c r="H237" s="562"/>
      <c r="I237" s="562"/>
      <c r="J237" s="562"/>
      <c r="K237" s="562"/>
      <c r="L237" s="562"/>
      <c r="M237" s="562"/>
      <c r="N237" s="562"/>
      <c r="O237" s="569"/>
      <c r="P237" s="570"/>
      <c r="Q237" s="562"/>
      <c r="R237" s="562"/>
      <c r="S237" s="562"/>
      <c r="T237" s="562"/>
      <c r="U237" s="562"/>
      <c r="V237" s="562"/>
      <c r="W237" s="562"/>
      <c r="X237" s="562"/>
      <c r="Y237" s="562"/>
      <c r="Z237" s="562"/>
    </row>
    <row r="238" ht="12.0" customHeight="1">
      <c r="A238" s="562"/>
      <c r="B238" s="562"/>
      <c r="C238" s="562"/>
      <c r="D238" s="562"/>
      <c r="E238" s="562"/>
      <c r="F238" s="562"/>
      <c r="G238" s="562"/>
      <c r="H238" s="562"/>
      <c r="I238" s="562"/>
      <c r="J238" s="562"/>
      <c r="K238" s="562"/>
      <c r="L238" s="562"/>
      <c r="M238" s="562"/>
      <c r="N238" s="562"/>
      <c r="O238" s="569"/>
      <c r="P238" s="570"/>
      <c r="Q238" s="562"/>
      <c r="R238" s="562"/>
      <c r="S238" s="562"/>
      <c r="T238" s="562"/>
      <c r="U238" s="562"/>
      <c r="V238" s="562"/>
      <c r="W238" s="562"/>
      <c r="X238" s="562"/>
      <c r="Y238" s="562"/>
      <c r="Z238" s="562"/>
    </row>
    <row r="239" ht="12.0" customHeight="1">
      <c r="A239" s="562"/>
      <c r="B239" s="562"/>
      <c r="C239" s="562"/>
      <c r="D239" s="562"/>
      <c r="E239" s="562"/>
      <c r="F239" s="562"/>
      <c r="G239" s="562"/>
      <c r="H239" s="562"/>
      <c r="I239" s="562"/>
      <c r="J239" s="562"/>
      <c r="K239" s="562"/>
      <c r="L239" s="562"/>
      <c r="M239" s="562"/>
      <c r="N239" s="562"/>
      <c r="O239" s="569"/>
      <c r="P239" s="570"/>
      <c r="Q239" s="562"/>
      <c r="R239" s="562"/>
      <c r="S239" s="562"/>
      <c r="T239" s="562"/>
      <c r="U239" s="562"/>
      <c r="V239" s="562"/>
      <c r="W239" s="562"/>
      <c r="X239" s="562"/>
      <c r="Y239" s="562"/>
      <c r="Z239" s="562"/>
    </row>
    <row r="240" ht="12.0" customHeight="1">
      <c r="A240" s="562"/>
      <c r="B240" s="562"/>
      <c r="C240" s="562"/>
      <c r="D240" s="562"/>
      <c r="E240" s="562"/>
      <c r="F240" s="562"/>
      <c r="G240" s="562"/>
      <c r="H240" s="562"/>
      <c r="I240" s="562"/>
      <c r="J240" s="562"/>
      <c r="K240" s="562"/>
      <c r="L240" s="562"/>
      <c r="M240" s="562"/>
      <c r="N240" s="562"/>
      <c r="O240" s="569"/>
      <c r="P240" s="570"/>
      <c r="Q240" s="562"/>
      <c r="R240" s="562"/>
      <c r="S240" s="562"/>
      <c r="T240" s="562"/>
      <c r="U240" s="562"/>
      <c r="V240" s="562"/>
      <c r="W240" s="562"/>
      <c r="X240" s="562"/>
      <c r="Y240" s="562"/>
      <c r="Z240" s="562"/>
    </row>
    <row r="241" ht="12.0" customHeight="1">
      <c r="A241" s="562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9"/>
      <c r="P241" s="570"/>
      <c r="Q241" s="562"/>
      <c r="R241" s="562"/>
      <c r="S241" s="562"/>
      <c r="T241" s="562"/>
      <c r="U241" s="562"/>
      <c r="V241" s="562"/>
      <c r="W241" s="562"/>
      <c r="X241" s="562"/>
      <c r="Y241" s="562"/>
      <c r="Z241" s="562"/>
    </row>
    <row r="242" ht="12.0" customHeight="1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9"/>
      <c r="P242" s="570"/>
      <c r="Q242" s="562"/>
      <c r="R242" s="562"/>
      <c r="S242" s="562"/>
      <c r="T242" s="562"/>
      <c r="U242" s="562"/>
      <c r="V242" s="562"/>
      <c r="W242" s="562"/>
      <c r="X242" s="562"/>
      <c r="Y242" s="562"/>
      <c r="Z242" s="562"/>
    </row>
    <row r="243" ht="12.0" customHeight="1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9"/>
      <c r="P243" s="570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</row>
    <row r="244" ht="12.0" customHeight="1">
      <c r="A244" s="562"/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9"/>
      <c r="P244" s="570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</row>
    <row r="245" ht="12.0" customHeight="1">
      <c r="A245" s="562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9"/>
      <c r="P245" s="570"/>
      <c r="Q245" s="562"/>
      <c r="R245" s="562"/>
      <c r="S245" s="562"/>
      <c r="T245" s="562"/>
      <c r="U245" s="562"/>
      <c r="V245" s="562"/>
      <c r="W245" s="562"/>
      <c r="X245" s="562"/>
      <c r="Y245" s="562"/>
      <c r="Z245" s="562"/>
    </row>
    <row r="246" ht="12.0" customHeight="1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9"/>
      <c r="P246" s="570"/>
      <c r="Q246" s="562"/>
      <c r="R246" s="562"/>
      <c r="S246" s="562"/>
      <c r="T246" s="562"/>
      <c r="U246" s="562"/>
      <c r="V246" s="562"/>
      <c r="W246" s="562"/>
      <c r="X246" s="562"/>
      <c r="Y246" s="562"/>
      <c r="Z246" s="562"/>
    </row>
    <row r="247" ht="12.0" customHeight="1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9"/>
      <c r="P247" s="570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</row>
    <row r="248" ht="12.0" customHeight="1">
      <c r="A248" s="562"/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9"/>
      <c r="P248" s="570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</row>
    <row r="249" ht="12.0" customHeight="1">
      <c r="A249" s="562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9"/>
      <c r="P249" s="570"/>
      <c r="Q249" s="562"/>
      <c r="R249" s="562"/>
      <c r="S249" s="562"/>
      <c r="T249" s="562"/>
      <c r="U249" s="562"/>
      <c r="V249" s="562"/>
      <c r="W249" s="562"/>
      <c r="X249" s="562"/>
      <c r="Y249" s="562"/>
      <c r="Z249" s="562"/>
    </row>
    <row r="250" ht="12.0" customHeight="1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9"/>
      <c r="P250" s="570"/>
      <c r="Q250" s="562"/>
      <c r="R250" s="562"/>
      <c r="S250" s="562"/>
      <c r="T250" s="562"/>
      <c r="U250" s="562"/>
      <c r="V250" s="562"/>
      <c r="W250" s="562"/>
      <c r="X250" s="562"/>
      <c r="Y250" s="562"/>
      <c r="Z250" s="562"/>
    </row>
    <row r="251" ht="12.0" customHeight="1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9"/>
      <c r="P251" s="570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</row>
    <row r="252" ht="12.0" customHeight="1">
      <c r="A252" s="562"/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9"/>
      <c r="P252" s="570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</row>
    <row r="253" ht="12.0" customHeight="1">
      <c r="A253" s="562"/>
      <c r="B253" s="562"/>
      <c r="C253" s="562"/>
      <c r="D253" s="562"/>
      <c r="E253" s="562"/>
      <c r="F253" s="562"/>
      <c r="G253" s="562"/>
      <c r="H253" s="562"/>
      <c r="I253" s="562"/>
      <c r="J253" s="562"/>
      <c r="K253" s="562"/>
      <c r="L253" s="562"/>
      <c r="M253" s="562"/>
      <c r="N253" s="562"/>
      <c r="O253" s="569"/>
      <c r="P253" s="570"/>
      <c r="Q253" s="562"/>
      <c r="R253" s="562"/>
      <c r="S253" s="562"/>
      <c r="T253" s="562"/>
      <c r="U253" s="562"/>
      <c r="V253" s="562"/>
      <c r="W253" s="562"/>
      <c r="X253" s="562"/>
      <c r="Y253" s="562"/>
      <c r="Z253" s="562"/>
    </row>
    <row r="254" ht="12.0" customHeight="1">
      <c r="A254" s="562"/>
      <c r="B254" s="562"/>
      <c r="C254" s="562"/>
      <c r="D254" s="562"/>
      <c r="E254" s="562"/>
      <c r="F254" s="562"/>
      <c r="G254" s="562"/>
      <c r="H254" s="562"/>
      <c r="I254" s="562"/>
      <c r="J254" s="562"/>
      <c r="K254" s="562"/>
      <c r="L254" s="562"/>
      <c r="M254" s="562"/>
      <c r="N254" s="562"/>
      <c r="O254" s="569"/>
      <c r="P254" s="570"/>
      <c r="Q254" s="562"/>
      <c r="R254" s="562"/>
      <c r="S254" s="562"/>
      <c r="T254" s="562"/>
      <c r="U254" s="562"/>
      <c r="V254" s="562"/>
      <c r="W254" s="562"/>
      <c r="X254" s="562"/>
      <c r="Y254" s="562"/>
      <c r="Z254" s="562"/>
    </row>
    <row r="255" ht="12.0" customHeight="1">
      <c r="A255" s="562"/>
      <c r="B255" s="562"/>
      <c r="C255" s="562"/>
      <c r="D255" s="562"/>
      <c r="E255" s="562"/>
      <c r="F255" s="562"/>
      <c r="G255" s="562"/>
      <c r="H255" s="562"/>
      <c r="I255" s="562"/>
      <c r="J255" s="562"/>
      <c r="K255" s="562"/>
      <c r="L255" s="562"/>
      <c r="M255" s="562"/>
      <c r="N255" s="562"/>
      <c r="O255" s="569"/>
      <c r="P255" s="570"/>
      <c r="Q255" s="562"/>
      <c r="R255" s="562"/>
      <c r="S255" s="562"/>
      <c r="T255" s="562"/>
      <c r="U255" s="562"/>
      <c r="V255" s="562"/>
      <c r="W255" s="562"/>
      <c r="X255" s="562"/>
      <c r="Y255" s="562"/>
      <c r="Z255" s="562"/>
    </row>
    <row r="256" ht="12.0" customHeight="1">
      <c r="A256" s="562"/>
      <c r="B256" s="562"/>
      <c r="C256" s="562"/>
      <c r="D256" s="562"/>
      <c r="E256" s="562"/>
      <c r="F256" s="562"/>
      <c r="G256" s="562"/>
      <c r="H256" s="562"/>
      <c r="I256" s="562"/>
      <c r="J256" s="562"/>
      <c r="K256" s="562"/>
      <c r="L256" s="562"/>
      <c r="M256" s="562"/>
      <c r="N256" s="562"/>
      <c r="O256" s="569"/>
      <c r="P256" s="570"/>
      <c r="Q256" s="562"/>
      <c r="R256" s="562"/>
      <c r="S256" s="562"/>
      <c r="T256" s="562"/>
      <c r="U256" s="562"/>
      <c r="V256" s="562"/>
      <c r="W256" s="562"/>
      <c r="X256" s="562"/>
      <c r="Y256" s="562"/>
      <c r="Z256" s="562"/>
    </row>
    <row r="257" ht="12.0" customHeight="1">
      <c r="A257" s="562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9"/>
      <c r="P257" s="570"/>
      <c r="Q257" s="562"/>
      <c r="R257" s="562"/>
      <c r="S257" s="562"/>
      <c r="T257" s="562"/>
      <c r="U257" s="562"/>
      <c r="V257" s="562"/>
      <c r="W257" s="562"/>
      <c r="X257" s="562"/>
      <c r="Y257" s="562"/>
      <c r="Z257" s="562"/>
    </row>
    <row r="258" ht="12.0" customHeight="1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9"/>
      <c r="P258" s="570"/>
      <c r="Q258" s="562"/>
      <c r="R258" s="562"/>
      <c r="S258" s="562"/>
      <c r="T258" s="562"/>
      <c r="U258" s="562"/>
      <c r="V258" s="562"/>
      <c r="W258" s="562"/>
      <c r="X258" s="562"/>
      <c r="Y258" s="562"/>
      <c r="Z258" s="562"/>
    </row>
    <row r="259" ht="12.0" customHeight="1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9"/>
      <c r="P259" s="570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</row>
    <row r="260" ht="12.0" customHeight="1">
      <c r="A260" s="562"/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9"/>
      <c r="P260" s="570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</row>
    <row r="261" ht="12.0" customHeight="1">
      <c r="A261" s="562"/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9"/>
      <c r="P261" s="570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</row>
    <row r="262" ht="12.0" customHeight="1">
      <c r="A262" s="562"/>
      <c r="B262" s="562"/>
      <c r="C262" s="562"/>
      <c r="D262" s="562"/>
      <c r="E262" s="562"/>
      <c r="F262" s="562"/>
      <c r="G262" s="562"/>
      <c r="H262" s="562"/>
      <c r="I262" s="562"/>
      <c r="J262" s="562"/>
      <c r="K262" s="562"/>
      <c r="L262" s="562"/>
      <c r="M262" s="562"/>
      <c r="N262" s="562"/>
      <c r="O262" s="569"/>
      <c r="P262" s="570"/>
      <c r="Q262" s="562"/>
      <c r="R262" s="562"/>
      <c r="S262" s="562"/>
      <c r="T262" s="562"/>
      <c r="U262" s="562"/>
      <c r="V262" s="562"/>
      <c r="W262" s="562"/>
      <c r="X262" s="562"/>
      <c r="Y262" s="562"/>
      <c r="Z262" s="562"/>
    </row>
    <row r="263" ht="12.0" customHeight="1">
      <c r="A263" s="562"/>
      <c r="B263" s="562"/>
      <c r="C263" s="562"/>
      <c r="D263" s="562"/>
      <c r="E263" s="562"/>
      <c r="F263" s="562"/>
      <c r="G263" s="562"/>
      <c r="H263" s="562"/>
      <c r="I263" s="562"/>
      <c r="J263" s="562"/>
      <c r="K263" s="562"/>
      <c r="L263" s="562"/>
      <c r="M263" s="562"/>
      <c r="N263" s="562"/>
      <c r="O263" s="569"/>
      <c r="P263" s="570"/>
      <c r="Q263" s="562"/>
      <c r="R263" s="562"/>
      <c r="S263" s="562"/>
      <c r="T263" s="562"/>
      <c r="U263" s="562"/>
      <c r="V263" s="562"/>
      <c r="W263" s="562"/>
      <c r="X263" s="562"/>
      <c r="Y263" s="562"/>
      <c r="Z263" s="562"/>
    </row>
    <row r="264" ht="12.0" customHeight="1">
      <c r="A264" s="562"/>
      <c r="B264" s="562"/>
      <c r="C264" s="562"/>
      <c r="D264" s="562"/>
      <c r="E264" s="562"/>
      <c r="F264" s="562"/>
      <c r="G264" s="562"/>
      <c r="H264" s="562"/>
      <c r="I264" s="562"/>
      <c r="J264" s="562"/>
      <c r="K264" s="562"/>
      <c r="L264" s="562"/>
      <c r="M264" s="562"/>
      <c r="N264" s="562"/>
      <c r="O264" s="569"/>
      <c r="P264" s="570"/>
      <c r="Q264" s="562"/>
      <c r="R264" s="562"/>
      <c r="S264" s="562"/>
      <c r="T264" s="562"/>
      <c r="U264" s="562"/>
      <c r="V264" s="562"/>
      <c r="W264" s="562"/>
      <c r="X264" s="562"/>
      <c r="Y264" s="562"/>
      <c r="Z264" s="562"/>
    </row>
    <row r="265" ht="12.0" customHeight="1">
      <c r="A265" s="562"/>
      <c r="B265" s="562"/>
      <c r="C265" s="562"/>
      <c r="D265" s="562"/>
      <c r="E265" s="562"/>
      <c r="F265" s="562"/>
      <c r="G265" s="562"/>
      <c r="H265" s="562"/>
      <c r="I265" s="562"/>
      <c r="J265" s="562"/>
      <c r="K265" s="562"/>
      <c r="L265" s="562"/>
      <c r="M265" s="562"/>
      <c r="N265" s="562"/>
      <c r="O265" s="569"/>
      <c r="P265" s="570"/>
      <c r="Q265" s="562"/>
      <c r="R265" s="562"/>
      <c r="S265" s="562"/>
      <c r="T265" s="562"/>
      <c r="U265" s="562"/>
      <c r="V265" s="562"/>
      <c r="W265" s="562"/>
      <c r="X265" s="562"/>
      <c r="Y265" s="562"/>
      <c r="Z265" s="562"/>
    </row>
    <row r="266" ht="12.0" customHeight="1">
      <c r="A266" s="562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9"/>
      <c r="P266" s="570"/>
      <c r="Q266" s="562"/>
      <c r="R266" s="562"/>
      <c r="S266" s="562"/>
      <c r="T266" s="562"/>
      <c r="U266" s="562"/>
      <c r="V266" s="562"/>
      <c r="W266" s="562"/>
      <c r="X266" s="562"/>
      <c r="Y266" s="562"/>
      <c r="Z266" s="562"/>
    </row>
    <row r="267" ht="12.0" customHeight="1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9"/>
      <c r="P267" s="570"/>
      <c r="Q267" s="562"/>
      <c r="R267" s="562"/>
      <c r="S267" s="562"/>
      <c r="T267" s="562"/>
      <c r="U267" s="562"/>
      <c r="V267" s="562"/>
      <c r="W267" s="562"/>
      <c r="X267" s="562"/>
      <c r="Y267" s="562"/>
      <c r="Z267" s="562"/>
    </row>
    <row r="268" ht="12.0" customHeight="1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9"/>
      <c r="P268" s="570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</row>
    <row r="269" ht="12.0" customHeight="1">
      <c r="A269" s="562"/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9"/>
      <c r="P269" s="570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</row>
    <row r="270" ht="12.0" customHeight="1">
      <c r="A270" s="562"/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9"/>
      <c r="P270" s="570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</row>
    <row r="271" ht="12.0" customHeight="1">
      <c r="A271" s="562"/>
      <c r="B271" s="562"/>
      <c r="C271" s="562"/>
      <c r="D271" s="562"/>
      <c r="E271" s="562"/>
      <c r="F271" s="562"/>
      <c r="G271" s="562"/>
      <c r="H271" s="562"/>
      <c r="I271" s="562"/>
      <c r="J271" s="562"/>
      <c r="K271" s="562"/>
      <c r="L271" s="562"/>
      <c r="M271" s="562"/>
      <c r="N271" s="562"/>
      <c r="O271" s="569"/>
      <c r="P271" s="570"/>
      <c r="Q271" s="562"/>
      <c r="R271" s="562"/>
      <c r="S271" s="562"/>
      <c r="T271" s="562"/>
      <c r="U271" s="562"/>
      <c r="V271" s="562"/>
      <c r="W271" s="562"/>
      <c r="X271" s="562"/>
      <c r="Y271" s="562"/>
      <c r="Z271" s="562"/>
    </row>
    <row r="272" ht="12.0" customHeight="1">
      <c r="A272" s="562"/>
      <c r="B272" s="562"/>
      <c r="C272" s="562"/>
      <c r="D272" s="562"/>
      <c r="E272" s="562"/>
      <c r="F272" s="562"/>
      <c r="G272" s="562"/>
      <c r="H272" s="562"/>
      <c r="I272" s="562"/>
      <c r="J272" s="562"/>
      <c r="K272" s="562"/>
      <c r="L272" s="562"/>
      <c r="M272" s="562"/>
      <c r="N272" s="562"/>
      <c r="O272" s="569"/>
      <c r="P272" s="570"/>
      <c r="Q272" s="562"/>
      <c r="R272" s="562"/>
      <c r="S272" s="562"/>
      <c r="T272" s="562"/>
      <c r="U272" s="562"/>
      <c r="V272" s="562"/>
      <c r="W272" s="562"/>
      <c r="X272" s="562"/>
      <c r="Y272" s="562"/>
      <c r="Z272" s="562"/>
    </row>
    <row r="273" ht="12.0" customHeight="1">
      <c r="A273" s="562"/>
      <c r="B273" s="562"/>
      <c r="C273" s="562"/>
      <c r="D273" s="562"/>
      <c r="E273" s="562"/>
      <c r="F273" s="562"/>
      <c r="G273" s="562"/>
      <c r="H273" s="562"/>
      <c r="I273" s="562"/>
      <c r="J273" s="562"/>
      <c r="K273" s="562"/>
      <c r="L273" s="562"/>
      <c r="M273" s="562"/>
      <c r="N273" s="562"/>
      <c r="O273" s="569"/>
      <c r="P273" s="570"/>
      <c r="Q273" s="562"/>
      <c r="R273" s="562"/>
      <c r="S273" s="562"/>
      <c r="T273" s="562"/>
      <c r="U273" s="562"/>
      <c r="V273" s="562"/>
      <c r="W273" s="562"/>
      <c r="X273" s="562"/>
      <c r="Y273" s="562"/>
      <c r="Z273" s="562"/>
    </row>
    <row r="274" ht="12.0" customHeight="1">
      <c r="A274" s="562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9"/>
      <c r="P274" s="570"/>
      <c r="Q274" s="562"/>
      <c r="R274" s="562"/>
      <c r="S274" s="562"/>
      <c r="T274" s="562"/>
      <c r="U274" s="562"/>
      <c r="V274" s="562"/>
      <c r="W274" s="562"/>
      <c r="X274" s="562"/>
      <c r="Y274" s="562"/>
      <c r="Z274" s="562"/>
    </row>
    <row r="275" ht="12.0" customHeight="1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9"/>
      <c r="P275" s="570"/>
      <c r="Q275" s="562"/>
      <c r="R275" s="562"/>
      <c r="S275" s="562"/>
      <c r="T275" s="562"/>
      <c r="U275" s="562"/>
      <c r="V275" s="562"/>
      <c r="W275" s="562"/>
      <c r="X275" s="562"/>
      <c r="Y275" s="562"/>
      <c r="Z275" s="562"/>
    </row>
    <row r="276" ht="12.0" customHeight="1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9"/>
      <c r="P276" s="570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</row>
    <row r="277" ht="12.0" customHeight="1">
      <c r="A277" s="562"/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9"/>
      <c r="P277" s="570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</row>
    <row r="278" ht="12.0" customHeight="1">
      <c r="A278" s="562"/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9"/>
      <c r="P278" s="570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</row>
    <row r="279" ht="12.0" customHeight="1">
      <c r="A279" s="562"/>
      <c r="B279" s="562"/>
      <c r="C279" s="562"/>
      <c r="D279" s="562"/>
      <c r="E279" s="562"/>
      <c r="F279" s="562"/>
      <c r="G279" s="562"/>
      <c r="H279" s="562"/>
      <c r="I279" s="562"/>
      <c r="J279" s="562"/>
      <c r="K279" s="562"/>
      <c r="L279" s="562"/>
      <c r="M279" s="562"/>
      <c r="N279" s="562"/>
      <c r="O279" s="569"/>
      <c r="P279" s="570"/>
      <c r="Q279" s="562"/>
      <c r="R279" s="562"/>
      <c r="S279" s="562"/>
      <c r="T279" s="562"/>
      <c r="U279" s="562"/>
      <c r="V279" s="562"/>
      <c r="W279" s="562"/>
      <c r="X279" s="562"/>
      <c r="Y279" s="562"/>
      <c r="Z279" s="562"/>
    </row>
    <row r="280" ht="12.0" customHeight="1">
      <c r="A280" s="562"/>
      <c r="B280" s="562"/>
      <c r="C280" s="562"/>
      <c r="D280" s="562"/>
      <c r="E280" s="562"/>
      <c r="F280" s="562"/>
      <c r="G280" s="562"/>
      <c r="H280" s="562"/>
      <c r="I280" s="562"/>
      <c r="J280" s="562"/>
      <c r="K280" s="562"/>
      <c r="L280" s="562"/>
      <c r="M280" s="562"/>
      <c r="N280" s="562"/>
      <c r="O280" s="569"/>
      <c r="P280" s="570"/>
      <c r="Q280" s="562"/>
      <c r="R280" s="562"/>
      <c r="S280" s="562"/>
      <c r="T280" s="562"/>
      <c r="U280" s="562"/>
      <c r="V280" s="562"/>
      <c r="W280" s="562"/>
      <c r="X280" s="562"/>
      <c r="Y280" s="562"/>
      <c r="Z280" s="562"/>
    </row>
    <row r="281" ht="12.0" customHeight="1">
      <c r="A281" s="562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9"/>
      <c r="P281" s="570"/>
      <c r="Q281" s="562"/>
      <c r="R281" s="562"/>
      <c r="S281" s="562"/>
      <c r="T281" s="562"/>
      <c r="U281" s="562"/>
      <c r="V281" s="562"/>
      <c r="W281" s="562"/>
      <c r="X281" s="562"/>
      <c r="Y281" s="562"/>
      <c r="Z281" s="562"/>
    </row>
    <row r="282" ht="12.0" customHeight="1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9"/>
      <c r="P282" s="570"/>
      <c r="Q282" s="562"/>
      <c r="R282" s="562"/>
      <c r="S282" s="562"/>
      <c r="T282" s="562"/>
      <c r="U282" s="562"/>
      <c r="V282" s="562"/>
      <c r="W282" s="562"/>
      <c r="X282" s="562"/>
      <c r="Y282" s="562"/>
      <c r="Z282" s="562"/>
    </row>
    <row r="283" ht="12.0" customHeight="1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9"/>
      <c r="P283" s="570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</row>
    <row r="284" ht="12.0" customHeight="1">
      <c r="A284" s="562"/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9"/>
      <c r="P284" s="570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</row>
    <row r="285" ht="12.0" customHeight="1">
      <c r="A285" s="562"/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9"/>
      <c r="P285" s="570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</row>
    <row r="286" ht="12.0" customHeight="1">
      <c r="A286" s="562"/>
      <c r="B286" s="562"/>
      <c r="C286" s="562"/>
      <c r="D286" s="562"/>
      <c r="E286" s="562"/>
      <c r="F286" s="562"/>
      <c r="G286" s="562"/>
      <c r="H286" s="562"/>
      <c r="I286" s="562"/>
      <c r="J286" s="562"/>
      <c r="K286" s="562"/>
      <c r="L286" s="562"/>
      <c r="M286" s="562"/>
      <c r="N286" s="562"/>
      <c r="O286" s="569"/>
      <c r="P286" s="570"/>
      <c r="Q286" s="562"/>
      <c r="R286" s="562"/>
      <c r="S286" s="562"/>
      <c r="T286" s="562"/>
      <c r="U286" s="562"/>
      <c r="V286" s="562"/>
      <c r="W286" s="562"/>
      <c r="X286" s="562"/>
      <c r="Y286" s="562"/>
      <c r="Z286" s="562"/>
    </row>
    <row r="287" ht="12.0" customHeight="1">
      <c r="A287" s="562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9"/>
      <c r="P287" s="570"/>
      <c r="Q287" s="562"/>
      <c r="R287" s="562"/>
      <c r="S287" s="562"/>
      <c r="T287" s="562"/>
      <c r="U287" s="562"/>
      <c r="V287" s="562"/>
      <c r="W287" s="562"/>
      <c r="X287" s="562"/>
      <c r="Y287" s="562"/>
      <c r="Z287" s="562"/>
    </row>
    <row r="288" ht="12.0" customHeight="1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9"/>
      <c r="P288" s="570"/>
      <c r="Q288" s="562"/>
      <c r="R288" s="562"/>
      <c r="S288" s="562"/>
      <c r="T288" s="562"/>
      <c r="U288" s="562"/>
      <c r="V288" s="562"/>
      <c r="W288" s="562"/>
      <c r="X288" s="562"/>
      <c r="Y288" s="562"/>
      <c r="Z288" s="562"/>
    </row>
    <row r="289" ht="12.0" customHeight="1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9"/>
      <c r="P289" s="570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</row>
    <row r="290" ht="12.0" customHeight="1">
      <c r="A290" s="562"/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9"/>
      <c r="P290" s="570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</row>
    <row r="291" ht="12.0" customHeight="1">
      <c r="A291" s="562"/>
      <c r="B291" s="562"/>
      <c r="C291" s="562"/>
      <c r="D291" s="562"/>
      <c r="E291" s="562"/>
      <c r="F291" s="562"/>
      <c r="G291" s="562"/>
      <c r="H291" s="562"/>
      <c r="I291" s="562"/>
      <c r="J291" s="562"/>
      <c r="K291" s="562"/>
      <c r="L291" s="562"/>
      <c r="M291" s="562"/>
      <c r="N291" s="562"/>
      <c r="O291" s="569"/>
      <c r="P291" s="570"/>
      <c r="Q291" s="562"/>
      <c r="R291" s="562"/>
      <c r="S291" s="562"/>
      <c r="T291" s="562"/>
      <c r="U291" s="562"/>
      <c r="V291" s="562"/>
      <c r="W291" s="562"/>
      <c r="X291" s="562"/>
      <c r="Y291" s="562"/>
      <c r="Z291" s="562"/>
    </row>
    <row r="292" ht="12.0" customHeight="1">
      <c r="A292" s="562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9"/>
      <c r="P292" s="570"/>
      <c r="Q292" s="562"/>
      <c r="R292" s="562"/>
      <c r="S292" s="562"/>
      <c r="T292" s="562"/>
      <c r="U292" s="562"/>
      <c r="V292" s="562"/>
      <c r="W292" s="562"/>
      <c r="X292" s="562"/>
      <c r="Y292" s="562"/>
      <c r="Z292" s="562"/>
    </row>
    <row r="293" ht="12.0" customHeight="1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9"/>
      <c r="P293" s="570"/>
      <c r="Q293" s="562"/>
      <c r="R293" s="562"/>
      <c r="S293" s="562"/>
      <c r="T293" s="562"/>
      <c r="U293" s="562"/>
      <c r="V293" s="562"/>
      <c r="W293" s="562"/>
      <c r="X293" s="562"/>
      <c r="Y293" s="562"/>
      <c r="Z293" s="562"/>
    </row>
    <row r="294" ht="12.0" customHeight="1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9"/>
      <c r="P294" s="570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</row>
    <row r="295" ht="12.0" customHeight="1">
      <c r="A295" s="562"/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9"/>
      <c r="P295" s="570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</row>
    <row r="296" ht="12.0" customHeight="1">
      <c r="A296" s="562"/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9"/>
      <c r="P296" s="570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</row>
    <row r="297" ht="12.0" customHeight="1">
      <c r="A297" s="562"/>
      <c r="B297" s="562"/>
      <c r="C297" s="562"/>
      <c r="D297" s="562"/>
      <c r="E297" s="562"/>
      <c r="F297" s="562"/>
      <c r="G297" s="562"/>
      <c r="H297" s="562"/>
      <c r="I297" s="562"/>
      <c r="J297" s="562"/>
      <c r="K297" s="562"/>
      <c r="L297" s="562"/>
      <c r="M297" s="562"/>
      <c r="N297" s="562"/>
      <c r="O297" s="569"/>
      <c r="P297" s="570"/>
      <c r="Q297" s="562"/>
      <c r="R297" s="562"/>
      <c r="S297" s="562"/>
      <c r="T297" s="562"/>
      <c r="U297" s="562"/>
      <c r="V297" s="562"/>
      <c r="W297" s="562"/>
      <c r="X297" s="562"/>
      <c r="Y297" s="562"/>
      <c r="Z297" s="562"/>
    </row>
    <row r="298" ht="12.0" customHeight="1">
      <c r="A298" s="562"/>
      <c r="B298" s="562"/>
      <c r="C298" s="562"/>
      <c r="D298" s="562"/>
      <c r="E298" s="562"/>
      <c r="F298" s="562"/>
      <c r="G298" s="562"/>
      <c r="H298" s="562"/>
      <c r="I298" s="562"/>
      <c r="J298" s="562"/>
      <c r="K298" s="562"/>
      <c r="L298" s="562"/>
      <c r="M298" s="562"/>
      <c r="N298" s="562"/>
      <c r="O298" s="569"/>
      <c r="P298" s="570"/>
      <c r="Q298" s="562"/>
      <c r="R298" s="562"/>
      <c r="S298" s="562"/>
      <c r="T298" s="562"/>
      <c r="U298" s="562"/>
      <c r="V298" s="562"/>
      <c r="W298" s="562"/>
      <c r="X298" s="562"/>
      <c r="Y298" s="562"/>
      <c r="Z298" s="562"/>
    </row>
    <row r="299" ht="12.0" customHeight="1">
      <c r="A299" s="562"/>
      <c r="B299" s="562"/>
      <c r="C299" s="562"/>
      <c r="D299" s="562"/>
      <c r="E299" s="562"/>
      <c r="F299" s="562"/>
      <c r="G299" s="562"/>
      <c r="H299" s="562"/>
      <c r="I299" s="562"/>
      <c r="J299" s="562"/>
      <c r="K299" s="562"/>
      <c r="L299" s="562"/>
      <c r="M299" s="562"/>
      <c r="N299" s="562"/>
      <c r="O299" s="569"/>
      <c r="P299" s="570"/>
      <c r="Q299" s="562"/>
      <c r="R299" s="562"/>
      <c r="S299" s="562"/>
      <c r="T299" s="562"/>
      <c r="U299" s="562"/>
      <c r="V299" s="562"/>
      <c r="W299" s="562"/>
      <c r="X299" s="562"/>
      <c r="Y299" s="562"/>
      <c r="Z299" s="562"/>
    </row>
    <row r="300" ht="12.0" customHeight="1">
      <c r="A300" s="562"/>
      <c r="B300" s="562"/>
      <c r="C300" s="562"/>
      <c r="D300" s="562"/>
      <c r="E300" s="562"/>
      <c r="F300" s="562"/>
      <c r="G300" s="562"/>
      <c r="H300" s="562"/>
      <c r="I300" s="562"/>
      <c r="J300" s="562"/>
      <c r="K300" s="562"/>
      <c r="L300" s="562"/>
      <c r="M300" s="562"/>
      <c r="N300" s="562"/>
      <c r="O300" s="569"/>
      <c r="P300" s="570"/>
      <c r="Q300" s="562"/>
      <c r="R300" s="562"/>
      <c r="S300" s="562"/>
      <c r="T300" s="562"/>
      <c r="U300" s="562"/>
      <c r="V300" s="562"/>
      <c r="W300" s="562"/>
      <c r="X300" s="562"/>
      <c r="Y300" s="562"/>
      <c r="Z300" s="562"/>
    </row>
    <row r="301" ht="12.0" customHeight="1">
      <c r="A301" s="562"/>
      <c r="B301" s="562"/>
      <c r="C301" s="562"/>
      <c r="D301" s="562"/>
      <c r="E301" s="562"/>
      <c r="F301" s="562"/>
      <c r="G301" s="562"/>
      <c r="H301" s="562"/>
      <c r="I301" s="562"/>
      <c r="J301" s="562"/>
      <c r="K301" s="562"/>
      <c r="L301" s="562"/>
      <c r="M301" s="562"/>
      <c r="N301" s="562"/>
      <c r="O301" s="569"/>
      <c r="P301" s="570"/>
      <c r="Q301" s="562"/>
      <c r="R301" s="562"/>
      <c r="S301" s="562"/>
      <c r="T301" s="562"/>
      <c r="U301" s="562"/>
      <c r="V301" s="562"/>
      <c r="W301" s="562"/>
      <c r="X301" s="562"/>
      <c r="Y301" s="562"/>
      <c r="Z301" s="562"/>
    </row>
    <row r="302" ht="12.0" customHeight="1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9"/>
      <c r="P302" s="570"/>
      <c r="Q302" s="562"/>
      <c r="R302" s="562"/>
      <c r="S302" s="562"/>
      <c r="T302" s="562"/>
      <c r="U302" s="562"/>
      <c r="V302" s="562"/>
      <c r="W302" s="562"/>
      <c r="X302" s="562"/>
      <c r="Y302" s="562"/>
      <c r="Z302" s="562"/>
    </row>
    <row r="303" ht="12.0" customHeight="1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9"/>
      <c r="P303" s="570"/>
      <c r="Q303" s="562"/>
      <c r="R303" s="562"/>
      <c r="S303" s="562"/>
      <c r="T303" s="562"/>
      <c r="U303" s="562"/>
      <c r="V303" s="562"/>
      <c r="W303" s="562"/>
      <c r="X303" s="562"/>
      <c r="Y303" s="562"/>
      <c r="Z303" s="562"/>
    </row>
    <row r="304" ht="12.0" customHeight="1">
      <c r="A304" s="562"/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9"/>
      <c r="P304" s="570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</row>
    <row r="305" ht="12.0" customHeight="1">
      <c r="A305" s="562"/>
      <c r="B305" s="562"/>
      <c r="C305" s="562"/>
      <c r="D305" s="562"/>
      <c r="E305" s="562"/>
      <c r="F305" s="562"/>
      <c r="G305" s="562"/>
      <c r="H305" s="562"/>
      <c r="I305" s="562"/>
      <c r="J305" s="562"/>
      <c r="K305" s="562"/>
      <c r="L305" s="562"/>
      <c r="M305" s="562"/>
      <c r="N305" s="562"/>
      <c r="O305" s="569"/>
      <c r="P305" s="570"/>
      <c r="Q305" s="562"/>
      <c r="R305" s="562"/>
      <c r="S305" s="562"/>
      <c r="T305" s="562"/>
      <c r="U305" s="562"/>
      <c r="V305" s="562"/>
      <c r="W305" s="562"/>
      <c r="X305" s="562"/>
      <c r="Y305" s="562"/>
      <c r="Z305" s="562"/>
    </row>
    <row r="306" ht="12.0" customHeight="1">
      <c r="A306" s="562"/>
      <c r="B306" s="562"/>
      <c r="C306" s="562"/>
      <c r="D306" s="562"/>
      <c r="E306" s="562"/>
      <c r="F306" s="562"/>
      <c r="G306" s="562"/>
      <c r="H306" s="562"/>
      <c r="I306" s="562"/>
      <c r="J306" s="562"/>
      <c r="K306" s="562"/>
      <c r="L306" s="562"/>
      <c r="M306" s="562"/>
      <c r="N306" s="562"/>
      <c r="O306" s="569"/>
      <c r="P306" s="570"/>
      <c r="Q306" s="562"/>
      <c r="R306" s="562"/>
      <c r="S306" s="562"/>
      <c r="T306" s="562"/>
      <c r="U306" s="562"/>
      <c r="V306" s="562"/>
      <c r="W306" s="562"/>
      <c r="X306" s="562"/>
      <c r="Y306" s="562"/>
      <c r="Z306" s="562"/>
    </row>
    <row r="307" ht="12.0" customHeight="1">
      <c r="A307" s="562"/>
      <c r="B307" s="562"/>
      <c r="C307" s="562"/>
      <c r="D307" s="562"/>
      <c r="E307" s="562"/>
      <c r="F307" s="562"/>
      <c r="G307" s="562"/>
      <c r="H307" s="562"/>
      <c r="I307" s="562"/>
      <c r="J307" s="562"/>
      <c r="K307" s="562"/>
      <c r="L307" s="562"/>
      <c r="M307" s="562"/>
      <c r="N307" s="562"/>
      <c r="O307" s="569"/>
      <c r="P307" s="570"/>
      <c r="Q307" s="562"/>
      <c r="R307" s="562"/>
      <c r="S307" s="562"/>
      <c r="T307" s="562"/>
      <c r="U307" s="562"/>
      <c r="V307" s="562"/>
      <c r="W307" s="562"/>
      <c r="X307" s="562"/>
      <c r="Y307" s="562"/>
      <c r="Z307" s="562"/>
    </row>
    <row r="308" ht="12.0" customHeight="1">
      <c r="A308" s="562"/>
      <c r="B308" s="562"/>
      <c r="C308" s="562"/>
      <c r="D308" s="562"/>
      <c r="E308" s="562"/>
      <c r="F308" s="562"/>
      <c r="G308" s="562"/>
      <c r="H308" s="562"/>
      <c r="I308" s="562"/>
      <c r="J308" s="562"/>
      <c r="K308" s="562"/>
      <c r="L308" s="562"/>
      <c r="M308" s="562"/>
      <c r="N308" s="562"/>
      <c r="O308" s="569"/>
      <c r="P308" s="570"/>
      <c r="Q308" s="562"/>
      <c r="R308" s="562"/>
      <c r="S308" s="562"/>
      <c r="T308" s="562"/>
      <c r="U308" s="562"/>
      <c r="V308" s="562"/>
      <c r="W308" s="562"/>
      <c r="X308" s="562"/>
      <c r="Y308" s="562"/>
      <c r="Z308" s="562"/>
    </row>
    <row r="309" ht="12.0" customHeight="1">
      <c r="A309" s="562"/>
      <c r="B309" s="562"/>
      <c r="C309" s="562"/>
      <c r="D309" s="562"/>
      <c r="E309" s="562"/>
      <c r="F309" s="562"/>
      <c r="G309" s="562"/>
      <c r="H309" s="562"/>
      <c r="I309" s="562"/>
      <c r="J309" s="562"/>
      <c r="K309" s="562"/>
      <c r="L309" s="562"/>
      <c r="M309" s="562"/>
      <c r="N309" s="562"/>
      <c r="O309" s="569"/>
      <c r="P309" s="570"/>
      <c r="Q309" s="562"/>
      <c r="R309" s="562"/>
      <c r="S309" s="562"/>
      <c r="T309" s="562"/>
      <c r="U309" s="562"/>
      <c r="V309" s="562"/>
      <c r="W309" s="562"/>
      <c r="X309" s="562"/>
      <c r="Y309" s="562"/>
      <c r="Z309" s="562"/>
    </row>
    <row r="310" ht="12.0" customHeight="1">
      <c r="A310" s="562"/>
      <c r="B310" s="562"/>
      <c r="C310" s="562"/>
      <c r="D310" s="562"/>
      <c r="E310" s="562"/>
      <c r="F310" s="562"/>
      <c r="G310" s="562"/>
      <c r="H310" s="562"/>
      <c r="I310" s="562"/>
      <c r="J310" s="562"/>
      <c r="K310" s="562"/>
      <c r="L310" s="562"/>
      <c r="M310" s="562"/>
      <c r="N310" s="562"/>
      <c r="O310" s="569"/>
      <c r="P310" s="570"/>
      <c r="Q310" s="562"/>
      <c r="R310" s="562"/>
      <c r="S310" s="562"/>
      <c r="T310" s="562"/>
      <c r="U310" s="562"/>
      <c r="V310" s="562"/>
      <c r="W310" s="562"/>
      <c r="X310" s="562"/>
      <c r="Y310" s="562"/>
      <c r="Z310" s="562"/>
    </row>
    <row r="311" ht="12.0" customHeight="1">
      <c r="A311" s="562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9"/>
      <c r="P311" s="570"/>
      <c r="Q311" s="562"/>
      <c r="R311" s="562"/>
      <c r="S311" s="562"/>
      <c r="T311" s="562"/>
      <c r="U311" s="562"/>
      <c r="V311" s="562"/>
      <c r="W311" s="562"/>
      <c r="X311" s="562"/>
      <c r="Y311" s="562"/>
      <c r="Z311" s="562"/>
    </row>
    <row r="312" ht="12.0" customHeight="1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9"/>
      <c r="P312" s="570"/>
      <c r="Q312" s="562"/>
      <c r="R312" s="562"/>
      <c r="S312" s="562"/>
      <c r="T312" s="562"/>
      <c r="U312" s="562"/>
      <c r="V312" s="562"/>
      <c r="W312" s="562"/>
      <c r="X312" s="562"/>
      <c r="Y312" s="562"/>
      <c r="Z312" s="562"/>
    </row>
    <row r="313" ht="12.0" customHeight="1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9"/>
      <c r="P313" s="570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</row>
    <row r="314" ht="12.0" customHeight="1">
      <c r="A314" s="562"/>
      <c r="B314" s="562"/>
      <c r="C314" s="562"/>
      <c r="D314" s="562"/>
      <c r="E314" s="562"/>
      <c r="F314" s="562"/>
      <c r="G314" s="562"/>
      <c r="H314" s="562"/>
      <c r="I314" s="562"/>
      <c r="J314" s="562"/>
      <c r="K314" s="562"/>
      <c r="L314" s="562"/>
      <c r="M314" s="562"/>
      <c r="N314" s="562"/>
      <c r="O314" s="569"/>
      <c r="P314" s="570"/>
      <c r="Q314" s="562"/>
      <c r="R314" s="562"/>
      <c r="S314" s="562"/>
      <c r="T314" s="562"/>
      <c r="U314" s="562"/>
      <c r="V314" s="562"/>
      <c r="W314" s="562"/>
      <c r="X314" s="562"/>
      <c r="Y314" s="562"/>
      <c r="Z314" s="562"/>
    </row>
    <row r="315" ht="12.0" customHeight="1">
      <c r="A315" s="562"/>
      <c r="B315" s="562"/>
      <c r="C315" s="562"/>
      <c r="D315" s="562"/>
      <c r="E315" s="562"/>
      <c r="F315" s="562"/>
      <c r="G315" s="562"/>
      <c r="H315" s="562"/>
      <c r="I315" s="562"/>
      <c r="J315" s="562"/>
      <c r="K315" s="562"/>
      <c r="L315" s="562"/>
      <c r="M315" s="562"/>
      <c r="N315" s="562"/>
      <c r="O315" s="569"/>
      <c r="P315" s="570"/>
      <c r="Q315" s="562"/>
      <c r="R315" s="562"/>
      <c r="S315" s="562"/>
      <c r="T315" s="562"/>
      <c r="U315" s="562"/>
      <c r="V315" s="562"/>
      <c r="W315" s="562"/>
      <c r="X315" s="562"/>
      <c r="Y315" s="562"/>
      <c r="Z315" s="562"/>
    </row>
    <row r="316" ht="12.0" customHeight="1">
      <c r="A316" s="562"/>
      <c r="B316" s="562"/>
      <c r="C316" s="562"/>
      <c r="D316" s="562"/>
      <c r="E316" s="562"/>
      <c r="F316" s="562"/>
      <c r="G316" s="562"/>
      <c r="H316" s="562"/>
      <c r="I316" s="562"/>
      <c r="J316" s="562"/>
      <c r="K316" s="562"/>
      <c r="L316" s="562"/>
      <c r="M316" s="562"/>
      <c r="N316" s="562"/>
      <c r="O316" s="569"/>
      <c r="P316" s="570"/>
      <c r="Q316" s="562"/>
      <c r="R316" s="562"/>
      <c r="S316" s="562"/>
      <c r="T316" s="562"/>
      <c r="U316" s="562"/>
      <c r="V316" s="562"/>
      <c r="W316" s="562"/>
      <c r="X316" s="562"/>
      <c r="Y316" s="562"/>
      <c r="Z316" s="562"/>
    </row>
    <row r="317" ht="12.0" customHeight="1">
      <c r="A317" s="562"/>
      <c r="B317" s="562"/>
      <c r="C317" s="562"/>
      <c r="D317" s="562"/>
      <c r="E317" s="562"/>
      <c r="F317" s="562"/>
      <c r="G317" s="562"/>
      <c r="H317" s="562"/>
      <c r="I317" s="562"/>
      <c r="J317" s="562"/>
      <c r="K317" s="562"/>
      <c r="L317" s="562"/>
      <c r="M317" s="562"/>
      <c r="N317" s="562"/>
      <c r="O317" s="569"/>
      <c r="P317" s="570"/>
      <c r="Q317" s="562"/>
      <c r="R317" s="562"/>
      <c r="S317" s="562"/>
      <c r="T317" s="562"/>
      <c r="U317" s="562"/>
      <c r="V317" s="562"/>
      <c r="W317" s="562"/>
      <c r="X317" s="562"/>
      <c r="Y317" s="562"/>
      <c r="Z317" s="562"/>
    </row>
    <row r="318" ht="12.0" customHeight="1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9"/>
      <c r="P318" s="570"/>
      <c r="Q318" s="562"/>
      <c r="R318" s="562"/>
      <c r="S318" s="562"/>
      <c r="T318" s="562"/>
      <c r="U318" s="562"/>
      <c r="V318" s="562"/>
      <c r="W318" s="562"/>
      <c r="X318" s="562"/>
      <c r="Y318" s="562"/>
      <c r="Z318" s="562"/>
    </row>
    <row r="319" ht="12.0" customHeight="1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9"/>
      <c r="P319" s="570"/>
      <c r="Q319" s="562"/>
      <c r="R319" s="562"/>
      <c r="S319" s="562"/>
      <c r="T319" s="562"/>
      <c r="U319" s="562"/>
      <c r="V319" s="562"/>
      <c r="W319" s="562"/>
      <c r="X319" s="562"/>
      <c r="Y319" s="562"/>
      <c r="Z319" s="562"/>
    </row>
    <row r="320" ht="12.0" customHeight="1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9"/>
      <c r="P320" s="570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</row>
    <row r="321" ht="12.0" customHeight="1">
      <c r="A321" s="562"/>
      <c r="B321" s="562"/>
      <c r="C321" s="562"/>
      <c r="D321" s="562"/>
      <c r="E321" s="562"/>
      <c r="F321" s="562"/>
      <c r="G321" s="562"/>
      <c r="H321" s="562"/>
      <c r="I321" s="562"/>
      <c r="J321" s="562"/>
      <c r="K321" s="562"/>
      <c r="L321" s="562"/>
      <c r="M321" s="562"/>
      <c r="N321" s="562"/>
      <c r="O321" s="569"/>
      <c r="P321" s="570"/>
      <c r="Q321" s="562"/>
      <c r="R321" s="562"/>
      <c r="S321" s="562"/>
      <c r="T321" s="562"/>
      <c r="U321" s="562"/>
      <c r="V321" s="562"/>
      <c r="W321" s="562"/>
      <c r="X321" s="562"/>
      <c r="Y321" s="562"/>
      <c r="Z321" s="562"/>
    </row>
    <row r="322" ht="12.0" customHeight="1">
      <c r="A322" s="562"/>
      <c r="B322" s="562"/>
      <c r="C322" s="562"/>
      <c r="D322" s="562"/>
      <c r="E322" s="562"/>
      <c r="F322" s="562"/>
      <c r="G322" s="562"/>
      <c r="H322" s="562"/>
      <c r="I322" s="562"/>
      <c r="J322" s="562"/>
      <c r="K322" s="562"/>
      <c r="L322" s="562"/>
      <c r="M322" s="562"/>
      <c r="N322" s="562"/>
      <c r="O322" s="569"/>
      <c r="P322" s="570"/>
      <c r="Q322" s="562"/>
      <c r="R322" s="562"/>
      <c r="S322" s="562"/>
      <c r="T322" s="562"/>
      <c r="U322" s="562"/>
      <c r="V322" s="562"/>
      <c r="W322" s="562"/>
      <c r="X322" s="562"/>
      <c r="Y322" s="562"/>
      <c r="Z322" s="562"/>
    </row>
    <row r="323" ht="12.0" customHeight="1">
      <c r="A323" s="562"/>
      <c r="B323" s="562"/>
      <c r="C323" s="562"/>
      <c r="D323" s="562"/>
      <c r="E323" s="562"/>
      <c r="F323" s="562"/>
      <c r="G323" s="562"/>
      <c r="H323" s="562"/>
      <c r="I323" s="562"/>
      <c r="J323" s="562"/>
      <c r="K323" s="562"/>
      <c r="L323" s="562"/>
      <c r="M323" s="562"/>
      <c r="N323" s="562"/>
      <c r="O323" s="569"/>
      <c r="P323" s="570"/>
      <c r="Q323" s="562"/>
      <c r="R323" s="562"/>
      <c r="S323" s="562"/>
      <c r="T323" s="562"/>
      <c r="U323" s="562"/>
      <c r="V323" s="562"/>
      <c r="W323" s="562"/>
      <c r="X323" s="562"/>
      <c r="Y323" s="562"/>
      <c r="Z323" s="562"/>
    </row>
    <row r="324" ht="12.0" customHeight="1">
      <c r="A324" s="562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9"/>
      <c r="P324" s="570"/>
      <c r="Q324" s="562"/>
      <c r="R324" s="562"/>
      <c r="S324" s="562"/>
      <c r="T324" s="562"/>
      <c r="U324" s="562"/>
      <c r="V324" s="562"/>
      <c r="W324" s="562"/>
      <c r="X324" s="562"/>
      <c r="Y324" s="562"/>
      <c r="Z324" s="562"/>
    </row>
    <row r="325" ht="12.0" customHeight="1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9"/>
      <c r="P325" s="570"/>
      <c r="Q325" s="562"/>
      <c r="R325" s="562"/>
      <c r="S325" s="562"/>
      <c r="T325" s="562"/>
      <c r="U325" s="562"/>
      <c r="V325" s="562"/>
      <c r="W325" s="562"/>
      <c r="X325" s="562"/>
      <c r="Y325" s="562"/>
      <c r="Z325" s="562"/>
    </row>
    <row r="326" ht="12.0" customHeight="1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9"/>
      <c r="P326" s="570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</row>
    <row r="327" ht="12.0" customHeight="1">
      <c r="A327" s="562"/>
      <c r="B327" s="562"/>
      <c r="C327" s="562"/>
      <c r="D327" s="562"/>
      <c r="E327" s="562"/>
      <c r="F327" s="562"/>
      <c r="G327" s="562"/>
      <c r="H327" s="562"/>
      <c r="I327" s="562"/>
      <c r="J327" s="562"/>
      <c r="K327" s="562"/>
      <c r="L327" s="562"/>
      <c r="M327" s="562"/>
      <c r="N327" s="562"/>
      <c r="O327" s="569"/>
      <c r="P327" s="570"/>
      <c r="Q327" s="562"/>
      <c r="R327" s="562"/>
      <c r="S327" s="562"/>
      <c r="T327" s="562"/>
      <c r="U327" s="562"/>
      <c r="V327" s="562"/>
      <c r="W327" s="562"/>
      <c r="X327" s="562"/>
      <c r="Y327" s="562"/>
      <c r="Z327" s="562"/>
    </row>
    <row r="328" ht="12.0" customHeight="1">
      <c r="A328" s="562"/>
      <c r="B328" s="562"/>
      <c r="C328" s="562"/>
      <c r="D328" s="562"/>
      <c r="E328" s="562"/>
      <c r="F328" s="562"/>
      <c r="G328" s="562"/>
      <c r="H328" s="562"/>
      <c r="I328" s="562"/>
      <c r="J328" s="562"/>
      <c r="K328" s="562"/>
      <c r="L328" s="562"/>
      <c r="M328" s="562"/>
      <c r="N328" s="562"/>
      <c r="O328" s="569"/>
      <c r="P328" s="570"/>
      <c r="Q328" s="562"/>
      <c r="R328" s="562"/>
      <c r="S328" s="562"/>
      <c r="T328" s="562"/>
      <c r="U328" s="562"/>
      <c r="V328" s="562"/>
      <c r="W328" s="562"/>
      <c r="X328" s="562"/>
      <c r="Y328" s="562"/>
      <c r="Z328" s="562"/>
    </row>
    <row r="329" ht="12.0" customHeight="1">
      <c r="A329" s="562"/>
      <c r="B329" s="562"/>
      <c r="C329" s="562"/>
      <c r="D329" s="562"/>
      <c r="E329" s="562"/>
      <c r="F329" s="562"/>
      <c r="G329" s="562"/>
      <c r="H329" s="562"/>
      <c r="I329" s="562"/>
      <c r="J329" s="562"/>
      <c r="K329" s="562"/>
      <c r="L329" s="562"/>
      <c r="M329" s="562"/>
      <c r="N329" s="562"/>
      <c r="O329" s="569"/>
      <c r="P329" s="570"/>
      <c r="Q329" s="562"/>
      <c r="R329" s="562"/>
      <c r="S329" s="562"/>
      <c r="T329" s="562"/>
      <c r="U329" s="562"/>
      <c r="V329" s="562"/>
      <c r="W329" s="562"/>
      <c r="X329" s="562"/>
      <c r="Y329" s="562"/>
      <c r="Z329" s="562"/>
    </row>
    <row r="330" ht="12.0" customHeight="1">
      <c r="A330" s="562"/>
      <c r="B330" s="562"/>
      <c r="C330" s="562"/>
      <c r="D330" s="562"/>
      <c r="E330" s="562"/>
      <c r="F330" s="562"/>
      <c r="G330" s="562"/>
      <c r="H330" s="562"/>
      <c r="I330" s="562"/>
      <c r="J330" s="562"/>
      <c r="K330" s="562"/>
      <c r="L330" s="562"/>
      <c r="M330" s="562"/>
      <c r="N330" s="562"/>
      <c r="O330" s="569"/>
      <c r="P330" s="570"/>
      <c r="Q330" s="562"/>
      <c r="R330" s="562"/>
      <c r="S330" s="562"/>
      <c r="T330" s="562"/>
      <c r="U330" s="562"/>
      <c r="V330" s="562"/>
      <c r="W330" s="562"/>
      <c r="X330" s="562"/>
      <c r="Y330" s="562"/>
      <c r="Z330" s="562"/>
    </row>
    <row r="331" ht="12.0" customHeight="1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9"/>
      <c r="P331" s="570"/>
      <c r="Q331" s="562"/>
      <c r="R331" s="562"/>
      <c r="S331" s="562"/>
      <c r="T331" s="562"/>
      <c r="U331" s="562"/>
      <c r="V331" s="562"/>
      <c r="W331" s="562"/>
      <c r="X331" s="562"/>
      <c r="Y331" s="562"/>
      <c r="Z331" s="562"/>
    </row>
    <row r="332" ht="12.0" customHeight="1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9"/>
      <c r="P332" s="570"/>
      <c r="Q332" s="562"/>
      <c r="R332" s="562"/>
      <c r="S332" s="562"/>
      <c r="T332" s="562"/>
      <c r="U332" s="562"/>
      <c r="V332" s="562"/>
      <c r="W332" s="562"/>
      <c r="X332" s="562"/>
      <c r="Y332" s="562"/>
      <c r="Z332" s="562"/>
    </row>
    <row r="333" ht="12.0" customHeight="1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9"/>
      <c r="P333" s="570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</row>
    <row r="334" ht="12.0" customHeight="1">
      <c r="A334" s="562"/>
      <c r="B334" s="562"/>
      <c r="C334" s="562"/>
      <c r="D334" s="562"/>
      <c r="E334" s="562"/>
      <c r="F334" s="562"/>
      <c r="G334" s="562"/>
      <c r="H334" s="562"/>
      <c r="I334" s="562"/>
      <c r="J334" s="562"/>
      <c r="K334" s="562"/>
      <c r="L334" s="562"/>
      <c r="M334" s="562"/>
      <c r="N334" s="562"/>
      <c r="O334" s="569"/>
      <c r="P334" s="570"/>
      <c r="Q334" s="562"/>
      <c r="R334" s="562"/>
      <c r="S334" s="562"/>
      <c r="T334" s="562"/>
      <c r="U334" s="562"/>
      <c r="V334" s="562"/>
      <c r="W334" s="562"/>
      <c r="X334" s="562"/>
      <c r="Y334" s="562"/>
      <c r="Z334" s="562"/>
    </row>
    <row r="335" ht="12.0" customHeight="1">
      <c r="A335" s="562"/>
      <c r="B335" s="562"/>
      <c r="C335" s="562"/>
      <c r="D335" s="562"/>
      <c r="E335" s="562"/>
      <c r="F335" s="562"/>
      <c r="G335" s="562"/>
      <c r="H335" s="562"/>
      <c r="I335" s="562"/>
      <c r="J335" s="562"/>
      <c r="K335" s="562"/>
      <c r="L335" s="562"/>
      <c r="M335" s="562"/>
      <c r="N335" s="562"/>
      <c r="O335" s="569"/>
      <c r="P335" s="570"/>
      <c r="Q335" s="562"/>
      <c r="R335" s="562"/>
      <c r="S335" s="562"/>
      <c r="T335" s="562"/>
      <c r="U335" s="562"/>
      <c r="V335" s="562"/>
      <c r="W335" s="562"/>
      <c r="X335" s="562"/>
      <c r="Y335" s="562"/>
      <c r="Z335" s="562"/>
    </row>
    <row r="336" ht="12.0" customHeight="1">
      <c r="A336" s="562"/>
      <c r="B336" s="562"/>
      <c r="C336" s="562"/>
      <c r="D336" s="562"/>
      <c r="E336" s="562"/>
      <c r="F336" s="562"/>
      <c r="G336" s="562"/>
      <c r="H336" s="562"/>
      <c r="I336" s="562"/>
      <c r="J336" s="562"/>
      <c r="K336" s="562"/>
      <c r="L336" s="562"/>
      <c r="M336" s="562"/>
      <c r="N336" s="562"/>
      <c r="O336" s="569"/>
      <c r="P336" s="570"/>
      <c r="Q336" s="562"/>
      <c r="R336" s="562"/>
      <c r="S336" s="562"/>
      <c r="T336" s="562"/>
      <c r="U336" s="562"/>
      <c r="V336" s="562"/>
      <c r="W336" s="562"/>
      <c r="X336" s="562"/>
      <c r="Y336" s="562"/>
      <c r="Z336" s="562"/>
    </row>
    <row r="337" ht="12.0" customHeight="1">
      <c r="A337" s="562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9"/>
      <c r="P337" s="570"/>
      <c r="Q337" s="562"/>
      <c r="R337" s="562"/>
      <c r="S337" s="562"/>
      <c r="T337" s="562"/>
      <c r="U337" s="562"/>
      <c r="V337" s="562"/>
      <c r="W337" s="562"/>
      <c r="X337" s="562"/>
      <c r="Y337" s="562"/>
      <c r="Z337" s="562"/>
    </row>
    <row r="338" ht="12.0" customHeight="1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9"/>
      <c r="P338" s="570"/>
      <c r="Q338" s="562"/>
      <c r="R338" s="562"/>
      <c r="S338" s="562"/>
      <c r="T338" s="562"/>
      <c r="U338" s="562"/>
      <c r="V338" s="562"/>
      <c r="W338" s="562"/>
      <c r="X338" s="562"/>
      <c r="Y338" s="562"/>
      <c r="Z338" s="562"/>
    </row>
    <row r="339" ht="12.0" customHeight="1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9"/>
      <c r="P339" s="570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</row>
    <row r="340" ht="12.0" customHeight="1">
      <c r="A340" s="562"/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9"/>
      <c r="P340" s="570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</row>
    <row r="341" ht="12.0" customHeight="1">
      <c r="A341" s="562"/>
      <c r="B341" s="562"/>
      <c r="C341" s="562"/>
      <c r="D341" s="562"/>
      <c r="E341" s="562"/>
      <c r="F341" s="562"/>
      <c r="G341" s="562"/>
      <c r="H341" s="562"/>
      <c r="I341" s="562"/>
      <c r="J341" s="562"/>
      <c r="K341" s="562"/>
      <c r="L341" s="562"/>
      <c r="M341" s="562"/>
      <c r="N341" s="562"/>
      <c r="O341" s="569"/>
      <c r="P341" s="570"/>
      <c r="Q341" s="562"/>
      <c r="R341" s="562"/>
      <c r="S341" s="562"/>
      <c r="T341" s="562"/>
      <c r="U341" s="562"/>
      <c r="V341" s="562"/>
      <c r="W341" s="562"/>
      <c r="X341" s="562"/>
      <c r="Y341" s="562"/>
      <c r="Z341" s="562"/>
    </row>
    <row r="342" ht="12.0" customHeight="1">
      <c r="A342" s="562"/>
      <c r="B342" s="562"/>
      <c r="C342" s="562"/>
      <c r="D342" s="562"/>
      <c r="E342" s="562"/>
      <c r="F342" s="562"/>
      <c r="G342" s="562"/>
      <c r="H342" s="562"/>
      <c r="I342" s="562"/>
      <c r="J342" s="562"/>
      <c r="K342" s="562"/>
      <c r="L342" s="562"/>
      <c r="M342" s="562"/>
      <c r="N342" s="562"/>
      <c r="O342" s="569"/>
      <c r="P342" s="570"/>
      <c r="Q342" s="562"/>
      <c r="R342" s="562"/>
      <c r="S342" s="562"/>
      <c r="T342" s="562"/>
      <c r="U342" s="562"/>
      <c r="V342" s="562"/>
      <c r="W342" s="562"/>
      <c r="X342" s="562"/>
      <c r="Y342" s="562"/>
      <c r="Z342" s="562"/>
    </row>
    <row r="343" ht="12.0" customHeight="1">
      <c r="A343" s="562"/>
      <c r="B343" s="562"/>
      <c r="C343" s="562"/>
      <c r="D343" s="562"/>
      <c r="E343" s="562"/>
      <c r="F343" s="562"/>
      <c r="G343" s="562"/>
      <c r="H343" s="562"/>
      <c r="I343" s="562"/>
      <c r="J343" s="562"/>
      <c r="K343" s="562"/>
      <c r="L343" s="562"/>
      <c r="M343" s="562"/>
      <c r="N343" s="562"/>
      <c r="O343" s="569"/>
      <c r="P343" s="570"/>
      <c r="Q343" s="562"/>
      <c r="R343" s="562"/>
      <c r="S343" s="562"/>
      <c r="T343" s="562"/>
      <c r="U343" s="562"/>
      <c r="V343" s="562"/>
      <c r="W343" s="562"/>
      <c r="X343" s="562"/>
      <c r="Y343" s="562"/>
      <c r="Z343" s="562"/>
    </row>
    <row r="344" ht="12.0" customHeight="1">
      <c r="A344" s="562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9"/>
      <c r="P344" s="570"/>
      <c r="Q344" s="562"/>
      <c r="R344" s="562"/>
      <c r="S344" s="562"/>
      <c r="T344" s="562"/>
      <c r="U344" s="562"/>
      <c r="V344" s="562"/>
      <c r="W344" s="562"/>
      <c r="X344" s="562"/>
      <c r="Y344" s="562"/>
      <c r="Z344" s="562"/>
    </row>
    <row r="345" ht="12.0" customHeight="1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9"/>
      <c r="P345" s="570"/>
      <c r="Q345" s="562"/>
      <c r="R345" s="562"/>
      <c r="S345" s="562"/>
      <c r="T345" s="562"/>
      <c r="U345" s="562"/>
      <c r="V345" s="562"/>
      <c r="W345" s="562"/>
      <c r="X345" s="562"/>
      <c r="Y345" s="562"/>
      <c r="Z345" s="562"/>
    </row>
    <row r="346" ht="12.0" customHeight="1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9"/>
      <c r="P346" s="570"/>
      <c r="Q346" s="562"/>
      <c r="R346" s="562"/>
      <c r="S346" s="562"/>
      <c r="T346" s="562"/>
      <c r="U346" s="562"/>
      <c r="V346" s="562"/>
      <c r="W346" s="562"/>
      <c r="X346" s="562"/>
      <c r="Y346" s="562"/>
      <c r="Z346" s="562"/>
    </row>
    <row r="347" ht="12.0" customHeight="1">
      <c r="A347" s="562"/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9"/>
      <c r="P347" s="570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</row>
    <row r="348" ht="12.0" customHeight="1">
      <c r="A348" s="562"/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9"/>
      <c r="P348" s="570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</row>
    <row r="349" ht="12.0" customHeight="1">
      <c r="A349" s="562"/>
      <c r="B349" s="562"/>
      <c r="C349" s="562"/>
      <c r="D349" s="562"/>
      <c r="E349" s="562"/>
      <c r="F349" s="562"/>
      <c r="G349" s="562"/>
      <c r="H349" s="562"/>
      <c r="I349" s="562"/>
      <c r="J349" s="562"/>
      <c r="K349" s="562"/>
      <c r="L349" s="562"/>
      <c r="M349" s="562"/>
      <c r="N349" s="562"/>
      <c r="O349" s="569"/>
      <c r="P349" s="570"/>
      <c r="Q349" s="562"/>
      <c r="R349" s="562"/>
      <c r="S349" s="562"/>
      <c r="T349" s="562"/>
      <c r="U349" s="562"/>
      <c r="V349" s="562"/>
      <c r="W349" s="562"/>
      <c r="X349" s="562"/>
      <c r="Y349" s="562"/>
      <c r="Z349" s="562"/>
    </row>
    <row r="350" ht="12.0" customHeight="1">
      <c r="A350" s="562"/>
      <c r="B350" s="562"/>
      <c r="C350" s="562"/>
      <c r="D350" s="562"/>
      <c r="E350" s="562"/>
      <c r="F350" s="562"/>
      <c r="G350" s="562"/>
      <c r="H350" s="562"/>
      <c r="I350" s="562"/>
      <c r="J350" s="562"/>
      <c r="K350" s="562"/>
      <c r="L350" s="562"/>
      <c r="M350" s="562"/>
      <c r="N350" s="562"/>
      <c r="O350" s="569"/>
      <c r="P350" s="570"/>
      <c r="Q350" s="562"/>
      <c r="R350" s="562"/>
      <c r="S350" s="562"/>
      <c r="T350" s="562"/>
      <c r="U350" s="562"/>
      <c r="V350" s="562"/>
      <c r="W350" s="562"/>
      <c r="X350" s="562"/>
      <c r="Y350" s="562"/>
      <c r="Z350" s="562"/>
    </row>
    <row r="351" ht="12.0" customHeight="1">
      <c r="A351" s="562"/>
      <c r="B351" s="562"/>
      <c r="C351" s="562"/>
      <c r="D351" s="562"/>
      <c r="E351" s="562"/>
      <c r="F351" s="562"/>
      <c r="G351" s="562"/>
      <c r="H351" s="562"/>
      <c r="I351" s="562"/>
      <c r="J351" s="562"/>
      <c r="K351" s="562"/>
      <c r="L351" s="562"/>
      <c r="M351" s="562"/>
      <c r="N351" s="562"/>
      <c r="O351" s="569"/>
      <c r="P351" s="570"/>
      <c r="Q351" s="562"/>
      <c r="R351" s="562"/>
      <c r="S351" s="562"/>
      <c r="T351" s="562"/>
      <c r="U351" s="562"/>
      <c r="V351" s="562"/>
      <c r="W351" s="562"/>
      <c r="X351" s="562"/>
      <c r="Y351" s="562"/>
      <c r="Z351" s="562"/>
    </row>
    <row r="352" ht="12.0" customHeight="1">
      <c r="A352" s="562"/>
      <c r="B352" s="562"/>
      <c r="C352" s="562"/>
      <c r="D352" s="562"/>
      <c r="E352" s="562"/>
      <c r="F352" s="562"/>
      <c r="G352" s="562"/>
      <c r="H352" s="562"/>
      <c r="I352" s="562"/>
      <c r="J352" s="562"/>
      <c r="K352" s="562"/>
      <c r="L352" s="562"/>
      <c r="M352" s="562"/>
      <c r="N352" s="562"/>
      <c r="O352" s="569"/>
      <c r="P352" s="570"/>
      <c r="Q352" s="562"/>
      <c r="R352" s="562"/>
      <c r="S352" s="562"/>
      <c r="T352" s="562"/>
      <c r="U352" s="562"/>
      <c r="V352" s="562"/>
      <c r="W352" s="562"/>
      <c r="X352" s="562"/>
      <c r="Y352" s="562"/>
      <c r="Z352" s="562"/>
    </row>
    <row r="353" ht="12.0" customHeight="1">
      <c r="A353" s="562"/>
      <c r="B353" s="562"/>
      <c r="C353" s="562"/>
      <c r="D353" s="562"/>
      <c r="E353" s="562"/>
      <c r="F353" s="562"/>
      <c r="G353" s="562"/>
      <c r="H353" s="562"/>
      <c r="I353" s="562"/>
      <c r="J353" s="562"/>
      <c r="K353" s="562"/>
      <c r="L353" s="562"/>
      <c r="M353" s="562"/>
      <c r="N353" s="562"/>
      <c r="O353" s="569"/>
      <c r="P353" s="570"/>
      <c r="Q353" s="562"/>
      <c r="R353" s="562"/>
      <c r="S353" s="562"/>
      <c r="T353" s="562"/>
      <c r="U353" s="562"/>
      <c r="V353" s="562"/>
      <c r="W353" s="562"/>
      <c r="X353" s="562"/>
      <c r="Y353" s="562"/>
      <c r="Z353" s="562"/>
    </row>
    <row r="354" ht="12.0" customHeight="1">
      <c r="A354" s="562"/>
      <c r="B354" s="562"/>
      <c r="C354" s="562"/>
      <c r="D354" s="562"/>
      <c r="E354" s="562"/>
      <c r="F354" s="562"/>
      <c r="G354" s="562"/>
      <c r="H354" s="562"/>
      <c r="I354" s="562"/>
      <c r="J354" s="562"/>
      <c r="K354" s="562"/>
      <c r="L354" s="562"/>
      <c r="M354" s="562"/>
      <c r="N354" s="562"/>
      <c r="O354" s="569"/>
      <c r="P354" s="570"/>
      <c r="Q354" s="562"/>
      <c r="R354" s="562"/>
      <c r="S354" s="562"/>
      <c r="T354" s="562"/>
      <c r="U354" s="562"/>
      <c r="V354" s="562"/>
      <c r="W354" s="562"/>
      <c r="X354" s="562"/>
      <c r="Y354" s="562"/>
      <c r="Z354" s="562"/>
    </row>
    <row r="355" ht="12.0" customHeight="1">
      <c r="A355" s="562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69"/>
      <c r="P355" s="570"/>
      <c r="Q355" s="562"/>
      <c r="R355" s="562"/>
      <c r="S355" s="562"/>
      <c r="T355" s="562"/>
      <c r="U355" s="562"/>
      <c r="V355" s="562"/>
      <c r="W355" s="562"/>
      <c r="X355" s="562"/>
      <c r="Y355" s="562"/>
      <c r="Z355" s="562"/>
    </row>
    <row r="356" ht="12.0" customHeight="1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9"/>
      <c r="P356" s="570"/>
      <c r="Q356" s="562"/>
      <c r="R356" s="562"/>
      <c r="S356" s="562"/>
      <c r="T356" s="562"/>
      <c r="U356" s="562"/>
      <c r="V356" s="562"/>
      <c r="W356" s="562"/>
      <c r="X356" s="562"/>
      <c r="Y356" s="562"/>
      <c r="Z356" s="562"/>
    </row>
    <row r="357" ht="12.0" customHeight="1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9"/>
      <c r="P357" s="570"/>
      <c r="Q357" s="562"/>
      <c r="R357" s="562"/>
      <c r="S357" s="562"/>
      <c r="T357" s="562"/>
      <c r="U357" s="562"/>
      <c r="V357" s="562"/>
      <c r="W357" s="562"/>
      <c r="X357" s="562"/>
      <c r="Y357" s="562"/>
      <c r="Z357" s="562"/>
    </row>
    <row r="358" ht="12.0" customHeight="1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9"/>
      <c r="P358" s="570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</row>
    <row r="359" ht="12.0" customHeight="1">
      <c r="A359" s="562"/>
      <c r="B359" s="562"/>
      <c r="C359" s="562"/>
      <c r="D359" s="562"/>
      <c r="E359" s="562"/>
      <c r="F359" s="562"/>
      <c r="G359" s="562"/>
      <c r="H359" s="562"/>
      <c r="I359" s="562"/>
      <c r="J359" s="562"/>
      <c r="K359" s="562"/>
      <c r="L359" s="562"/>
      <c r="M359" s="562"/>
      <c r="N359" s="562"/>
      <c r="O359" s="569"/>
      <c r="P359" s="570"/>
      <c r="Q359" s="562"/>
      <c r="R359" s="562"/>
      <c r="S359" s="562"/>
      <c r="T359" s="562"/>
      <c r="U359" s="562"/>
      <c r="V359" s="562"/>
      <c r="W359" s="562"/>
      <c r="X359" s="562"/>
      <c r="Y359" s="562"/>
      <c r="Z359" s="562"/>
    </row>
    <row r="360" ht="12.0" customHeight="1">
      <c r="A360" s="562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69"/>
      <c r="P360" s="570"/>
      <c r="Q360" s="562"/>
      <c r="R360" s="562"/>
      <c r="S360" s="562"/>
      <c r="T360" s="562"/>
      <c r="U360" s="562"/>
      <c r="V360" s="562"/>
      <c r="W360" s="562"/>
      <c r="X360" s="562"/>
      <c r="Y360" s="562"/>
      <c r="Z360" s="562"/>
    </row>
    <row r="361" ht="12.0" customHeight="1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9"/>
      <c r="P361" s="570"/>
      <c r="Q361" s="562"/>
      <c r="R361" s="562"/>
      <c r="S361" s="562"/>
      <c r="T361" s="562"/>
      <c r="U361" s="562"/>
      <c r="V361" s="562"/>
      <c r="W361" s="562"/>
      <c r="X361" s="562"/>
      <c r="Y361" s="562"/>
      <c r="Z361" s="562"/>
    </row>
    <row r="362" ht="12.0" customHeight="1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9"/>
      <c r="P362" s="570"/>
      <c r="Q362" s="562"/>
      <c r="R362" s="562"/>
      <c r="S362" s="562"/>
      <c r="T362" s="562"/>
      <c r="U362" s="562"/>
      <c r="V362" s="562"/>
      <c r="W362" s="562"/>
      <c r="X362" s="562"/>
      <c r="Y362" s="562"/>
      <c r="Z362" s="562"/>
    </row>
    <row r="363" ht="12.0" customHeight="1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9"/>
      <c r="P363" s="570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</row>
    <row r="364" ht="12.0" customHeight="1">
      <c r="A364" s="562"/>
      <c r="B364" s="562"/>
      <c r="C364" s="562"/>
      <c r="D364" s="562"/>
      <c r="E364" s="562"/>
      <c r="F364" s="562"/>
      <c r="G364" s="562"/>
      <c r="H364" s="562"/>
      <c r="I364" s="562"/>
      <c r="J364" s="562"/>
      <c r="K364" s="562"/>
      <c r="L364" s="562"/>
      <c r="M364" s="562"/>
      <c r="N364" s="562"/>
      <c r="O364" s="569"/>
      <c r="P364" s="570"/>
      <c r="Q364" s="562"/>
      <c r="R364" s="562"/>
      <c r="S364" s="562"/>
      <c r="T364" s="562"/>
      <c r="U364" s="562"/>
      <c r="V364" s="562"/>
      <c r="W364" s="562"/>
      <c r="X364" s="562"/>
      <c r="Y364" s="562"/>
      <c r="Z364" s="562"/>
    </row>
    <row r="365" ht="12.0" customHeight="1">
      <c r="A365" s="562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69"/>
      <c r="P365" s="570"/>
      <c r="Q365" s="562"/>
      <c r="R365" s="562"/>
      <c r="S365" s="562"/>
      <c r="T365" s="562"/>
      <c r="U365" s="562"/>
      <c r="V365" s="562"/>
      <c r="W365" s="562"/>
      <c r="X365" s="562"/>
      <c r="Y365" s="562"/>
      <c r="Z365" s="562"/>
    </row>
    <row r="366" ht="12.0" customHeight="1">
      <c r="A366" s="562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9"/>
      <c r="P366" s="570"/>
      <c r="Q366" s="562"/>
      <c r="R366" s="562"/>
      <c r="S366" s="562"/>
      <c r="T366" s="562"/>
      <c r="U366" s="562"/>
      <c r="V366" s="562"/>
      <c r="W366" s="562"/>
      <c r="X366" s="562"/>
      <c r="Y366" s="562"/>
      <c r="Z366" s="562"/>
    </row>
    <row r="367" ht="12.0" customHeight="1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9"/>
      <c r="P367" s="570"/>
      <c r="Q367" s="562"/>
      <c r="R367" s="562"/>
      <c r="S367" s="562"/>
      <c r="T367" s="562"/>
      <c r="U367" s="562"/>
      <c r="V367" s="562"/>
      <c r="W367" s="562"/>
      <c r="X367" s="562"/>
      <c r="Y367" s="562"/>
      <c r="Z367" s="562"/>
    </row>
    <row r="368" ht="12.0" customHeight="1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9"/>
      <c r="P368" s="570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</row>
    <row r="369" ht="12.0" customHeight="1">
      <c r="A369" s="562"/>
      <c r="B369" s="562"/>
      <c r="C369" s="562"/>
      <c r="D369" s="562"/>
      <c r="E369" s="562"/>
      <c r="F369" s="562"/>
      <c r="G369" s="562"/>
      <c r="H369" s="562"/>
      <c r="I369" s="562"/>
      <c r="J369" s="562"/>
      <c r="K369" s="562"/>
      <c r="L369" s="562"/>
      <c r="M369" s="562"/>
      <c r="N369" s="562"/>
      <c r="O369" s="569"/>
      <c r="P369" s="570"/>
      <c r="Q369" s="562"/>
      <c r="R369" s="562"/>
      <c r="S369" s="562"/>
      <c r="T369" s="562"/>
      <c r="U369" s="562"/>
      <c r="V369" s="562"/>
      <c r="W369" s="562"/>
      <c r="X369" s="562"/>
      <c r="Y369" s="562"/>
      <c r="Z369" s="562"/>
    </row>
    <row r="370" ht="12.0" customHeight="1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9"/>
      <c r="P370" s="570"/>
      <c r="Q370" s="562"/>
      <c r="R370" s="562"/>
      <c r="S370" s="562"/>
      <c r="T370" s="562"/>
      <c r="U370" s="562"/>
      <c r="V370" s="562"/>
      <c r="W370" s="562"/>
      <c r="X370" s="562"/>
      <c r="Y370" s="562"/>
      <c r="Z370" s="562"/>
    </row>
    <row r="371" ht="12.0" customHeight="1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9"/>
      <c r="P371" s="570"/>
      <c r="Q371" s="562"/>
      <c r="R371" s="562"/>
      <c r="S371" s="562"/>
      <c r="T371" s="562"/>
      <c r="U371" s="562"/>
      <c r="V371" s="562"/>
      <c r="W371" s="562"/>
      <c r="X371" s="562"/>
      <c r="Y371" s="562"/>
      <c r="Z371" s="562"/>
    </row>
    <row r="372" ht="12.0" customHeight="1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9"/>
      <c r="P372" s="570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</row>
    <row r="373" ht="12.0" customHeight="1">
      <c r="A373" s="562"/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9"/>
      <c r="P373" s="570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</row>
    <row r="374" ht="12.0" customHeight="1">
      <c r="A374" s="562"/>
      <c r="B374" s="562"/>
      <c r="C374" s="562"/>
      <c r="D374" s="562"/>
      <c r="E374" s="562"/>
      <c r="F374" s="562"/>
      <c r="G374" s="562"/>
      <c r="H374" s="562"/>
      <c r="I374" s="562"/>
      <c r="J374" s="562"/>
      <c r="K374" s="562"/>
      <c r="L374" s="562"/>
      <c r="M374" s="562"/>
      <c r="N374" s="562"/>
      <c r="O374" s="569"/>
      <c r="P374" s="570"/>
      <c r="Q374" s="562"/>
      <c r="R374" s="562"/>
      <c r="S374" s="562"/>
      <c r="T374" s="562"/>
      <c r="U374" s="562"/>
      <c r="V374" s="562"/>
      <c r="W374" s="562"/>
      <c r="X374" s="562"/>
      <c r="Y374" s="562"/>
      <c r="Z374" s="562"/>
    </row>
    <row r="375" ht="12.0" customHeight="1">
      <c r="A375" s="562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69"/>
      <c r="P375" s="570"/>
      <c r="Q375" s="562"/>
      <c r="R375" s="562"/>
      <c r="S375" s="562"/>
      <c r="T375" s="562"/>
      <c r="U375" s="562"/>
      <c r="V375" s="562"/>
      <c r="W375" s="562"/>
      <c r="X375" s="562"/>
      <c r="Y375" s="562"/>
      <c r="Z375" s="562"/>
    </row>
    <row r="376" ht="12.0" customHeight="1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9"/>
      <c r="P376" s="570"/>
      <c r="Q376" s="562"/>
      <c r="R376" s="562"/>
      <c r="S376" s="562"/>
      <c r="T376" s="562"/>
      <c r="U376" s="562"/>
      <c r="V376" s="562"/>
      <c r="W376" s="562"/>
      <c r="X376" s="562"/>
      <c r="Y376" s="562"/>
      <c r="Z376" s="562"/>
    </row>
    <row r="377" ht="12.0" customHeight="1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9"/>
      <c r="P377" s="570"/>
      <c r="Q377" s="562"/>
      <c r="R377" s="562"/>
      <c r="S377" s="562"/>
      <c r="T377" s="562"/>
      <c r="U377" s="562"/>
      <c r="V377" s="562"/>
      <c r="W377" s="562"/>
      <c r="X377" s="562"/>
      <c r="Y377" s="562"/>
      <c r="Z377" s="562"/>
    </row>
    <row r="378" ht="12.0" customHeight="1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9"/>
      <c r="P378" s="570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</row>
    <row r="379" ht="12.0" customHeight="1">
      <c r="A379" s="562"/>
      <c r="B379" s="562"/>
      <c r="C379" s="562"/>
      <c r="D379" s="562"/>
      <c r="E379" s="562"/>
      <c r="F379" s="562"/>
      <c r="G379" s="562"/>
      <c r="H379" s="562"/>
      <c r="I379" s="562"/>
      <c r="J379" s="562"/>
      <c r="K379" s="562"/>
      <c r="L379" s="562"/>
      <c r="M379" s="562"/>
      <c r="N379" s="562"/>
      <c r="O379" s="569"/>
      <c r="P379" s="570"/>
      <c r="Q379" s="562"/>
      <c r="R379" s="562"/>
      <c r="S379" s="562"/>
      <c r="T379" s="562"/>
      <c r="U379" s="562"/>
      <c r="V379" s="562"/>
      <c r="W379" s="562"/>
      <c r="X379" s="562"/>
      <c r="Y379" s="562"/>
      <c r="Z379" s="562"/>
    </row>
    <row r="380" ht="12.0" customHeight="1">
      <c r="A380" s="562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69"/>
      <c r="P380" s="570"/>
      <c r="Q380" s="562"/>
      <c r="R380" s="562"/>
      <c r="S380" s="562"/>
      <c r="T380" s="562"/>
      <c r="U380" s="562"/>
      <c r="V380" s="562"/>
      <c r="W380" s="562"/>
      <c r="X380" s="562"/>
      <c r="Y380" s="562"/>
      <c r="Z380" s="562"/>
    </row>
    <row r="381" ht="12.0" customHeight="1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9"/>
      <c r="P381" s="570"/>
      <c r="Q381" s="562"/>
      <c r="R381" s="562"/>
      <c r="S381" s="562"/>
      <c r="T381" s="562"/>
      <c r="U381" s="562"/>
      <c r="V381" s="562"/>
      <c r="W381" s="562"/>
      <c r="X381" s="562"/>
      <c r="Y381" s="562"/>
      <c r="Z381" s="562"/>
    </row>
    <row r="382" ht="12.0" customHeight="1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9"/>
      <c r="P382" s="570"/>
      <c r="Q382" s="562"/>
      <c r="R382" s="562"/>
      <c r="S382" s="562"/>
      <c r="T382" s="562"/>
      <c r="U382" s="562"/>
      <c r="V382" s="562"/>
      <c r="W382" s="562"/>
      <c r="X382" s="562"/>
      <c r="Y382" s="562"/>
      <c r="Z382" s="562"/>
    </row>
    <row r="383" ht="12.0" customHeight="1">
      <c r="A383" s="562"/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9"/>
      <c r="P383" s="570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</row>
    <row r="384" ht="12.0" customHeight="1">
      <c r="A384" s="562"/>
      <c r="B384" s="562"/>
      <c r="C384" s="562"/>
      <c r="D384" s="562"/>
      <c r="E384" s="562"/>
      <c r="F384" s="562"/>
      <c r="G384" s="562"/>
      <c r="H384" s="562"/>
      <c r="I384" s="562"/>
      <c r="J384" s="562"/>
      <c r="K384" s="562"/>
      <c r="L384" s="562"/>
      <c r="M384" s="562"/>
      <c r="N384" s="562"/>
      <c r="O384" s="569"/>
      <c r="P384" s="570"/>
      <c r="Q384" s="562"/>
      <c r="R384" s="562"/>
      <c r="S384" s="562"/>
      <c r="T384" s="562"/>
      <c r="U384" s="562"/>
      <c r="V384" s="562"/>
      <c r="W384" s="562"/>
      <c r="X384" s="562"/>
      <c r="Y384" s="562"/>
      <c r="Z384" s="562"/>
    </row>
    <row r="385" ht="12.0" customHeight="1">
      <c r="A385" s="562"/>
      <c r="B385" s="562"/>
      <c r="C385" s="562"/>
      <c r="D385" s="562"/>
      <c r="E385" s="562"/>
      <c r="F385" s="562"/>
      <c r="G385" s="562"/>
      <c r="H385" s="562"/>
      <c r="I385" s="562"/>
      <c r="J385" s="562"/>
      <c r="K385" s="562"/>
      <c r="L385" s="562"/>
      <c r="M385" s="562"/>
      <c r="N385" s="562"/>
      <c r="O385" s="569"/>
      <c r="P385" s="570"/>
      <c r="Q385" s="562"/>
      <c r="R385" s="562"/>
      <c r="S385" s="562"/>
      <c r="T385" s="562"/>
      <c r="U385" s="562"/>
      <c r="V385" s="562"/>
      <c r="W385" s="562"/>
      <c r="X385" s="562"/>
      <c r="Y385" s="562"/>
      <c r="Z385" s="562"/>
    </row>
    <row r="386" ht="12.0" customHeight="1">
      <c r="A386" s="562"/>
      <c r="B386" s="562"/>
      <c r="C386" s="562"/>
      <c r="D386" s="562"/>
      <c r="E386" s="562"/>
      <c r="F386" s="562"/>
      <c r="G386" s="562"/>
      <c r="H386" s="562"/>
      <c r="I386" s="562"/>
      <c r="J386" s="562"/>
      <c r="K386" s="562"/>
      <c r="L386" s="562"/>
      <c r="M386" s="562"/>
      <c r="N386" s="562"/>
      <c r="O386" s="569"/>
      <c r="P386" s="570"/>
      <c r="Q386" s="562"/>
      <c r="R386" s="562"/>
      <c r="S386" s="562"/>
      <c r="T386" s="562"/>
      <c r="U386" s="562"/>
      <c r="V386" s="562"/>
      <c r="W386" s="562"/>
      <c r="X386" s="562"/>
      <c r="Y386" s="562"/>
      <c r="Z386" s="562"/>
    </row>
    <row r="387" ht="12.0" customHeight="1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9"/>
      <c r="P387" s="570"/>
      <c r="Q387" s="562"/>
      <c r="R387" s="562"/>
      <c r="S387" s="562"/>
      <c r="T387" s="562"/>
      <c r="U387" s="562"/>
      <c r="V387" s="562"/>
      <c r="W387" s="562"/>
      <c r="X387" s="562"/>
      <c r="Y387" s="562"/>
      <c r="Z387" s="562"/>
    </row>
    <row r="388" ht="12.0" customHeight="1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9"/>
      <c r="P388" s="570"/>
      <c r="Q388" s="562"/>
      <c r="R388" s="562"/>
      <c r="S388" s="562"/>
      <c r="T388" s="562"/>
      <c r="U388" s="562"/>
      <c r="V388" s="562"/>
      <c r="W388" s="562"/>
      <c r="X388" s="562"/>
      <c r="Y388" s="562"/>
      <c r="Z388" s="562"/>
    </row>
    <row r="389" ht="12.0" customHeight="1">
      <c r="A389" s="562"/>
      <c r="B389" s="562"/>
      <c r="C389" s="562"/>
      <c r="D389" s="562"/>
      <c r="E389" s="562"/>
      <c r="F389" s="562"/>
      <c r="G389" s="562"/>
      <c r="H389" s="562"/>
      <c r="I389" s="562"/>
      <c r="J389" s="562"/>
      <c r="K389" s="562"/>
      <c r="L389" s="562"/>
      <c r="M389" s="562"/>
      <c r="N389" s="562"/>
      <c r="O389" s="569"/>
      <c r="P389" s="570"/>
      <c r="Q389" s="562"/>
      <c r="R389" s="562"/>
      <c r="S389" s="562"/>
      <c r="T389" s="562"/>
      <c r="U389" s="562"/>
      <c r="V389" s="562"/>
      <c r="W389" s="562"/>
      <c r="X389" s="562"/>
      <c r="Y389" s="562"/>
      <c r="Z389" s="562"/>
    </row>
    <row r="390" ht="12.0" customHeight="1">
      <c r="A390" s="562"/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9"/>
      <c r="P390" s="570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</row>
    <row r="391" ht="12.0" customHeight="1">
      <c r="A391" s="562"/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9"/>
      <c r="P391" s="570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</row>
    <row r="392" ht="12.0" customHeight="1">
      <c r="A392" s="562"/>
      <c r="B392" s="562"/>
      <c r="C392" s="562"/>
      <c r="D392" s="562"/>
      <c r="E392" s="562"/>
      <c r="F392" s="562"/>
      <c r="G392" s="562"/>
      <c r="H392" s="562"/>
      <c r="I392" s="562"/>
      <c r="J392" s="562"/>
      <c r="K392" s="562"/>
      <c r="L392" s="562"/>
      <c r="M392" s="562"/>
      <c r="N392" s="562"/>
      <c r="O392" s="569"/>
      <c r="P392" s="570"/>
      <c r="Q392" s="562"/>
      <c r="R392" s="562"/>
      <c r="S392" s="562"/>
      <c r="T392" s="562"/>
      <c r="U392" s="562"/>
      <c r="V392" s="562"/>
      <c r="W392" s="562"/>
      <c r="X392" s="562"/>
      <c r="Y392" s="562"/>
      <c r="Z392" s="562"/>
    </row>
    <row r="393" ht="12.0" customHeight="1">
      <c r="A393" s="562"/>
      <c r="B393" s="562"/>
      <c r="C393" s="562"/>
      <c r="D393" s="562"/>
      <c r="E393" s="562"/>
      <c r="F393" s="562"/>
      <c r="G393" s="562"/>
      <c r="H393" s="562"/>
      <c r="I393" s="562"/>
      <c r="J393" s="562"/>
      <c r="K393" s="562"/>
      <c r="L393" s="562"/>
      <c r="M393" s="562"/>
      <c r="N393" s="562"/>
      <c r="O393" s="569"/>
      <c r="P393" s="570"/>
      <c r="Q393" s="562"/>
      <c r="R393" s="562"/>
      <c r="S393" s="562"/>
      <c r="T393" s="562"/>
      <c r="U393" s="562"/>
      <c r="V393" s="562"/>
      <c r="W393" s="562"/>
      <c r="X393" s="562"/>
      <c r="Y393" s="562"/>
      <c r="Z393" s="562"/>
    </row>
    <row r="394" ht="12.0" customHeight="1">
      <c r="A394" s="562"/>
      <c r="B394" s="562"/>
      <c r="C394" s="562"/>
      <c r="D394" s="562"/>
      <c r="E394" s="562"/>
      <c r="F394" s="562"/>
      <c r="G394" s="562"/>
      <c r="H394" s="562"/>
      <c r="I394" s="562"/>
      <c r="J394" s="562"/>
      <c r="K394" s="562"/>
      <c r="L394" s="562"/>
      <c r="M394" s="562"/>
      <c r="N394" s="562"/>
      <c r="O394" s="569"/>
      <c r="P394" s="570"/>
      <c r="Q394" s="562"/>
      <c r="R394" s="562"/>
      <c r="S394" s="562"/>
      <c r="T394" s="562"/>
      <c r="U394" s="562"/>
      <c r="V394" s="562"/>
      <c r="W394" s="562"/>
      <c r="X394" s="562"/>
      <c r="Y394" s="562"/>
      <c r="Z394" s="562"/>
    </row>
    <row r="395" ht="12.0" customHeight="1">
      <c r="A395" s="562"/>
      <c r="B395" s="562"/>
      <c r="C395" s="562"/>
      <c r="D395" s="562"/>
      <c r="E395" s="562"/>
      <c r="F395" s="562"/>
      <c r="G395" s="562"/>
      <c r="H395" s="562"/>
      <c r="I395" s="562"/>
      <c r="J395" s="562"/>
      <c r="K395" s="562"/>
      <c r="L395" s="562"/>
      <c r="M395" s="562"/>
      <c r="N395" s="562"/>
      <c r="O395" s="569"/>
      <c r="P395" s="570"/>
      <c r="Q395" s="562"/>
      <c r="R395" s="562"/>
      <c r="S395" s="562"/>
      <c r="T395" s="562"/>
      <c r="U395" s="562"/>
      <c r="V395" s="562"/>
      <c r="W395" s="562"/>
      <c r="X395" s="562"/>
      <c r="Y395" s="562"/>
      <c r="Z395" s="562"/>
    </row>
    <row r="396" ht="12.0" customHeight="1">
      <c r="A396" s="562"/>
      <c r="B396" s="562"/>
      <c r="C396" s="562"/>
      <c r="D396" s="562"/>
      <c r="E396" s="562"/>
      <c r="F396" s="562"/>
      <c r="G396" s="562"/>
      <c r="H396" s="562"/>
      <c r="I396" s="562"/>
      <c r="J396" s="562"/>
      <c r="K396" s="562"/>
      <c r="L396" s="562"/>
      <c r="M396" s="562"/>
      <c r="N396" s="562"/>
      <c r="O396" s="569"/>
      <c r="P396" s="570"/>
      <c r="Q396" s="562"/>
      <c r="R396" s="562"/>
      <c r="S396" s="562"/>
      <c r="T396" s="562"/>
      <c r="U396" s="562"/>
      <c r="V396" s="562"/>
      <c r="W396" s="562"/>
      <c r="X396" s="562"/>
      <c r="Y396" s="562"/>
      <c r="Z396" s="562"/>
    </row>
    <row r="397" ht="12.0" customHeight="1">
      <c r="A397" s="562"/>
      <c r="B397" s="562"/>
      <c r="C397" s="562"/>
      <c r="D397" s="562"/>
      <c r="E397" s="562"/>
      <c r="F397" s="562"/>
      <c r="G397" s="562"/>
      <c r="H397" s="562"/>
      <c r="I397" s="562"/>
      <c r="J397" s="562"/>
      <c r="K397" s="562"/>
      <c r="L397" s="562"/>
      <c r="M397" s="562"/>
      <c r="N397" s="562"/>
      <c r="O397" s="569"/>
      <c r="P397" s="570"/>
      <c r="Q397" s="562"/>
      <c r="R397" s="562"/>
      <c r="S397" s="562"/>
      <c r="T397" s="562"/>
      <c r="U397" s="562"/>
      <c r="V397" s="562"/>
      <c r="W397" s="562"/>
      <c r="X397" s="562"/>
      <c r="Y397" s="562"/>
      <c r="Z397" s="562"/>
    </row>
    <row r="398" ht="12.0" customHeight="1">
      <c r="A398" s="562"/>
      <c r="B398" s="562"/>
      <c r="C398" s="562"/>
      <c r="D398" s="562"/>
      <c r="E398" s="562"/>
      <c r="F398" s="562"/>
      <c r="G398" s="562"/>
      <c r="H398" s="562"/>
      <c r="I398" s="562"/>
      <c r="J398" s="562"/>
      <c r="K398" s="562"/>
      <c r="L398" s="562"/>
      <c r="M398" s="562"/>
      <c r="N398" s="562"/>
      <c r="O398" s="569"/>
      <c r="P398" s="570"/>
      <c r="Q398" s="562"/>
      <c r="R398" s="562"/>
      <c r="S398" s="562"/>
      <c r="T398" s="562"/>
      <c r="U398" s="562"/>
      <c r="V398" s="562"/>
      <c r="W398" s="562"/>
      <c r="X398" s="562"/>
      <c r="Y398" s="562"/>
      <c r="Z398" s="562"/>
    </row>
    <row r="399" ht="12.0" customHeight="1">
      <c r="A399" s="562"/>
      <c r="B399" s="562"/>
      <c r="C399" s="562"/>
      <c r="D399" s="562"/>
      <c r="E399" s="562"/>
      <c r="F399" s="562"/>
      <c r="G399" s="562"/>
      <c r="H399" s="562"/>
      <c r="I399" s="562"/>
      <c r="J399" s="562"/>
      <c r="K399" s="562"/>
      <c r="L399" s="562"/>
      <c r="M399" s="562"/>
      <c r="N399" s="562"/>
      <c r="O399" s="569"/>
      <c r="P399" s="570"/>
      <c r="Q399" s="562"/>
      <c r="R399" s="562"/>
      <c r="S399" s="562"/>
      <c r="T399" s="562"/>
      <c r="U399" s="562"/>
      <c r="V399" s="562"/>
      <c r="W399" s="562"/>
      <c r="X399" s="562"/>
      <c r="Y399" s="562"/>
      <c r="Z399" s="562"/>
    </row>
    <row r="400" ht="12.0" customHeight="1">
      <c r="A400" s="562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69"/>
      <c r="P400" s="570"/>
      <c r="Q400" s="562"/>
      <c r="R400" s="562"/>
      <c r="S400" s="562"/>
      <c r="T400" s="562"/>
      <c r="U400" s="562"/>
      <c r="V400" s="562"/>
      <c r="W400" s="562"/>
      <c r="X400" s="562"/>
      <c r="Y400" s="562"/>
      <c r="Z400" s="562"/>
    </row>
    <row r="401" ht="12.0" customHeight="1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9"/>
      <c r="P401" s="570"/>
      <c r="Q401" s="562"/>
      <c r="R401" s="562"/>
      <c r="S401" s="562"/>
      <c r="T401" s="562"/>
      <c r="U401" s="562"/>
      <c r="V401" s="562"/>
      <c r="W401" s="562"/>
      <c r="X401" s="562"/>
      <c r="Y401" s="562"/>
      <c r="Z401" s="562"/>
    </row>
    <row r="402" ht="12.0" customHeight="1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9"/>
      <c r="P402" s="570"/>
      <c r="Q402" s="562"/>
      <c r="R402" s="562"/>
      <c r="S402" s="562"/>
      <c r="T402" s="562"/>
      <c r="U402" s="562"/>
      <c r="V402" s="562"/>
      <c r="W402" s="562"/>
      <c r="X402" s="562"/>
      <c r="Y402" s="562"/>
      <c r="Z402" s="562"/>
    </row>
    <row r="403" ht="12.0" customHeight="1">
      <c r="A403" s="562"/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9"/>
      <c r="P403" s="570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</row>
    <row r="404" ht="12.0" customHeight="1">
      <c r="A404" s="562"/>
      <c r="B404" s="562"/>
      <c r="C404" s="562"/>
      <c r="D404" s="562"/>
      <c r="E404" s="562"/>
      <c r="F404" s="562"/>
      <c r="G404" s="562"/>
      <c r="H404" s="562"/>
      <c r="I404" s="562"/>
      <c r="J404" s="562"/>
      <c r="K404" s="562"/>
      <c r="L404" s="562"/>
      <c r="M404" s="562"/>
      <c r="N404" s="562"/>
      <c r="O404" s="569"/>
      <c r="P404" s="570"/>
      <c r="Q404" s="562"/>
      <c r="R404" s="562"/>
      <c r="S404" s="562"/>
      <c r="T404" s="562"/>
      <c r="U404" s="562"/>
      <c r="V404" s="562"/>
      <c r="W404" s="562"/>
      <c r="X404" s="562"/>
      <c r="Y404" s="562"/>
      <c r="Z404" s="562"/>
    </row>
    <row r="405" ht="12.0" customHeight="1">
      <c r="A405" s="562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69"/>
      <c r="P405" s="570"/>
      <c r="Q405" s="562"/>
      <c r="R405" s="562"/>
      <c r="S405" s="562"/>
      <c r="T405" s="562"/>
      <c r="U405" s="562"/>
      <c r="V405" s="562"/>
      <c r="W405" s="562"/>
      <c r="X405" s="562"/>
      <c r="Y405" s="562"/>
      <c r="Z405" s="562"/>
    </row>
    <row r="406" ht="12.0" customHeight="1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9"/>
      <c r="P406" s="570"/>
      <c r="Q406" s="562"/>
      <c r="R406" s="562"/>
      <c r="S406" s="562"/>
      <c r="T406" s="562"/>
      <c r="U406" s="562"/>
      <c r="V406" s="562"/>
      <c r="W406" s="562"/>
      <c r="X406" s="562"/>
      <c r="Y406" s="562"/>
      <c r="Z406" s="562"/>
    </row>
    <row r="407" ht="12.0" customHeight="1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9"/>
      <c r="P407" s="570"/>
      <c r="Q407" s="562"/>
      <c r="R407" s="562"/>
      <c r="S407" s="562"/>
      <c r="T407" s="562"/>
      <c r="U407" s="562"/>
      <c r="V407" s="562"/>
      <c r="W407" s="562"/>
      <c r="X407" s="562"/>
      <c r="Y407" s="562"/>
      <c r="Z407" s="562"/>
    </row>
    <row r="408" ht="12.0" customHeight="1">
      <c r="A408" s="562"/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9"/>
      <c r="P408" s="570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</row>
    <row r="409" ht="12.0" customHeight="1">
      <c r="A409" s="562"/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9"/>
      <c r="P409" s="570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</row>
    <row r="410" ht="12.0" customHeight="1">
      <c r="A410" s="562"/>
      <c r="B410" s="562"/>
      <c r="C410" s="562"/>
      <c r="D410" s="562"/>
      <c r="E410" s="562"/>
      <c r="F410" s="562"/>
      <c r="G410" s="562"/>
      <c r="H410" s="562"/>
      <c r="I410" s="562"/>
      <c r="J410" s="562"/>
      <c r="K410" s="562"/>
      <c r="L410" s="562"/>
      <c r="M410" s="562"/>
      <c r="N410" s="562"/>
      <c r="O410" s="569"/>
      <c r="P410" s="570"/>
      <c r="Q410" s="562"/>
      <c r="R410" s="562"/>
      <c r="S410" s="562"/>
      <c r="T410" s="562"/>
      <c r="U410" s="562"/>
      <c r="V410" s="562"/>
      <c r="W410" s="562"/>
      <c r="X410" s="562"/>
      <c r="Y410" s="562"/>
      <c r="Z410" s="562"/>
    </row>
    <row r="411" ht="12.0" customHeight="1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9"/>
      <c r="P411" s="570"/>
      <c r="Q411" s="562"/>
      <c r="R411" s="562"/>
      <c r="S411" s="562"/>
      <c r="T411" s="562"/>
      <c r="U411" s="562"/>
      <c r="V411" s="562"/>
      <c r="W411" s="562"/>
      <c r="X411" s="562"/>
      <c r="Y411" s="562"/>
      <c r="Z411" s="562"/>
    </row>
    <row r="412" ht="12.0" customHeight="1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9"/>
      <c r="P412" s="570"/>
      <c r="Q412" s="562"/>
      <c r="R412" s="562"/>
      <c r="S412" s="562"/>
      <c r="T412" s="562"/>
      <c r="U412" s="562"/>
      <c r="V412" s="562"/>
      <c r="W412" s="562"/>
      <c r="X412" s="562"/>
      <c r="Y412" s="562"/>
      <c r="Z412" s="562"/>
    </row>
    <row r="413" ht="12.0" customHeight="1">
      <c r="A413" s="562"/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9"/>
      <c r="P413" s="570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</row>
    <row r="414" ht="12.0" customHeight="1">
      <c r="A414" s="562"/>
      <c r="B414" s="562"/>
      <c r="C414" s="562"/>
      <c r="D414" s="562"/>
      <c r="E414" s="562"/>
      <c r="F414" s="562"/>
      <c r="G414" s="562"/>
      <c r="H414" s="562"/>
      <c r="I414" s="562"/>
      <c r="J414" s="562"/>
      <c r="K414" s="562"/>
      <c r="L414" s="562"/>
      <c r="M414" s="562"/>
      <c r="N414" s="562"/>
      <c r="O414" s="569"/>
      <c r="P414" s="570"/>
      <c r="Q414" s="562"/>
      <c r="R414" s="562"/>
      <c r="S414" s="562"/>
      <c r="T414" s="562"/>
      <c r="U414" s="562"/>
      <c r="V414" s="562"/>
      <c r="W414" s="562"/>
      <c r="X414" s="562"/>
      <c r="Y414" s="562"/>
      <c r="Z414" s="562"/>
    </row>
    <row r="415" ht="12.0" customHeight="1">
      <c r="A415" s="562"/>
      <c r="B415" s="562"/>
      <c r="C415" s="562"/>
      <c r="D415" s="562"/>
      <c r="E415" s="562"/>
      <c r="F415" s="562"/>
      <c r="G415" s="562"/>
      <c r="H415" s="562"/>
      <c r="I415" s="562"/>
      <c r="J415" s="562"/>
      <c r="K415" s="562"/>
      <c r="L415" s="562"/>
      <c r="M415" s="562"/>
      <c r="N415" s="562"/>
      <c r="O415" s="569"/>
      <c r="P415" s="570"/>
      <c r="Q415" s="562"/>
      <c r="R415" s="562"/>
      <c r="S415" s="562"/>
      <c r="T415" s="562"/>
      <c r="U415" s="562"/>
      <c r="V415" s="562"/>
      <c r="W415" s="562"/>
      <c r="X415" s="562"/>
      <c r="Y415" s="562"/>
      <c r="Z415" s="562"/>
    </row>
    <row r="416" ht="12.0" customHeight="1">
      <c r="A416" s="562"/>
      <c r="B416" s="562"/>
      <c r="C416" s="562"/>
      <c r="D416" s="562"/>
      <c r="E416" s="562"/>
      <c r="F416" s="562"/>
      <c r="G416" s="562"/>
      <c r="H416" s="562"/>
      <c r="I416" s="562"/>
      <c r="J416" s="562"/>
      <c r="K416" s="562"/>
      <c r="L416" s="562"/>
      <c r="M416" s="562"/>
      <c r="N416" s="562"/>
      <c r="O416" s="569"/>
      <c r="P416" s="570"/>
      <c r="Q416" s="562"/>
      <c r="R416" s="562"/>
      <c r="S416" s="562"/>
      <c r="T416" s="562"/>
      <c r="U416" s="562"/>
      <c r="V416" s="562"/>
      <c r="W416" s="562"/>
      <c r="X416" s="562"/>
      <c r="Y416" s="562"/>
      <c r="Z416" s="562"/>
    </row>
    <row r="417" ht="12.0" customHeight="1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9"/>
      <c r="P417" s="570"/>
      <c r="Q417" s="562"/>
      <c r="R417" s="562"/>
      <c r="S417" s="562"/>
      <c r="T417" s="562"/>
      <c r="U417" s="562"/>
      <c r="V417" s="562"/>
      <c r="W417" s="562"/>
      <c r="X417" s="562"/>
      <c r="Y417" s="562"/>
      <c r="Z417" s="562"/>
    </row>
    <row r="418" ht="12.0" customHeight="1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9"/>
      <c r="P418" s="570"/>
      <c r="Q418" s="562"/>
      <c r="R418" s="562"/>
      <c r="S418" s="562"/>
      <c r="T418" s="562"/>
      <c r="U418" s="562"/>
      <c r="V418" s="562"/>
      <c r="W418" s="562"/>
      <c r="X418" s="562"/>
      <c r="Y418" s="562"/>
      <c r="Z418" s="562"/>
    </row>
    <row r="419" ht="12.0" customHeight="1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9"/>
      <c r="P419" s="570"/>
      <c r="Q419" s="562"/>
      <c r="R419" s="562"/>
      <c r="S419" s="562"/>
      <c r="T419" s="562"/>
      <c r="U419" s="562"/>
      <c r="V419" s="562"/>
      <c r="W419" s="562"/>
      <c r="X419" s="562"/>
      <c r="Y419" s="562"/>
      <c r="Z419" s="562"/>
    </row>
    <row r="420" ht="12.0" customHeight="1">
      <c r="A420" s="562"/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9"/>
      <c r="P420" s="570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</row>
    <row r="421" ht="12.0" customHeight="1">
      <c r="A421" s="562"/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9"/>
      <c r="P421" s="570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</row>
    <row r="422" ht="12.0" customHeight="1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9"/>
      <c r="P422" s="570"/>
      <c r="Q422" s="562"/>
      <c r="R422" s="562"/>
      <c r="S422" s="562"/>
      <c r="T422" s="562"/>
      <c r="U422" s="562"/>
      <c r="V422" s="562"/>
      <c r="W422" s="562"/>
      <c r="X422" s="562"/>
      <c r="Y422" s="562"/>
      <c r="Z422" s="562"/>
    </row>
    <row r="423" ht="12.0" customHeight="1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9"/>
      <c r="P423" s="570"/>
      <c r="Q423" s="562"/>
      <c r="R423" s="562"/>
      <c r="S423" s="562"/>
      <c r="T423" s="562"/>
      <c r="U423" s="562"/>
      <c r="V423" s="562"/>
      <c r="W423" s="562"/>
      <c r="X423" s="562"/>
      <c r="Y423" s="562"/>
      <c r="Z423" s="562"/>
    </row>
    <row r="424" ht="12.0" customHeight="1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9"/>
      <c r="P424" s="570"/>
      <c r="Q424" s="562"/>
      <c r="R424" s="562"/>
      <c r="S424" s="562"/>
      <c r="T424" s="562"/>
      <c r="U424" s="562"/>
      <c r="V424" s="562"/>
      <c r="W424" s="562"/>
      <c r="X424" s="562"/>
      <c r="Y424" s="562"/>
      <c r="Z424" s="562"/>
    </row>
    <row r="425" ht="12.0" customHeight="1">
      <c r="A425" s="562"/>
      <c r="B425" s="562"/>
      <c r="C425" s="562"/>
      <c r="D425" s="562"/>
      <c r="E425" s="562"/>
      <c r="F425" s="562"/>
      <c r="G425" s="562"/>
      <c r="H425" s="562"/>
      <c r="I425" s="562"/>
      <c r="J425" s="562"/>
      <c r="K425" s="562"/>
      <c r="L425" s="562"/>
      <c r="M425" s="562"/>
      <c r="N425" s="562"/>
      <c r="O425" s="569"/>
      <c r="P425" s="570"/>
      <c r="Q425" s="562"/>
      <c r="R425" s="562"/>
      <c r="S425" s="562"/>
      <c r="T425" s="562"/>
      <c r="U425" s="562"/>
      <c r="V425" s="562"/>
      <c r="W425" s="562"/>
      <c r="X425" s="562"/>
      <c r="Y425" s="562"/>
      <c r="Z425" s="562"/>
    </row>
    <row r="426" ht="12.0" customHeight="1">
      <c r="A426" s="562"/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9"/>
      <c r="P426" s="570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</row>
    <row r="427" ht="12.0" customHeight="1">
      <c r="A427" s="562"/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9"/>
      <c r="P427" s="570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</row>
    <row r="428" ht="12.0" customHeight="1">
      <c r="A428" s="562"/>
      <c r="B428" s="562"/>
      <c r="C428" s="562"/>
      <c r="D428" s="562"/>
      <c r="E428" s="562"/>
      <c r="F428" s="562"/>
      <c r="G428" s="562"/>
      <c r="H428" s="562"/>
      <c r="I428" s="562"/>
      <c r="J428" s="562"/>
      <c r="K428" s="562"/>
      <c r="L428" s="562"/>
      <c r="M428" s="562"/>
      <c r="N428" s="562"/>
      <c r="O428" s="569"/>
      <c r="P428" s="570"/>
      <c r="Q428" s="562"/>
      <c r="R428" s="562"/>
      <c r="S428" s="562"/>
      <c r="T428" s="562"/>
      <c r="U428" s="562"/>
      <c r="V428" s="562"/>
      <c r="W428" s="562"/>
      <c r="X428" s="562"/>
      <c r="Y428" s="562"/>
      <c r="Z428" s="562"/>
    </row>
    <row r="429" ht="12.0" customHeight="1">
      <c r="A429" s="562"/>
      <c r="B429" s="562"/>
      <c r="C429" s="562"/>
      <c r="D429" s="562"/>
      <c r="E429" s="562"/>
      <c r="F429" s="562"/>
      <c r="G429" s="562"/>
      <c r="H429" s="562"/>
      <c r="I429" s="562"/>
      <c r="J429" s="562"/>
      <c r="K429" s="562"/>
      <c r="L429" s="562"/>
      <c r="M429" s="562"/>
      <c r="N429" s="562"/>
      <c r="O429" s="569"/>
      <c r="P429" s="570"/>
      <c r="Q429" s="562"/>
      <c r="R429" s="562"/>
      <c r="S429" s="562"/>
      <c r="T429" s="562"/>
      <c r="U429" s="562"/>
      <c r="V429" s="562"/>
      <c r="W429" s="562"/>
      <c r="X429" s="562"/>
      <c r="Y429" s="562"/>
      <c r="Z429" s="562"/>
    </row>
    <row r="430" ht="12.0" customHeight="1">
      <c r="A430" s="562"/>
      <c r="B430" s="562"/>
      <c r="C430" s="562"/>
      <c r="D430" s="562"/>
      <c r="E430" s="562"/>
      <c r="F430" s="562"/>
      <c r="G430" s="562"/>
      <c r="H430" s="562"/>
      <c r="I430" s="562"/>
      <c r="J430" s="562"/>
      <c r="K430" s="562"/>
      <c r="L430" s="562"/>
      <c r="M430" s="562"/>
      <c r="N430" s="562"/>
      <c r="O430" s="569"/>
      <c r="P430" s="570"/>
      <c r="Q430" s="562"/>
      <c r="R430" s="562"/>
      <c r="S430" s="562"/>
      <c r="T430" s="562"/>
      <c r="U430" s="562"/>
      <c r="V430" s="562"/>
      <c r="W430" s="562"/>
      <c r="X430" s="562"/>
      <c r="Y430" s="562"/>
      <c r="Z430" s="562"/>
    </row>
    <row r="431" ht="12.0" customHeight="1">
      <c r="A431" s="562"/>
      <c r="B431" s="562"/>
      <c r="C431" s="562"/>
      <c r="D431" s="562"/>
      <c r="E431" s="562"/>
      <c r="F431" s="562"/>
      <c r="G431" s="562"/>
      <c r="H431" s="562"/>
      <c r="I431" s="562"/>
      <c r="J431" s="562"/>
      <c r="K431" s="562"/>
      <c r="L431" s="562"/>
      <c r="M431" s="562"/>
      <c r="N431" s="562"/>
      <c r="O431" s="569"/>
      <c r="P431" s="570"/>
      <c r="Q431" s="562"/>
      <c r="R431" s="562"/>
      <c r="S431" s="562"/>
      <c r="T431" s="562"/>
      <c r="U431" s="562"/>
      <c r="V431" s="562"/>
      <c r="W431" s="562"/>
      <c r="X431" s="562"/>
      <c r="Y431" s="562"/>
      <c r="Z431" s="562"/>
    </row>
    <row r="432" ht="12.0" customHeight="1">
      <c r="A432" s="562"/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9"/>
      <c r="P432" s="570"/>
      <c r="Q432" s="562"/>
      <c r="R432" s="562"/>
      <c r="S432" s="562"/>
      <c r="T432" s="562"/>
      <c r="U432" s="562"/>
      <c r="V432" s="562"/>
      <c r="W432" s="562"/>
      <c r="X432" s="562"/>
      <c r="Y432" s="562"/>
      <c r="Z432" s="562"/>
    </row>
    <row r="433" ht="12.0" customHeight="1">
      <c r="A433" s="562"/>
      <c r="B433" s="562"/>
      <c r="C433" s="562"/>
      <c r="D433" s="562"/>
      <c r="E433" s="562"/>
      <c r="F433" s="562"/>
      <c r="G433" s="562"/>
      <c r="H433" s="562"/>
      <c r="I433" s="562"/>
      <c r="J433" s="562"/>
      <c r="K433" s="562"/>
      <c r="L433" s="562"/>
      <c r="M433" s="562"/>
      <c r="N433" s="562"/>
      <c r="O433" s="569"/>
      <c r="P433" s="570"/>
      <c r="Q433" s="562"/>
      <c r="R433" s="562"/>
      <c r="S433" s="562"/>
      <c r="T433" s="562"/>
      <c r="U433" s="562"/>
      <c r="V433" s="562"/>
      <c r="W433" s="562"/>
      <c r="X433" s="562"/>
      <c r="Y433" s="562"/>
      <c r="Z433" s="562"/>
    </row>
    <row r="434" ht="12.0" customHeight="1">
      <c r="A434" s="562"/>
      <c r="B434" s="562"/>
      <c r="C434" s="562"/>
      <c r="D434" s="562"/>
      <c r="E434" s="562"/>
      <c r="F434" s="562"/>
      <c r="G434" s="562"/>
      <c r="H434" s="562"/>
      <c r="I434" s="562"/>
      <c r="J434" s="562"/>
      <c r="K434" s="562"/>
      <c r="L434" s="562"/>
      <c r="M434" s="562"/>
      <c r="N434" s="562"/>
      <c r="O434" s="569"/>
      <c r="P434" s="570"/>
      <c r="Q434" s="562"/>
      <c r="R434" s="562"/>
      <c r="S434" s="562"/>
      <c r="T434" s="562"/>
      <c r="U434" s="562"/>
      <c r="V434" s="562"/>
      <c r="W434" s="562"/>
      <c r="X434" s="562"/>
      <c r="Y434" s="562"/>
      <c r="Z434" s="562"/>
    </row>
    <row r="435" ht="12.0" customHeight="1">
      <c r="A435" s="562"/>
      <c r="B435" s="562"/>
      <c r="C435" s="562"/>
      <c r="D435" s="562"/>
      <c r="E435" s="562"/>
      <c r="F435" s="562"/>
      <c r="G435" s="562"/>
      <c r="H435" s="562"/>
      <c r="I435" s="562"/>
      <c r="J435" s="562"/>
      <c r="K435" s="562"/>
      <c r="L435" s="562"/>
      <c r="M435" s="562"/>
      <c r="N435" s="562"/>
      <c r="O435" s="569"/>
      <c r="P435" s="570"/>
      <c r="Q435" s="562"/>
      <c r="R435" s="562"/>
      <c r="S435" s="562"/>
      <c r="T435" s="562"/>
      <c r="U435" s="562"/>
      <c r="V435" s="562"/>
      <c r="W435" s="562"/>
      <c r="X435" s="562"/>
      <c r="Y435" s="562"/>
      <c r="Z435" s="562"/>
    </row>
    <row r="436" ht="12.0" customHeight="1">
      <c r="A436" s="562"/>
      <c r="B436" s="562"/>
      <c r="C436" s="562"/>
      <c r="D436" s="562"/>
      <c r="E436" s="562"/>
      <c r="F436" s="562"/>
      <c r="G436" s="562"/>
      <c r="H436" s="562"/>
      <c r="I436" s="562"/>
      <c r="J436" s="562"/>
      <c r="K436" s="562"/>
      <c r="L436" s="562"/>
      <c r="M436" s="562"/>
      <c r="N436" s="562"/>
      <c r="O436" s="569"/>
      <c r="P436" s="570"/>
      <c r="Q436" s="562"/>
      <c r="R436" s="562"/>
      <c r="S436" s="562"/>
      <c r="T436" s="562"/>
      <c r="U436" s="562"/>
      <c r="V436" s="562"/>
      <c r="W436" s="562"/>
      <c r="X436" s="562"/>
      <c r="Y436" s="562"/>
      <c r="Z436" s="562"/>
    </row>
    <row r="437" ht="12.0" customHeight="1">
      <c r="A437" s="562"/>
      <c r="B437" s="562"/>
      <c r="C437" s="562"/>
      <c r="D437" s="562"/>
      <c r="E437" s="562"/>
      <c r="F437" s="562"/>
      <c r="G437" s="562"/>
      <c r="H437" s="562"/>
      <c r="I437" s="562"/>
      <c r="J437" s="562"/>
      <c r="K437" s="562"/>
      <c r="L437" s="562"/>
      <c r="M437" s="562"/>
      <c r="N437" s="562"/>
      <c r="O437" s="569"/>
      <c r="P437" s="570"/>
      <c r="Q437" s="562"/>
      <c r="R437" s="562"/>
      <c r="S437" s="562"/>
      <c r="T437" s="562"/>
      <c r="U437" s="562"/>
      <c r="V437" s="562"/>
      <c r="W437" s="562"/>
      <c r="X437" s="562"/>
      <c r="Y437" s="562"/>
      <c r="Z437" s="562"/>
    </row>
    <row r="438" ht="12.0" customHeight="1">
      <c r="A438" s="562"/>
      <c r="B438" s="562"/>
      <c r="C438" s="562"/>
      <c r="D438" s="562"/>
      <c r="E438" s="562"/>
      <c r="F438" s="562"/>
      <c r="G438" s="562"/>
      <c r="H438" s="562"/>
      <c r="I438" s="562"/>
      <c r="J438" s="562"/>
      <c r="K438" s="562"/>
      <c r="L438" s="562"/>
      <c r="M438" s="562"/>
      <c r="N438" s="562"/>
      <c r="O438" s="569"/>
      <c r="P438" s="570"/>
      <c r="Q438" s="562"/>
      <c r="R438" s="562"/>
      <c r="S438" s="562"/>
      <c r="T438" s="562"/>
      <c r="U438" s="562"/>
      <c r="V438" s="562"/>
      <c r="W438" s="562"/>
      <c r="X438" s="562"/>
      <c r="Y438" s="562"/>
      <c r="Z438" s="562"/>
    </row>
    <row r="439" ht="12.0" customHeight="1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9"/>
      <c r="P439" s="570"/>
      <c r="Q439" s="562"/>
      <c r="R439" s="562"/>
      <c r="S439" s="562"/>
      <c r="T439" s="562"/>
      <c r="U439" s="562"/>
      <c r="V439" s="562"/>
      <c r="W439" s="562"/>
      <c r="X439" s="562"/>
      <c r="Y439" s="562"/>
      <c r="Z439" s="562"/>
    </row>
    <row r="440" ht="12.0" customHeight="1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9"/>
      <c r="P440" s="570"/>
      <c r="Q440" s="562"/>
      <c r="R440" s="562"/>
      <c r="S440" s="562"/>
      <c r="T440" s="562"/>
      <c r="U440" s="562"/>
      <c r="V440" s="562"/>
      <c r="W440" s="562"/>
      <c r="X440" s="562"/>
      <c r="Y440" s="562"/>
      <c r="Z440" s="562"/>
    </row>
    <row r="441" ht="12.0" customHeight="1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9"/>
      <c r="P441" s="570"/>
      <c r="Q441" s="562"/>
      <c r="R441" s="562"/>
      <c r="S441" s="562"/>
      <c r="T441" s="562"/>
      <c r="U441" s="562"/>
      <c r="V441" s="562"/>
      <c r="W441" s="562"/>
      <c r="X441" s="562"/>
      <c r="Y441" s="562"/>
      <c r="Z441" s="562"/>
    </row>
    <row r="442" ht="12.0" customHeight="1">
      <c r="A442" s="562"/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9"/>
      <c r="P442" s="570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</row>
    <row r="443" ht="12.0" customHeight="1">
      <c r="A443" s="562"/>
      <c r="B443" s="562"/>
      <c r="C443" s="562"/>
      <c r="D443" s="562"/>
      <c r="E443" s="562"/>
      <c r="F443" s="562"/>
      <c r="G443" s="562"/>
      <c r="H443" s="562"/>
      <c r="I443" s="562"/>
      <c r="J443" s="562"/>
      <c r="K443" s="562"/>
      <c r="L443" s="562"/>
      <c r="M443" s="562"/>
      <c r="N443" s="562"/>
      <c r="O443" s="569"/>
      <c r="P443" s="570"/>
      <c r="Q443" s="562"/>
      <c r="R443" s="562"/>
      <c r="S443" s="562"/>
      <c r="T443" s="562"/>
      <c r="U443" s="562"/>
      <c r="V443" s="562"/>
      <c r="W443" s="562"/>
      <c r="X443" s="562"/>
      <c r="Y443" s="562"/>
      <c r="Z443" s="562"/>
    </row>
    <row r="444" ht="12.0" customHeight="1">
      <c r="A444" s="562"/>
      <c r="B444" s="562"/>
      <c r="C444" s="562"/>
      <c r="D444" s="562"/>
      <c r="E444" s="562"/>
      <c r="F444" s="562"/>
      <c r="G444" s="562"/>
      <c r="H444" s="562"/>
      <c r="I444" s="562"/>
      <c r="J444" s="562"/>
      <c r="K444" s="562"/>
      <c r="L444" s="562"/>
      <c r="M444" s="562"/>
      <c r="N444" s="562"/>
      <c r="O444" s="569"/>
      <c r="P444" s="570"/>
      <c r="Q444" s="562"/>
      <c r="R444" s="562"/>
      <c r="S444" s="562"/>
      <c r="T444" s="562"/>
      <c r="U444" s="562"/>
      <c r="V444" s="562"/>
      <c r="W444" s="562"/>
      <c r="X444" s="562"/>
      <c r="Y444" s="562"/>
      <c r="Z444" s="562"/>
    </row>
    <row r="445" ht="12.0" customHeight="1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9"/>
      <c r="P445" s="570"/>
      <c r="Q445" s="562"/>
      <c r="R445" s="562"/>
      <c r="S445" s="562"/>
      <c r="T445" s="562"/>
      <c r="U445" s="562"/>
      <c r="V445" s="562"/>
      <c r="W445" s="562"/>
      <c r="X445" s="562"/>
      <c r="Y445" s="562"/>
      <c r="Z445" s="562"/>
    </row>
    <row r="446" ht="12.0" customHeight="1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9"/>
      <c r="P446" s="570"/>
      <c r="Q446" s="562"/>
      <c r="R446" s="562"/>
      <c r="S446" s="562"/>
      <c r="T446" s="562"/>
      <c r="U446" s="562"/>
      <c r="V446" s="562"/>
      <c r="W446" s="562"/>
      <c r="X446" s="562"/>
      <c r="Y446" s="562"/>
      <c r="Z446" s="562"/>
    </row>
    <row r="447" ht="12.0" customHeight="1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9"/>
      <c r="P447" s="570"/>
      <c r="Q447" s="562"/>
      <c r="R447" s="562"/>
      <c r="S447" s="562"/>
      <c r="T447" s="562"/>
      <c r="U447" s="562"/>
      <c r="V447" s="562"/>
      <c r="W447" s="562"/>
      <c r="X447" s="562"/>
      <c r="Y447" s="562"/>
      <c r="Z447" s="562"/>
    </row>
    <row r="448" ht="12.0" customHeight="1">
      <c r="A448" s="562"/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9"/>
      <c r="P448" s="570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</row>
    <row r="449" ht="12.0" customHeight="1">
      <c r="A449" s="562"/>
      <c r="B449" s="562"/>
      <c r="C449" s="562"/>
      <c r="D449" s="562"/>
      <c r="E449" s="562"/>
      <c r="F449" s="562"/>
      <c r="G449" s="562"/>
      <c r="H449" s="562"/>
      <c r="I449" s="562"/>
      <c r="J449" s="562"/>
      <c r="K449" s="562"/>
      <c r="L449" s="562"/>
      <c r="M449" s="562"/>
      <c r="N449" s="562"/>
      <c r="O449" s="569"/>
      <c r="P449" s="570"/>
      <c r="Q449" s="562"/>
      <c r="R449" s="562"/>
      <c r="S449" s="562"/>
      <c r="T449" s="562"/>
      <c r="U449" s="562"/>
      <c r="V449" s="562"/>
      <c r="W449" s="562"/>
      <c r="X449" s="562"/>
      <c r="Y449" s="562"/>
      <c r="Z449" s="562"/>
    </row>
    <row r="450" ht="12.0" customHeight="1">
      <c r="A450" s="562"/>
      <c r="B450" s="562"/>
      <c r="C450" s="562"/>
      <c r="D450" s="562"/>
      <c r="E450" s="562"/>
      <c r="F450" s="562"/>
      <c r="G450" s="562"/>
      <c r="H450" s="562"/>
      <c r="I450" s="562"/>
      <c r="J450" s="562"/>
      <c r="K450" s="562"/>
      <c r="L450" s="562"/>
      <c r="M450" s="562"/>
      <c r="N450" s="562"/>
      <c r="O450" s="569"/>
      <c r="P450" s="570"/>
      <c r="Q450" s="562"/>
      <c r="R450" s="562"/>
      <c r="S450" s="562"/>
      <c r="T450" s="562"/>
      <c r="U450" s="562"/>
      <c r="V450" s="562"/>
      <c r="W450" s="562"/>
      <c r="X450" s="562"/>
      <c r="Y450" s="562"/>
      <c r="Z450" s="562"/>
    </row>
    <row r="451" ht="12.0" customHeight="1">
      <c r="A451" s="562"/>
      <c r="B451" s="562"/>
      <c r="C451" s="562"/>
      <c r="D451" s="562"/>
      <c r="E451" s="562"/>
      <c r="F451" s="562"/>
      <c r="G451" s="562"/>
      <c r="H451" s="562"/>
      <c r="I451" s="562"/>
      <c r="J451" s="562"/>
      <c r="K451" s="562"/>
      <c r="L451" s="562"/>
      <c r="M451" s="562"/>
      <c r="N451" s="562"/>
      <c r="O451" s="569"/>
      <c r="P451" s="570"/>
      <c r="Q451" s="562"/>
      <c r="R451" s="562"/>
      <c r="S451" s="562"/>
      <c r="T451" s="562"/>
      <c r="U451" s="562"/>
      <c r="V451" s="562"/>
      <c r="W451" s="562"/>
      <c r="X451" s="562"/>
      <c r="Y451" s="562"/>
      <c r="Z451" s="562"/>
    </row>
    <row r="452" ht="12.0" customHeight="1">
      <c r="A452" s="562"/>
      <c r="B452" s="562"/>
      <c r="C452" s="562"/>
      <c r="D452" s="562"/>
      <c r="E452" s="562"/>
      <c r="F452" s="562"/>
      <c r="G452" s="562"/>
      <c r="H452" s="562"/>
      <c r="I452" s="562"/>
      <c r="J452" s="562"/>
      <c r="K452" s="562"/>
      <c r="L452" s="562"/>
      <c r="M452" s="562"/>
      <c r="N452" s="562"/>
      <c r="O452" s="569"/>
      <c r="P452" s="570"/>
      <c r="Q452" s="562"/>
      <c r="R452" s="562"/>
      <c r="S452" s="562"/>
      <c r="T452" s="562"/>
      <c r="U452" s="562"/>
      <c r="V452" s="562"/>
      <c r="W452" s="562"/>
      <c r="X452" s="562"/>
      <c r="Y452" s="562"/>
      <c r="Z452" s="562"/>
    </row>
    <row r="453" ht="12.0" customHeight="1">
      <c r="A453" s="562"/>
      <c r="B453" s="562"/>
      <c r="C453" s="562"/>
      <c r="D453" s="562"/>
      <c r="E453" s="562"/>
      <c r="F453" s="562"/>
      <c r="G453" s="562"/>
      <c r="H453" s="562"/>
      <c r="I453" s="562"/>
      <c r="J453" s="562"/>
      <c r="K453" s="562"/>
      <c r="L453" s="562"/>
      <c r="M453" s="562"/>
      <c r="N453" s="562"/>
      <c r="O453" s="569"/>
      <c r="P453" s="570"/>
      <c r="Q453" s="562"/>
      <c r="R453" s="562"/>
      <c r="S453" s="562"/>
      <c r="T453" s="562"/>
      <c r="U453" s="562"/>
      <c r="V453" s="562"/>
      <c r="W453" s="562"/>
      <c r="X453" s="562"/>
      <c r="Y453" s="562"/>
      <c r="Z453" s="562"/>
    </row>
    <row r="454" ht="12.0" customHeight="1">
      <c r="A454" s="562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69"/>
      <c r="P454" s="570"/>
      <c r="Q454" s="562"/>
      <c r="R454" s="562"/>
      <c r="S454" s="562"/>
      <c r="T454" s="562"/>
      <c r="U454" s="562"/>
      <c r="V454" s="562"/>
      <c r="W454" s="562"/>
      <c r="X454" s="562"/>
      <c r="Y454" s="562"/>
      <c r="Z454" s="562"/>
    </row>
    <row r="455" ht="12.0" customHeight="1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9"/>
      <c r="P455" s="570"/>
      <c r="Q455" s="562"/>
      <c r="R455" s="562"/>
      <c r="S455" s="562"/>
      <c r="T455" s="562"/>
      <c r="U455" s="562"/>
      <c r="V455" s="562"/>
      <c r="W455" s="562"/>
      <c r="X455" s="562"/>
      <c r="Y455" s="562"/>
      <c r="Z455" s="562"/>
    </row>
    <row r="456" ht="12.0" customHeight="1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9"/>
      <c r="P456" s="570"/>
      <c r="Q456" s="562"/>
      <c r="R456" s="562"/>
      <c r="S456" s="562"/>
      <c r="T456" s="562"/>
      <c r="U456" s="562"/>
      <c r="V456" s="562"/>
      <c r="W456" s="562"/>
      <c r="X456" s="562"/>
      <c r="Y456" s="562"/>
      <c r="Z456" s="562"/>
    </row>
    <row r="457" ht="12.0" customHeight="1">
      <c r="A457" s="562"/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9"/>
      <c r="P457" s="570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</row>
    <row r="458" ht="12.0" customHeight="1">
      <c r="A458" s="562"/>
      <c r="B458" s="562"/>
      <c r="C458" s="562"/>
      <c r="D458" s="562"/>
      <c r="E458" s="562"/>
      <c r="F458" s="562"/>
      <c r="G458" s="562"/>
      <c r="H458" s="562"/>
      <c r="I458" s="562"/>
      <c r="J458" s="562"/>
      <c r="K458" s="562"/>
      <c r="L458" s="562"/>
      <c r="M458" s="562"/>
      <c r="N458" s="562"/>
      <c r="O458" s="569"/>
      <c r="P458" s="570"/>
      <c r="Q458" s="562"/>
      <c r="R458" s="562"/>
      <c r="S458" s="562"/>
      <c r="T458" s="562"/>
      <c r="U458" s="562"/>
      <c r="V458" s="562"/>
      <c r="W458" s="562"/>
      <c r="X458" s="562"/>
      <c r="Y458" s="562"/>
      <c r="Z458" s="562"/>
    </row>
    <row r="459" ht="12.0" customHeight="1">
      <c r="A459" s="562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9"/>
      <c r="P459" s="570"/>
      <c r="Q459" s="562"/>
      <c r="R459" s="562"/>
      <c r="S459" s="562"/>
      <c r="T459" s="562"/>
      <c r="U459" s="562"/>
      <c r="V459" s="562"/>
      <c r="W459" s="562"/>
      <c r="X459" s="562"/>
      <c r="Y459" s="562"/>
      <c r="Z459" s="562"/>
    </row>
    <row r="460" ht="12.0" customHeight="1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9"/>
      <c r="P460" s="570"/>
      <c r="Q460" s="562"/>
      <c r="R460" s="562"/>
      <c r="S460" s="562"/>
      <c r="T460" s="562"/>
      <c r="U460" s="562"/>
      <c r="V460" s="562"/>
      <c r="W460" s="562"/>
      <c r="X460" s="562"/>
      <c r="Y460" s="562"/>
      <c r="Z460" s="562"/>
    </row>
    <row r="461" ht="12.0" customHeight="1">
      <c r="A461" s="562"/>
      <c r="B461" s="562"/>
      <c r="C461" s="562"/>
      <c r="D461" s="562"/>
      <c r="E461" s="562"/>
      <c r="F461" s="562"/>
      <c r="G461" s="562"/>
      <c r="H461" s="562"/>
      <c r="I461" s="562"/>
      <c r="J461" s="562"/>
      <c r="K461" s="562"/>
      <c r="L461" s="562"/>
      <c r="M461" s="562"/>
      <c r="N461" s="562"/>
      <c r="O461" s="569"/>
      <c r="P461" s="570"/>
      <c r="Q461" s="562"/>
      <c r="R461" s="562"/>
      <c r="S461" s="562"/>
      <c r="T461" s="562"/>
      <c r="U461" s="562"/>
      <c r="V461" s="562"/>
      <c r="W461" s="562"/>
      <c r="X461" s="562"/>
      <c r="Y461" s="562"/>
      <c r="Z461" s="562"/>
    </row>
    <row r="462" ht="12.0" customHeight="1">
      <c r="A462" s="562"/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9"/>
      <c r="P462" s="570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</row>
    <row r="463" ht="12.0" customHeight="1">
      <c r="A463" s="562"/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9"/>
      <c r="P463" s="570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</row>
    <row r="464" ht="12.0" customHeight="1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9"/>
      <c r="P464" s="570"/>
      <c r="Q464" s="562"/>
      <c r="R464" s="562"/>
      <c r="S464" s="562"/>
      <c r="T464" s="562"/>
      <c r="U464" s="562"/>
      <c r="V464" s="562"/>
      <c r="W464" s="562"/>
      <c r="X464" s="562"/>
      <c r="Y464" s="562"/>
      <c r="Z464" s="562"/>
    </row>
    <row r="465" ht="12.0" customHeight="1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9"/>
      <c r="P465" s="570"/>
      <c r="Q465" s="562"/>
      <c r="R465" s="562"/>
      <c r="S465" s="562"/>
      <c r="T465" s="562"/>
      <c r="U465" s="562"/>
      <c r="V465" s="562"/>
      <c r="W465" s="562"/>
      <c r="X465" s="562"/>
      <c r="Y465" s="562"/>
      <c r="Z465" s="562"/>
    </row>
    <row r="466" ht="12.0" customHeight="1">
      <c r="A466" s="562"/>
      <c r="B466" s="562"/>
      <c r="C466" s="562"/>
      <c r="D466" s="562"/>
      <c r="E466" s="562"/>
      <c r="F466" s="562"/>
      <c r="G466" s="562"/>
      <c r="H466" s="562"/>
      <c r="I466" s="562"/>
      <c r="J466" s="562"/>
      <c r="K466" s="562"/>
      <c r="L466" s="562"/>
      <c r="M466" s="562"/>
      <c r="N466" s="562"/>
      <c r="O466" s="569"/>
      <c r="P466" s="570"/>
      <c r="Q466" s="562"/>
      <c r="R466" s="562"/>
      <c r="S466" s="562"/>
      <c r="T466" s="562"/>
      <c r="U466" s="562"/>
      <c r="V466" s="562"/>
      <c r="W466" s="562"/>
      <c r="X466" s="562"/>
      <c r="Y466" s="562"/>
      <c r="Z466" s="562"/>
    </row>
    <row r="467" ht="12.0" customHeight="1">
      <c r="A467" s="562"/>
      <c r="B467" s="562"/>
      <c r="C467" s="562"/>
      <c r="D467" s="562"/>
      <c r="E467" s="562"/>
      <c r="F467" s="562"/>
      <c r="G467" s="562"/>
      <c r="H467" s="562"/>
      <c r="I467" s="562"/>
      <c r="J467" s="562"/>
      <c r="K467" s="562"/>
      <c r="L467" s="562"/>
      <c r="M467" s="562"/>
      <c r="N467" s="562"/>
      <c r="O467" s="569"/>
      <c r="P467" s="570"/>
      <c r="Q467" s="562"/>
      <c r="R467" s="562"/>
      <c r="S467" s="562"/>
      <c r="T467" s="562"/>
      <c r="U467" s="562"/>
      <c r="V467" s="562"/>
      <c r="W467" s="562"/>
      <c r="X467" s="562"/>
      <c r="Y467" s="562"/>
      <c r="Z467" s="562"/>
    </row>
    <row r="468" ht="12.0" customHeight="1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9"/>
      <c r="P468" s="570"/>
      <c r="Q468" s="562"/>
      <c r="R468" s="562"/>
      <c r="S468" s="562"/>
      <c r="T468" s="562"/>
      <c r="U468" s="562"/>
      <c r="V468" s="562"/>
      <c r="W468" s="562"/>
      <c r="X468" s="562"/>
      <c r="Y468" s="562"/>
      <c r="Z468" s="562"/>
    </row>
    <row r="469" ht="12.0" customHeight="1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9"/>
      <c r="P469" s="570"/>
      <c r="Q469" s="562"/>
      <c r="R469" s="562"/>
      <c r="S469" s="562"/>
      <c r="T469" s="562"/>
      <c r="U469" s="562"/>
      <c r="V469" s="562"/>
      <c r="W469" s="562"/>
      <c r="X469" s="562"/>
      <c r="Y469" s="562"/>
      <c r="Z469" s="562"/>
    </row>
    <row r="470" ht="12.0" customHeight="1">
      <c r="A470" s="562"/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9"/>
      <c r="P470" s="570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</row>
    <row r="471" ht="12.0" customHeight="1">
      <c r="A471" s="562"/>
      <c r="B471" s="562"/>
      <c r="C471" s="562"/>
      <c r="D471" s="562"/>
      <c r="E471" s="562"/>
      <c r="F471" s="562"/>
      <c r="G471" s="562"/>
      <c r="H471" s="562"/>
      <c r="I471" s="562"/>
      <c r="J471" s="562"/>
      <c r="K471" s="562"/>
      <c r="L471" s="562"/>
      <c r="M471" s="562"/>
      <c r="N471" s="562"/>
      <c r="O471" s="569"/>
      <c r="P471" s="570"/>
      <c r="Q471" s="562"/>
      <c r="R471" s="562"/>
      <c r="S471" s="562"/>
      <c r="T471" s="562"/>
      <c r="U471" s="562"/>
      <c r="V471" s="562"/>
      <c r="W471" s="562"/>
      <c r="X471" s="562"/>
      <c r="Y471" s="562"/>
      <c r="Z471" s="562"/>
    </row>
    <row r="472" ht="12.0" customHeight="1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9"/>
      <c r="P472" s="570"/>
      <c r="Q472" s="562"/>
      <c r="R472" s="562"/>
      <c r="S472" s="562"/>
      <c r="T472" s="562"/>
      <c r="U472" s="562"/>
      <c r="V472" s="562"/>
      <c r="W472" s="562"/>
      <c r="X472" s="562"/>
      <c r="Y472" s="562"/>
      <c r="Z472" s="562"/>
    </row>
    <row r="473" ht="12.0" customHeight="1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9"/>
      <c r="P473" s="570"/>
      <c r="Q473" s="562"/>
      <c r="R473" s="562"/>
      <c r="S473" s="562"/>
      <c r="T473" s="562"/>
      <c r="U473" s="562"/>
      <c r="V473" s="562"/>
      <c r="W473" s="562"/>
      <c r="X473" s="562"/>
      <c r="Y473" s="562"/>
      <c r="Z473" s="562"/>
    </row>
    <row r="474" ht="12.0" customHeight="1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9"/>
      <c r="P474" s="570"/>
      <c r="Q474" s="562"/>
      <c r="R474" s="562"/>
      <c r="S474" s="562"/>
      <c r="T474" s="562"/>
      <c r="U474" s="562"/>
      <c r="V474" s="562"/>
      <c r="W474" s="562"/>
      <c r="X474" s="562"/>
      <c r="Y474" s="562"/>
      <c r="Z474" s="562"/>
    </row>
    <row r="475" ht="12.0" customHeight="1">
      <c r="A475" s="562"/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9"/>
      <c r="P475" s="570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</row>
    <row r="476" ht="12.0" customHeight="1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9"/>
      <c r="P476" s="570"/>
      <c r="Q476" s="562"/>
      <c r="R476" s="562"/>
      <c r="S476" s="562"/>
      <c r="T476" s="562"/>
      <c r="U476" s="562"/>
      <c r="V476" s="562"/>
      <c r="W476" s="562"/>
      <c r="X476" s="562"/>
      <c r="Y476" s="562"/>
      <c r="Z476" s="562"/>
    </row>
    <row r="477" ht="12.0" customHeight="1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9"/>
      <c r="P477" s="570"/>
      <c r="Q477" s="562"/>
      <c r="R477" s="562"/>
      <c r="S477" s="562"/>
      <c r="T477" s="562"/>
      <c r="U477" s="562"/>
      <c r="V477" s="562"/>
      <c r="W477" s="562"/>
      <c r="X477" s="562"/>
      <c r="Y477" s="562"/>
      <c r="Z477" s="562"/>
    </row>
    <row r="478" ht="12.0" customHeight="1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9"/>
      <c r="P478" s="570"/>
      <c r="Q478" s="562"/>
      <c r="R478" s="562"/>
      <c r="S478" s="562"/>
      <c r="T478" s="562"/>
      <c r="U478" s="562"/>
      <c r="V478" s="562"/>
      <c r="W478" s="562"/>
      <c r="X478" s="562"/>
      <c r="Y478" s="562"/>
      <c r="Z478" s="562"/>
    </row>
    <row r="479" ht="12.0" customHeight="1">
      <c r="A479" s="562"/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9"/>
      <c r="P479" s="570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</row>
    <row r="480" ht="12.0" customHeight="1">
      <c r="A480" s="562"/>
      <c r="B480" s="562"/>
      <c r="C480" s="562"/>
      <c r="D480" s="562"/>
      <c r="E480" s="562"/>
      <c r="F480" s="562"/>
      <c r="G480" s="562"/>
      <c r="H480" s="562"/>
      <c r="I480" s="562"/>
      <c r="J480" s="562"/>
      <c r="K480" s="562"/>
      <c r="L480" s="562"/>
      <c r="M480" s="562"/>
      <c r="N480" s="562"/>
      <c r="O480" s="569"/>
      <c r="P480" s="570"/>
      <c r="Q480" s="562"/>
      <c r="R480" s="562"/>
      <c r="S480" s="562"/>
      <c r="T480" s="562"/>
      <c r="U480" s="562"/>
      <c r="V480" s="562"/>
      <c r="W480" s="562"/>
      <c r="X480" s="562"/>
      <c r="Y480" s="562"/>
      <c r="Z480" s="562"/>
    </row>
    <row r="481" ht="12.0" customHeight="1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9"/>
      <c r="P481" s="570"/>
      <c r="Q481" s="562"/>
      <c r="R481" s="562"/>
      <c r="S481" s="562"/>
      <c r="T481" s="562"/>
      <c r="U481" s="562"/>
      <c r="V481" s="562"/>
      <c r="W481" s="562"/>
      <c r="X481" s="562"/>
      <c r="Y481" s="562"/>
      <c r="Z481" s="562"/>
    </row>
    <row r="482" ht="12.0" customHeight="1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9"/>
      <c r="P482" s="570"/>
      <c r="Q482" s="562"/>
      <c r="R482" s="562"/>
      <c r="S482" s="562"/>
      <c r="T482" s="562"/>
      <c r="U482" s="562"/>
      <c r="V482" s="562"/>
      <c r="W482" s="562"/>
      <c r="X482" s="562"/>
      <c r="Y482" s="562"/>
      <c r="Z482" s="562"/>
    </row>
    <row r="483" ht="12.0" customHeight="1">
      <c r="A483" s="562"/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9"/>
      <c r="P483" s="570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</row>
    <row r="484" ht="12.0" customHeight="1">
      <c r="A484" s="562"/>
      <c r="B484" s="562"/>
      <c r="C484" s="562"/>
      <c r="D484" s="562"/>
      <c r="E484" s="562"/>
      <c r="F484" s="562"/>
      <c r="G484" s="562"/>
      <c r="H484" s="562"/>
      <c r="I484" s="562"/>
      <c r="J484" s="562"/>
      <c r="K484" s="562"/>
      <c r="L484" s="562"/>
      <c r="M484" s="562"/>
      <c r="N484" s="562"/>
      <c r="O484" s="569"/>
      <c r="P484" s="570"/>
      <c r="Q484" s="562"/>
      <c r="R484" s="562"/>
      <c r="S484" s="562"/>
      <c r="T484" s="562"/>
      <c r="U484" s="562"/>
      <c r="V484" s="562"/>
      <c r="W484" s="562"/>
      <c r="X484" s="562"/>
      <c r="Y484" s="562"/>
      <c r="Z484" s="562"/>
    </row>
    <row r="485" ht="12.0" customHeight="1">
      <c r="A485" s="562"/>
      <c r="B485" s="562"/>
      <c r="C485" s="562"/>
      <c r="D485" s="562"/>
      <c r="E485" s="562"/>
      <c r="F485" s="562"/>
      <c r="G485" s="562"/>
      <c r="H485" s="562"/>
      <c r="I485" s="562"/>
      <c r="J485" s="562"/>
      <c r="K485" s="562"/>
      <c r="L485" s="562"/>
      <c r="M485" s="562"/>
      <c r="N485" s="562"/>
      <c r="O485" s="569"/>
      <c r="P485" s="570"/>
      <c r="Q485" s="562"/>
      <c r="R485" s="562"/>
      <c r="S485" s="562"/>
      <c r="T485" s="562"/>
      <c r="U485" s="562"/>
      <c r="V485" s="562"/>
      <c r="W485" s="562"/>
      <c r="X485" s="562"/>
      <c r="Y485" s="562"/>
      <c r="Z485" s="562"/>
    </row>
    <row r="486" ht="12.0" customHeight="1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9"/>
      <c r="P486" s="570"/>
      <c r="Q486" s="562"/>
      <c r="R486" s="562"/>
      <c r="S486" s="562"/>
      <c r="T486" s="562"/>
      <c r="U486" s="562"/>
      <c r="V486" s="562"/>
      <c r="W486" s="562"/>
      <c r="X486" s="562"/>
      <c r="Y486" s="562"/>
      <c r="Z486" s="562"/>
    </row>
    <row r="487" ht="12.0" customHeight="1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9"/>
      <c r="P487" s="570"/>
      <c r="Q487" s="562"/>
      <c r="R487" s="562"/>
      <c r="S487" s="562"/>
      <c r="T487" s="562"/>
      <c r="U487" s="562"/>
      <c r="V487" s="562"/>
      <c r="W487" s="562"/>
      <c r="X487" s="562"/>
      <c r="Y487" s="562"/>
      <c r="Z487" s="562"/>
    </row>
    <row r="488" ht="12.0" customHeight="1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9"/>
      <c r="P488" s="570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</row>
    <row r="489" ht="12.0" customHeight="1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9"/>
      <c r="P489" s="570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</row>
    <row r="490" ht="12.0" customHeight="1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9"/>
      <c r="P490" s="570"/>
      <c r="Q490" s="562"/>
      <c r="R490" s="562"/>
      <c r="S490" s="562"/>
      <c r="T490" s="562"/>
      <c r="U490" s="562"/>
      <c r="V490" s="562"/>
      <c r="W490" s="562"/>
      <c r="X490" s="562"/>
      <c r="Y490" s="562"/>
      <c r="Z490" s="562"/>
    </row>
    <row r="491" ht="12.0" customHeight="1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9"/>
      <c r="P491" s="570"/>
      <c r="Q491" s="562"/>
      <c r="R491" s="562"/>
      <c r="S491" s="562"/>
      <c r="T491" s="562"/>
      <c r="U491" s="562"/>
      <c r="V491" s="562"/>
      <c r="W491" s="562"/>
      <c r="X491" s="562"/>
      <c r="Y491" s="562"/>
      <c r="Z491" s="562"/>
    </row>
    <row r="492" ht="12.0" customHeight="1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9"/>
      <c r="P492" s="570"/>
      <c r="Q492" s="562"/>
      <c r="R492" s="562"/>
      <c r="S492" s="562"/>
      <c r="T492" s="562"/>
      <c r="U492" s="562"/>
      <c r="V492" s="562"/>
      <c r="W492" s="562"/>
      <c r="X492" s="562"/>
      <c r="Y492" s="562"/>
      <c r="Z492" s="562"/>
    </row>
    <row r="493" ht="12.0" customHeight="1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9"/>
      <c r="P493" s="570"/>
      <c r="Q493" s="562"/>
      <c r="R493" s="562"/>
      <c r="S493" s="562"/>
      <c r="T493" s="562"/>
      <c r="U493" s="562"/>
      <c r="V493" s="562"/>
      <c r="W493" s="562"/>
      <c r="X493" s="562"/>
      <c r="Y493" s="562"/>
      <c r="Z493" s="562"/>
    </row>
    <row r="494" ht="12.0" customHeight="1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9"/>
      <c r="P494" s="570"/>
      <c r="Q494" s="562"/>
      <c r="R494" s="562"/>
      <c r="S494" s="562"/>
      <c r="T494" s="562"/>
      <c r="U494" s="562"/>
      <c r="V494" s="562"/>
      <c r="W494" s="562"/>
      <c r="X494" s="562"/>
      <c r="Y494" s="562"/>
      <c r="Z494" s="562"/>
    </row>
    <row r="495" ht="12.0" customHeight="1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569"/>
      <c r="P495" s="570"/>
      <c r="Q495" s="562"/>
      <c r="R495" s="562"/>
      <c r="S495" s="562"/>
      <c r="T495" s="562"/>
      <c r="U495" s="562"/>
      <c r="V495" s="562"/>
      <c r="W495" s="562"/>
      <c r="X495" s="562"/>
      <c r="Y495" s="562"/>
      <c r="Z495" s="562"/>
    </row>
    <row r="496" ht="12.0" customHeight="1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569"/>
      <c r="P496" s="570"/>
      <c r="Q496" s="562"/>
      <c r="R496" s="562"/>
      <c r="S496" s="562"/>
      <c r="T496" s="562"/>
      <c r="U496" s="562"/>
      <c r="V496" s="562"/>
      <c r="W496" s="562"/>
      <c r="X496" s="562"/>
      <c r="Y496" s="562"/>
      <c r="Z496" s="562"/>
    </row>
    <row r="497" ht="12.0" customHeight="1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569"/>
      <c r="P497" s="570"/>
      <c r="Q497" s="562"/>
      <c r="R497" s="562"/>
      <c r="S497" s="562"/>
      <c r="T497" s="562"/>
      <c r="U497" s="562"/>
      <c r="V497" s="562"/>
      <c r="W497" s="562"/>
      <c r="X497" s="562"/>
      <c r="Y497" s="562"/>
      <c r="Z497" s="562"/>
    </row>
    <row r="498" ht="12.0" customHeight="1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569"/>
      <c r="P498" s="570"/>
      <c r="Q498" s="562"/>
      <c r="R498" s="562"/>
      <c r="S498" s="562"/>
      <c r="T498" s="562"/>
      <c r="U498" s="562"/>
      <c r="V498" s="562"/>
      <c r="W498" s="562"/>
      <c r="X498" s="562"/>
      <c r="Y498" s="562"/>
      <c r="Z498" s="562"/>
    </row>
    <row r="499" ht="12.0" customHeight="1">
      <c r="A499" s="562"/>
      <c r="B499" s="562"/>
      <c r="C499" s="562"/>
      <c r="D499" s="562"/>
      <c r="E499" s="562"/>
      <c r="F499" s="562"/>
      <c r="G499" s="562"/>
      <c r="H499" s="562"/>
      <c r="I499" s="562"/>
      <c r="J499" s="562"/>
      <c r="K499" s="562"/>
      <c r="L499" s="562"/>
      <c r="M499" s="562"/>
      <c r="N499" s="562"/>
      <c r="O499" s="569"/>
      <c r="P499" s="570"/>
      <c r="Q499" s="562"/>
      <c r="R499" s="562"/>
      <c r="S499" s="562"/>
      <c r="T499" s="562"/>
      <c r="U499" s="562"/>
      <c r="V499" s="562"/>
      <c r="W499" s="562"/>
      <c r="X499" s="562"/>
      <c r="Y499" s="562"/>
      <c r="Z499" s="562"/>
    </row>
    <row r="500" ht="12.0" customHeight="1">
      <c r="A500" s="562"/>
      <c r="B500" s="562"/>
      <c r="C500" s="562"/>
      <c r="D500" s="562"/>
      <c r="E500" s="562"/>
      <c r="F500" s="562"/>
      <c r="G500" s="562"/>
      <c r="H500" s="562"/>
      <c r="I500" s="562"/>
      <c r="J500" s="562"/>
      <c r="K500" s="562"/>
      <c r="L500" s="562"/>
      <c r="M500" s="562"/>
      <c r="N500" s="562"/>
      <c r="O500" s="569"/>
      <c r="P500" s="570"/>
      <c r="Q500" s="562"/>
      <c r="R500" s="562"/>
      <c r="S500" s="562"/>
      <c r="T500" s="562"/>
      <c r="U500" s="562"/>
      <c r="V500" s="562"/>
      <c r="W500" s="562"/>
      <c r="X500" s="562"/>
      <c r="Y500" s="562"/>
      <c r="Z500" s="562"/>
    </row>
    <row r="501" ht="12.0" customHeight="1">
      <c r="A501" s="562"/>
      <c r="B501" s="562"/>
      <c r="C501" s="562"/>
      <c r="D501" s="562"/>
      <c r="E501" s="562"/>
      <c r="F501" s="562"/>
      <c r="G501" s="562"/>
      <c r="H501" s="562"/>
      <c r="I501" s="562"/>
      <c r="J501" s="562"/>
      <c r="K501" s="562"/>
      <c r="L501" s="562"/>
      <c r="M501" s="562"/>
      <c r="N501" s="562"/>
      <c r="O501" s="569"/>
      <c r="P501" s="570"/>
      <c r="Q501" s="562"/>
      <c r="R501" s="562"/>
      <c r="S501" s="562"/>
      <c r="T501" s="562"/>
      <c r="U501" s="562"/>
      <c r="V501" s="562"/>
      <c r="W501" s="562"/>
      <c r="X501" s="562"/>
      <c r="Y501" s="562"/>
      <c r="Z501" s="562"/>
    </row>
    <row r="502" ht="12.0" customHeight="1">
      <c r="A502" s="562"/>
      <c r="B502" s="562"/>
      <c r="C502" s="562"/>
      <c r="D502" s="562"/>
      <c r="E502" s="562"/>
      <c r="F502" s="562"/>
      <c r="G502" s="562"/>
      <c r="H502" s="562"/>
      <c r="I502" s="562"/>
      <c r="J502" s="562"/>
      <c r="K502" s="562"/>
      <c r="L502" s="562"/>
      <c r="M502" s="562"/>
      <c r="N502" s="562"/>
      <c r="O502" s="569"/>
      <c r="P502" s="570"/>
      <c r="Q502" s="562"/>
      <c r="R502" s="562"/>
      <c r="S502" s="562"/>
      <c r="T502" s="562"/>
      <c r="U502" s="562"/>
      <c r="V502" s="562"/>
      <c r="W502" s="562"/>
      <c r="X502" s="562"/>
      <c r="Y502" s="562"/>
      <c r="Z502" s="562"/>
    </row>
    <row r="503" ht="12.0" customHeight="1">
      <c r="A503" s="562"/>
      <c r="B503" s="562"/>
      <c r="C503" s="562"/>
      <c r="D503" s="562"/>
      <c r="E503" s="562"/>
      <c r="F503" s="562"/>
      <c r="G503" s="562"/>
      <c r="H503" s="562"/>
      <c r="I503" s="562"/>
      <c r="J503" s="562"/>
      <c r="K503" s="562"/>
      <c r="L503" s="562"/>
      <c r="M503" s="562"/>
      <c r="N503" s="562"/>
      <c r="O503" s="569"/>
      <c r="P503" s="570"/>
      <c r="Q503" s="562"/>
      <c r="R503" s="562"/>
      <c r="S503" s="562"/>
      <c r="T503" s="562"/>
      <c r="U503" s="562"/>
      <c r="V503" s="562"/>
      <c r="W503" s="562"/>
      <c r="X503" s="562"/>
      <c r="Y503" s="562"/>
      <c r="Z503" s="562"/>
    </row>
    <row r="504" ht="12.0" customHeight="1">
      <c r="A504" s="562"/>
      <c r="B504" s="562"/>
      <c r="C504" s="562"/>
      <c r="D504" s="562"/>
      <c r="E504" s="562"/>
      <c r="F504" s="562"/>
      <c r="G504" s="562"/>
      <c r="H504" s="562"/>
      <c r="I504" s="562"/>
      <c r="J504" s="562"/>
      <c r="K504" s="562"/>
      <c r="L504" s="562"/>
      <c r="M504" s="562"/>
      <c r="N504" s="562"/>
      <c r="O504" s="569"/>
      <c r="P504" s="570"/>
      <c r="Q504" s="562"/>
      <c r="R504" s="562"/>
      <c r="S504" s="562"/>
      <c r="T504" s="562"/>
      <c r="U504" s="562"/>
      <c r="V504" s="562"/>
      <c r="W504" s="562"/>
      <c r="X504" s="562"/>
      <c r="Y504" s="562"/>
      <c r="Z504" s="562"/>
    </row>
    <row r="505" ht="12.0" customHeight="1">
      <c r="A505" s="562"/>
      <c r="B505" s="562"/>
      <c r="C505" s="562"/>
      <c r="D505" s="562"/>
      <c r="E505" s="562"/>
      <c r="F505" s="562"/>
      <c r="G505" s="562"/>
      <c r="H505" s="562"/>
      <c r="I505" s="562"/>
      <c r="J505" s="562"/>
      <c r="K505" s="562"/>
      <c r="L505" s="562"/>
      <c r="M505" s="562"/>
      <c r="N505" s="562"/>
      <c r="O505" s="569"/>
      <c r="P505" s="570"/>
      <c r="Q505" s="562"/>
      <c r="R505" s="562"/>
      <c r="S505" s="562"/>
      <c r="T505" s="562"/>
      <c r="U505" s="562"/>
      <c r="V505" s="562"/>
      <c r="W505" s="562"/>
      <c r="X505" s="562"/>
      <c r="Y505" s="562"/>
      <c r="Z505" s="562"/>
    </row>
    <row r="506" ht="12.0" customHeight="1">
      <c r="A506" s="562"/>
      <c r="B506" s="562"/>
      <c r="C506" s="562"/>
      <c r="D506" s="562"/>
      <c r="E506" s="562"/>
      <c r="F506" s="562"/>
      <c r="G506" s="562"/>
      <c r="H506" s="562"/>
      <c r="I506" s="562"/>
      <c r="J506" s="562"/>
      <c r="K506" s="562"/>
      <c r="L506" s="562"/>
      <c r="M506" s="562"/>
      <c r="N506" s="562"/>
      <c r="O506" s="569"/>
      <c r="P506" s="570"/>
      <c r="Q506" s="562"/>
      <c r="R506" s="562"/>
      <c r="S506" s="562"/>
      <c r="T506" s="562"/>
      <c r="U506" s="562"/>
      <c r="V506" s="562"/>
      <c r="W506" s="562"/>
      <c r="X506" s="562"/>
      <c r="Y506" s="562"/>
      <c r="Z506" s="562"/>
    </row>
    <row r="507" ht="12.0" customHeight="1">
      <c r="A507" s="562"/>
      <c r="B507" s="562"/>
      <c r="C507" s="562"/>
      <c r="D507" s="562"/>
      <c r="E507" s="562"/>
      <c r="F507" s="562"/>
      <c r="G507" s="562"/>
      <c r="H507" s="562"/>
      <c r="I507" s="562"/>
      <c r="J507" s="562"/>
      <c r="K507" s="562"/>
      <c r="L507" s="562"/>
      <c r="M507" s="562"/>
      <c r="N507" s="562"/>
      <c r="O507" s="569"/>
      <c r="P507" s="570"/>
      <c r="Q507" s="562"/>
      <c r="R507" s="562"/>
      <c r="S507" s="562"/>
      <c r="T507" s="562"/>
      <c r="U507" s="562"/>
      <c r="V507" s="562"/>
      <c r="W507" s="562"/>
      <c r="X507" s="562"/>
      <c r="Y507" s="562"/>
      <c r="Z507" s="562"/>
    </row>
    <row r="508" ht="12.0" customHeight="1">
      <c r="A508" s="562"/>
      <c r="B508" s="562"/>
      <c r="C508" s="562"/>
      <c r="D508" s="562"/>
      <c r="E508" s="562"/>
      <c r="F508" s="562"/>
      <c r="G508" s="562"/>
      <c r="H508" s="562"/>
      <c r="I508" s="562"/>
      <c r="J508" s="562"/>
      <c r="K508" s="562"/>
      <c r="L508" s="562"/>
      <c r="M508" s="562"/>
      <c r="N508" s="562"/>
      <c r="O508" s="569"/>
      <c r="P508" s="570"/>
      <c r="Q508" s="562"/>
      <c r="R508" s="562"/>
      <c r="S508" s="562"/>
      <c r="T508" s="562"/>
      <c r="U508" s="562"/>
      <c r="V508" s="562"/>
      <c r="W508" s="562"/>
      <c r="X508" s="562"/>
      <c r="Y508" s="562"/>
      <c r="Z508" s="562"/>
    </row>
    <row r="509" ht="12.0" customHeight="1">
      <c r="A509" s="562"/>
      <c r="B509" s="562"/>
      <c r="C509" s="562"/>
      <c r="D509" s="562"/>
      <c r="E509" s="562"/>
      <c r="F509" s="562"/>
      <c r="G509" s="562"/>
      <c r="H509" s="562"/>
      <c r="I509" s="562"/>
      <c r="J509" s="562"/>
      <c r="K509" s="562"/>
      <c r="L509" s="562"/>
      <c r="M509" s="562"/>
      <c r="N509" s="562"/>
      <c r="O509" s="569"/>
      <c r="P509" s="570"/>
      <c r="Q509" s="562"/>
      <c r="R509" s="562"/>
      <c r="S509" s="562"/>
      <c r="T509" s="562"/>
      <c r="U509" s="562"/>
      <c r="V509" s="562"/>
      <c r="W509" s="562"/>
      <c r="X509" s="562"/>
      <c r="Y509" s="562"/>
      <c r="Z509" s="562"/>
    </row>
    <row r="510" ht="12.0" customHeight="1">
      <c r="A510" s="562"/>
      <c r="B510" s="562"/>
      <c r="C510" s="562"/>
      <c r="D510" s="562"/>
      <c r="E510" s="562"/>
      <c r="F510" s="562"/>
      <c r="G510" s="562"/>
      <c r="H510" s="562"/>
      <c r="I510" s="562"/>
      <c r="J510" s="562"/>
      <c r="K510" s="562"/>
      <c r="L510" s="562"/>
      <c r="M510" s="562"/>
      <c r="N510" s="562"/>
      <c r="O510" s="569"/>
      <c r="P510" s="570"/>
      <c r="Q510" s="562"/>
      <c r="R510" s="562"/>
      <c r="S510" s="562"/>
      <c r="T510" s="562"/>
      <c r="U510" s="562"/>
      <c r="V510" s="562"/>
      <c r="W510" s="562"/>
      <c r="X510" s="562"/>
      <c r="Y510" s="562"/>
      <c r="Z510" s="562"/>
    </row>
    <row r="511" ht="12.0" customHeight="1">
      <c r="A511" s="562"/>
      <c r="B511" s="562"/>
      <c r="C511" s="562"/>
      <c r="D511" s="562"/>
      <c r="E511" s="562"/>
      <c r="F511" s="562"/>
      <c r="G511" s="562"/>
      <c r="H511" s="562"/>
      <c r="I511" s="562"/>
      <c r="J511" s="562"/>
      <c r="K511" s="562"/>
      <c r="L511" s="562"/>
      <c r="M511" s="562"/>
      <c r="N511" s="562"/>
      <c r="O511" s="569"/>
      <c r="P511" s="570"/>
      <c r="Q511" s="562"/>
      <c r="R511" s="562"/>
      <c r="S511" s="562"/>
      <c r="T511" s="562"/>
      <c r="U511" s="562"/>
      <c r="V511" s="562"/>
      <c r="W511" s="562"/>
      <c r="X511" s="562"/>
      <c r="Y511" s="562"/>
      <c r="Z511" s="562"/>
    </row>
    <row r="512" ht="12.0" customHeight="1">
      <c r="A512" s="562"/>
      <c r="B512" s="562"/>
      <c r="C512" s="562"/>
      <c r="D512" s="562"/>
      <c r="E512" s="562"/>
      <c r="F512" s="562"/>
      <c r="G512" s="562"/>
      <c r="H512" s="562"/>
      <c r="I512" s="562"/>
      <c r="J512" s="562"/>
      <c r="K512" s="562"/>
      <c r="L512" s="562"/>
      <c r="M512" s="562"/>
      <c r="N512" s="562"/>
      <c r="O512" s="569"/>
      <c r="P512" s="570"/>
      <c r="Q512" s="562"/>
      <c r="R512" s="562"/>
      <c r="S512" s="562"/>
      <c r="T512" s="562"/>
      <c r="U512" s="562"/>
      <c r="V512" s="562"/>
      <c r="W512" s="562"/>
      <c r="X512" s="562"/>
      <c r="Y512" s="562"/>
      <c r="Z512" s="562"/>
    </row>
    <row r="513" ht="12.0" customHeight="1">
      <c r="A513" s="562"/>
      <c r="B513" s="562"/>
      <c r="C513" s="562"/>
      <c r="D513" s="562"/>
      <c r="E513" s="562"/>
      <c r="F513" s="562"/>
      <c r="G513" s="562"/>
      <c r="H513" s="562"/>
      <c r="I513" s="562"/>
      <c r="J513" s="562"/>
      <c r="K513" s="562"/>
      <c r="L513" s="562"/>
      <c r="M513" s="562"/>
      <c r="N513" s="562"/>
      <c r="O513" s="569"/>
      <c r="P513" s="570"/>
      <c r="Q513" s="562"/>
      <c r="R513" s="562"/>
      <c r="S513" s="562"/>
      <c r="T513" s="562"/>
      <c r="U513" s="562"/>
      <c r="V513" s="562"/>
      <c r="W513" s="562"/>
      <c r="X513" s="562"/>
      <c r="Y513" s="562"/>
      <c r="Z513" s="562"/>
    </row>
    <row r="514" ht="12.0" customHeight="1">
      <c r="A514" s="562"/>
      <c r="B514" s="562"/>
      <c r="C514" s="562"/>
      <c r="D514" s="562"/>
      <c r="E514" s="562"/>
      <c r="F514" s="562"/>
      <c r="G514" s="562"/>
      <c r="H514" s="562"/>
      <c r="I514" s="562"/>
      <c r="J514" s="562"/>
      <c r="K514" s="562"/>
      <c r="L514" s="562"/>
      <c r="M514" s="562"/>
      <c r="N514" s="562"/>
      <c r="O514" s="569"/>
      <c r="P514" s="570"/>
      <c r="Q514" s="562"/>
      <c r="R514" s="562"/>
      <c r="S514" s="562"/>
      <c r="T514" s="562"/>
      <c r="U514" s="562"/>
      <c r="V514" s="562"/>
      <c r="W514" s="562"/>
      <c r="X514" s="562"/>
      <c r="Y514" s="562"/>
      <c r="Z514" s="562"/>
    </row>
    <row r="515" ht="12.0" customHeight="1">
      <c r="A515" s="562"/>
      <c r="B515" s="562"/>
      <c r="C515" s="562"/>
      <c r="D515" s="562"/>
      <c r="E515" s="562"/>
      <c r="F515" s="562"/>
      <c r="G515" s="562"/>
      <c r="H515" s="562"/>
      <c r="I515" s="562"/>
      <c r="J515" s="562"/>
      <c r="K515" s="562"/>
      <c r="L515" s="562"/>
      <c r="M515" s="562"/>
      <c r="N515" s="562"/>
      <c r="O515" s="569"/>
      <c r="P515" s="570"/>
      <c r="Q515" s="562"/>
      <c r="R515" s="562"/>
      <c r="S515" s="562"/>
      <c r="T515" s="562"/>
      <c r="U515" s="562"/>
      <c r="V515" s="562"/>
      <c r="W515" s="562"/>
      <c r="X515" s="562"/>
      <c r="Y515" s="562"/>
      <c r="Z515" s="562"/>
    </row>
    <row r="516" ht="12.0" customHeight="1">
      <c r="A516" s="562"/>
      <c r="B516" s="562"/>
      <c r="C516" s="562"/>
      <c r="D516" s="562"/>
      <c r="E516" s="562"/>
      <c r="F516" s="562"/>
      <c r="G516" s="562"/>
      <c r="H516" s="562"/>
      <c r="I516" s="562"/>
      <c r="J516" s="562"/>
      <c r="K516" s="562"/>
      <c r="L516" s="562"/>
      <c r="M516" s="562"/>
      <c r="N516" s="562"/>
      <c r="O516" s="569"/>
      <c r="P516" s="570"/>
      <c r="Q516" s="562"/>
      <c r="R516" s="562"/>
      <c r="S516" s="562"/>
      <c r="T516" s="562"/>
      <c r="U516" s="562"/>
      <c r="V516" s="562"/>
      <c r="W516" s="562"/>
      <c r="X516" s="562"/>
      <c r="Y516" s="562"/>
      <c r="Z516" s="562"/>
    </row>
    <row r="517" ht="12.0" customHeight="1">
      <c r="A517" s="562"/>
      <c r="B517" s="562"/>
      <c r="C517" s="562"/>
      <c r="D517" s="562"/>
      <c r="E517" s="562"/>
      <c r="F517" s="562"/>
      <c r="G517" s="562"/>
      <c r="H517" s="562"/>
      <c r="I517" s="562"/>
      <c r="J517" s="562"/>
      <c r="K517" s="562"/>
      <c r="L517" s="562"/>
      <c r="M517" s="562"/>
      <c r="N517" s="562"/>
      <c r="O517" s="569"/>
      <c r="P517" s="570"/>
      <c r="Q517" s="562"/>
      <c r="R517" s="562"/>
      <c r="S517" s="562"/>
      <c r="T517" s="562"/>
      <c r="U517" s="562"/>
      <c r="V517" s="562"/>
      <c r="W517" s="562"/>
      <c r="X517" s="562"/>
      <c r="Y517" s="562"/>
      <c r="Z517" s="562"/>
    </row>
    <row r="518" ht="12.0" customHeight="1">
      <c r="A518" s="562"/>
      <c r="B518" s="562"/>
      <c r="C518" s="562"/>
      <c r="D518" s="562"/>
      <c r="E518" s="562"/>
      <c r="F518" s="562"/>
      <c r="G518" s="562"/>
      <c r="H518" s="562"/>
      <c r="I518" s="562"/>
      <c r="J518" s="562"/>
      <c r="K518" s="562"/>
      <c r="L518" s="562"/>
      <c r="M518" s="562"/>
      <c r="N518" s="562"/>
      <c r="O518" s="569"/>
      <c r="P518" s="570"/>
      <c r="Q518" s="562"/>
      <c r="R518" s="562"/>
      <c r="S518" s="562"/>
      <c r="T518" s="562"/>
      <c r="U518" s="562"/>
      <c r="V518" s="562"/>
      <c r="W518" s="562"/>
      <c r="X518" s="562"/>
      <c r="Y518" s="562"/>
      <c r="Z518" s="562"/>
    </row>
    <row r="519" ht="12.0" customHeight="1">
      <c r="A519" s="562"/>
      <c r="B519" s="562"/>
      <c r="C519" s="562"/>
      <c r="D519" s="562"/>
      <c r="E519" s="562"/>
      <c r="F519" s="562"/>
      <c r="G519" s="562"/>
      <c r="H519" s="562"/>
      <c r="I519" s="562"/>
      <c r="J519" s="562"/>
      <c r="K519" s="562"/>
      <c r="L519" s="562"/>
      <c r="M519" s="562"/>
      <c r="N519" s="562"/>
      <c r="O519" s="569"/>
      <c r="P519" s="570"/>
      <c r="Q519" s="562"/>
      <c r="R519" s="562"/>
      <c r="S519" s="562"/>
      <c r="T519" s="562"/>
      <c r="U519" s="562"/>
      <c r="V519" s="562"/>
      <c r="W519" s="562"/>
      <c r="X519" s="562"/>
      <c r="Y519" s="562"/>
      <c r="Z519" s="562"/>
    </row>
    <row r="520" ht="12.0" customHeight="1">
      <c r="A520" s="562"/>
      <c r="B520" s="562"/>
      <c r="C520" s="562"/>
      <c r="D520" s="562"/>
      <c r="E520" s="562"/>
      <c r="F520" s="562"/>
      <c r="G520" s="562"/>
      <c r="H520" s="562"/>
      <c r="I520" s="562"/>
      <c r="J520" s="562"/>
      <c r="K520" s="562"/>
      <c r="L520" s="562"/>
      <c r="M520" s="562"/>
      <c r="N520" s="562"/>
      <c r="O520" s="569"/>
      <c r="P520" s="570"/>
      <c r="Q520" s="562"/>
      <c r="R520" s="562"/>
      <c r="S520" s="562"/>
      <c r="T520" s="562"/>
      <c r="U520" s="562"/>
      <c r="V520" s="562"/>
      <c r="W520" s="562"/>
      <c r="X520" s="562"/>
      <c r="Y520" s="562"/>
      <c r="Z520" s="562"/>
    </row>
    <row r="521" ht="12.0" customHeight="1">
      <c r="A521" s="562"/>
      <c r="B521" s="562"/>
      <c r="C521" s="562"/>
      <c r="D521" s="562"/>
      <c r="E521" s="562"/>
      <c r="F521" s="562"/>
      <c r="G521" s="562"/>
      <c r="H521" s="562"/>
      <c r="I521" s="562"/>
      <c r="J521" s="562"/>
      <c r="K521" s="562"/>
      <c r="L521" s="562"/>
      <c r="M521" s="562"/>
      <c r="N521" s="562"/>
      <c r="O521" s="569"/>
      <c r="P521" s="570"/>
      <c r="Q521" s="562"/>
      <c r="R521" s="562"/>
      <c r="S521" s="562"/>
      <c r="T521" s="562"/>
      <c r="U521" s="562"/>
      <c r="V521" s="562"/>
      <c r="W521" s="562"/>
      <c r="X521" s="562"/>
      <c r="Y521" s="562"/>
      <c r="Z521" s="562"/>
    </row>
    <row r="522" ht="12.0" customHeight="1">
      <c r="A522" s="562"/>
      <c r="B522" s="562"/>
      <c r="C522" s="562"/>
      <c r="D522" s="562"/>
      <c r="E522" s="562"/>
      <c r="F522" s="562"/>
      <c r="G522" s="562"/>
      <c r="H522" s="562"/>
      <c r="I522" s="562"/>
      <c r="J522" s="562"/>
      <c r="K522" s="562"/>
      <c r="L522" s="562"/>
      <c r="M522" s="562"/>
      <c r="N522" s="562"/>
      <c r="O522" s="569"/>
      <c r="P522" s="570"/>
      <c r="Q522" s="562"/>
      <c r="R522" s="562"/>
      <c r="S522" s="562"/>
      <c r="T522" s="562"/>
      <c r="U522" s="562"/>
      <c r="V522" s="562"/>
      <c r="W522" s="562"/>
      <c r="X522" s="562"/>
      <c r="Y522" s="562"/>
      <c r="Z522" s="562"/>
    </row>
    <row r="523" ht="12.0" customHeight="1">
      <c r="A523" s="562"/>
      <c r="B523" s="562"/>
      <c r="C523" s="562"/>
      <c r="D523" s="562"/>
      <c r="E523" s="562"/>
      <c r="F523" s="562"/>
      <c r="G523" s="562"/>
      <c r="H523" s="562"/>
      <c r="I523" s="562"/>
      <c r="J523" s="562"/>
      <c r="K523" s="562"/>
      <c r="L523" s="562"/>
      <c r="M523" s="562"/>
      <c r="N523" s="562"/>
      <c r="O523" s="569"/>
      <c r="P523" s="570"/>
      <c r="Q523" s="562"/>
      <c r="R523" s="562"/>
      <c r="S523" s="562"/>
      <c r="T523" s="562"/>
      <c r="U523" s="562"/>
      <c r="V523" s="562"/>
      <c r="W523" s="562"/>
      <c r="X523" s="562"/>
      <c r="Y523" s="562"/>
      <c r="Z523" s="562"/>
    </row>
    <row r="524" ht="12.0" customHeight="1">
      <c r="A524" s="562"/>
      <c r="B524" s="562"/>
      <c r="C524" s="562"/>
      <c r="D524" s="562"/>
      <c r="E524" s="562"/>
      <c r="F524" s="562"/>
      <c r="G524" s="562"/>
      <c r="H524" s="562"/>
      <c r="I524" s="562"/>
      <c r="J524" s="562"/>
      <c r="K524" s="562"/>
      <c r="L524" s="562"/>
      <c r="M524" s="562"/>
      <c r="N524" s="562"/>
      <c r="O524" s="569"/>
      <c r="P524" s="570"/>
      <c r="Q524" s="562"/>
      <c r="R524" s="562"/>
      <c r="S524" s="562"/>
      <c r="T524" s="562"/>
      <c r="U524" s="562"/>
      <c r="V524" s="562"/>
      <c r="W524" s="562"/>
      <c r="X524" s="562"/>
      <c r="Y524" s="562"/>
      <c r="Z524" s="562"/>
    </row>
    <row r="525" ht="12.0" customHeight="1">
      <c r="A525" s="562"/>
      <c r="B525" s="562"/>
      <c r="C525" s="562"/>
      <c r="D525" s="562"/>
      <c r="E525" s="562"/>
      <c r="F525" s="562"/>
      <c r="G525" s="562"/>
      <c r="H525" s="562"/>
      <c r="I525" s="562"/>
      <c r="J525" s="562"/>
      <c r="K525" s="562"/>
      <c r="L525" s="562"/>
      <c r="M525" s="562"/>
      <c r="N525" s="562"/>
      <c r="O525" s="569"/>
      <c r="P525" s="570"/>
      <c r="Q525" s="562"/>
      <c r="R525" s="562"/>
      <c r="S525" s="562"/>
      <c r="T525" s="562"/>
      <c r="U525" s="562"/>
      <c r="V525" s="562"/>
      <c r="W525" s="562"/>
      <c r="X525" s="562"/>
      <c r="Y525" s="562"/>
      <c r="Z525" s="562"/>
    </row>
    <row r="526" ht="12.0" customHeight="1">
      <c r="A526" s="562"/>
      <c r="B526" s="562"/>
      <c r="C526" s="562"/>
      <c r="D526" s="562"/>
      <c r="E526" s="562"/>
      <c r="F526" s="562"/>
      <c r="G526" s="562"/>
      <c r="H526" s="562"/>
      <c r="I526" s="562"/>
      <c r="J526" s="562"/>
      <c r="K526" s="562"/>
      <c r="L526" s="562"/>
      <c r="M526" s="562"/>
      <c r="N526" s="562"/>
      <c r="O526" s="569"/>
      <c r="P526" s="570"/>
      <c r="Q526" s="562"/>
      <c r="R526" s="562"/>
      <c r="S526" s="562"/>
      <c r="T526" s="562"/>
      <c r="U526" s="562"/>
      <c r="V526" s="562"/>
      <c r="W526" s="562"/>
      <c r="X526" s="562"/>
      <c r="Y526" s="562"/>
      <c r="Z526" s="562"/>
    </row>
    <row r="527" ht="12.0" customHeight="1">
      <c r="A527" s="562"/>
      <c r="B527" s="562"/>
      <c r="C527" s="562"/>
      <c r="D527" s="562"/>
      <c r="E527" s="562"/>
      <c r="F527" s="562"/>
      <c r="G527" s="562"/>
      <c r="H527" s="562"/>
      <c r="I527" s="562"/>
      <c r="J527" s="562"/>
      <c r="K527" s="562"/>
      <c r="L527" s="562"/>
      <c r="M527" s="562"/>
      <c r="N527" s="562"/>
      <c r="O527" s="569"/>
      <c r="P527" s="570"/>
      <c r="Q527" s="562"/>
      <c r="R527" s="562"/>
      <c r="S527" s="562"/>
      <c r="T527" s="562"/>
      <c r="U527" s="562"/>
      <c r="V527" s="562"/>
      <c r="W527" s="562"/>
      <c r="X527" s="562"/>
      <c r="Y527" s="562"/>
      <c r="Z527" s="562"/>
    </row>
    <row r="528" ht="12.0" customHeight="1">
      <c r="A528" s="562"/>
      <c r="B528" s="562"/>
      <c r="C528" s="562"/>
      <c r="D528" s="562"/>
      <c r="E528" s="562"/>
      <c r="F528" s="562"/>
      <c r="G528" s="562"/>
      <c r="H528" s="562"/>
      <c r="I528" s="562"/>
      <c r="J528" s="562"/>
      <c r="K528" s="562"/>
      <c r="L528" s="562"/>
      <c r="M528" s="562"/>
      <c r="N528" s="562"/>
      <c r="O528" s="569"/>
      <c r="P528" s="570"/>
      <c r="Q528" s="562"/>
      <c r="R528" s="562"/>
      <c r="S528" s="562"/>
      <c r="T528" s="562"/>
      <c r="U528" s="562"/>
      <c r="V528" s="562"/>
      <c r="W528" s="562"/>
      <c r="X528" s="562"/>
      <c r="Y528" s="562"/>
      <c r="Z528" s="562"/>
    </row>
    <row r="529" ht="12.0" customHeight="1">
      <c r="A529" s="562"/>
      <c r="B529" s="562"/>
      <c r="C529" s="562"/>
      <c r="D529" s="562"/>
      <c r="E529" s="562"/>
      <c r="F529" s="562"/>
      <c r="G529" s="562"/>
      <c r="H529" s="562"/>
      <c r="I529" s="562"/>
      <c r="J529" s="562"/>
      <c r="K529" s="562"/>
      <c r="L529" s="562"/>
      <c r="M529" s="562"/>
      <c r="N529" s="562"/>
      <c r="O529" s="569"/>
      <c r="P529" s="570"/>
      <c r="Q529" s="562"/>
      <c r="R529" s="562"/>
      <c r="S529" s="562"/>
      <c r="T529" s="562"/>
      <c r="U529" s="562"/>
      <c r="V529" s="562"/>
      <c r="W529" s="562"/>
      <c r="X529" s="562"/>
      <c r="Y529" s="562"/>
      <c r="Z529" s="562"/>
    </row>
    <row r="530" ht="12.0" customHeight="1">
      <c r="A530" s="562"/>
      <c r="B530" s="562"/>
      <c r="C530" s="562"/>
      <c r="D530" s="562"/>
      <c r="E530" s="562"/>
      <c r="F530" s="562"/>
      <c r="G530" s="562"/>
      <c r="H530" s="562"/>
      <c r="I530" s="562"/>
      <c r="J530" s="562"/>
      <c r="K530" s="562"/>
      <c r="L530" s="562"/>
      <c r="M530" s="562"/>
      <c r="N530" s="562"/>
      <c r="O530" s="569"/>
      <c r="P530" s="570"/>
      <c r="Q530" s="562"/>
      <c r="R530" s="562"/>
      <c r="S530" s="562"/>
      <c r="T530" s="562"/>
      <c r="U530" s="562"/>
      <c r="V530" s="562"/>
      <c r="W530" s="562"/>
      <c r="X530" s="562"/>
      <c r="Y530" s="562"/>
      <c r="Z530" s="562"/>
    </row>
    <row r="531" ht="12.0" customHeight="1">
      <c r="A531" s="562"/>
      <c r="B531" s="562"/>
      <c r="C531" s="562"/>
      <c r="D531" s="562"/>
      <c r="E531" s="562"/>
      <c r="F531" s="562"/>
      <c r="G531" s="562"/>
      <c r="H531" s="562"/>
      <c r="I531" s="562"/>
      <c r="J531" s="562"/>
      <c r="K531" s="562"/>
      <c r="L531" s="562"/>
      <c r="M531" s="562"/>
      <c r="N531" s="562"/>
      <c r="O531" s="569"/>
      <c r="P531" s="570"/>
      <c r="Q531" s="562"/>
      <c r="R531" s="562"/>
      <c r="S531" s="562"/>
      <c r="T531" s="562"/>
      <c r="U531" s="562"/>
      <c r="V531" s="562"/>
      <c r="W531" s="562"/>
      <c r="X531" s="562"/>
      <c r="Y531" s="562"/>
      <c r="Z531" s="562"/>
    </row>
    <row r="532" ht="12.0" customHeight="1">
      <c r="A532" s="562"/>
      <c r="B532" s="562"/>
      <c r="C532" s="562"/>
      <c r="D532" s="562"/>
      <c r="E532" s="562"/>
      <c r="F532" s="562"/>
      <c r="G532" s="562"/>
      <c r="H532" s="562"/>
      <c r="I532" s="562"/>
      <c r="J532" s="562"/>
      <c r="K532" s="562"/>
      <c r="L532" s="562"/>
      <c r="M532" s="562"/>
      <c r="N532" s="562"/>
      <c r="O532" s="569"/>
      <c r="P532" s="570"/>
      <c r="Q532" s="562"/>
      <c r="R532" s="562"/>
      <c r="S532" s="562"/>
      <c r="T532" s="562"/>
      <c r="U532" s="562"/>
      <c r="V532" s="562"/>
      <c r="W532" s="562"/>
      <c r="X532" s="562"/>
      <c r="Y532" s="562"/>
      <c r="Z532" s="562"/>
    </row>
    <row r="533" ht="12.0" customHeight="1">
      <c r="A533" s="562"/>
      <c r="B533" s="562"/>
      <c r="C533" s="562"/>
      <c r="D533" s="562"/>
      <c r="E533" s="562"/>
      <c r="F533" s="562"/>
      <c r="G533" s="562"/>
      <c r="H533" s="562"/>
      <c r="I533" s="562"/>
      <c r="J533" s="562"/>
      <c r="K533" s="562"/>
      <c r="L533" s="562"/>
      <c r="M533" s="562"/>
      <c r="N533" s="562"/>
      <c r="O533" s="569"/>
      <c r="P533" s="570"/>
      <c r="Q533" s="562"/>
      <c r="R533" s="562"/>
      <c r="S533" s="562"/>
      <c r="T533" s="562"/>
      <c r="U533" s="562"/>
      <c r="V533" s="562"/>
      <c r="W533" s="562"/>
      <c r="X533" s="562"/>
      <c r="Y533" s="562"/>
      <c r="Z533" s="562"/>
    </row>
    <row r="534" ht="12.0" customHeight="1">
      <c r="A534" s="562"/>
      <c r="B534" s="562"/>
      <c r="C534" s="562"/>
      <c r="D534" s="562"/>
      <c r="E534" s="562"/>
      <c r="F534" s="562"/>
      <c r="G534" s="562"/>
      <c r="H534" s="562"/>
      <c r="I534" s="562"/>
      <c r="J534" s="562"/>
      <c r="K534" s="562"/>
      <c r="L534" s="562"/>
      <c r="M534" s="562"/>
      <c r="N534" s="562"/>
      <c r="O534" s="569"/>
      <c r="P534" s="570"/>
      <c r="Q534" s="562"/>
      <c r="R534" s="562"/>
      <c r="S534" s="562"/>
      <c r="T534" s="562"/>
      <c r="U534" s="562"/>
      <c r="V534" s="562"/>
      <c r="W534" s="562"/>
      <c r="X534" s="562"/>
      <c r="Y534" s="562"/>
      <c r="Z534" s="562"/>
    </row>
    <row r="535" ht="12.0" customHeight="1">
      <c r="A535" s="562"/>
      <c r="B535" s="562"/>
      <c r="C535" s="562"/>
      <c r="D535" s="562"/>
      <c r="E535" s="562"/>
      <c r="F535" s="562"/>
      <c r="G535" s="562"/>
      <c r="H535" s="562"/>
      <c r="I535" s="562"/>
      <c r="J535" s="562"/>
      <c r="K535" s="562"/>
      <c r="L535" s="562"/>
      <c r="M535" s="562"/>
      <c r="N535" s="562"/>
      <c r="O535" s="569"/>
      <c r="P535" s="570"/>
      <c r="Q535" s="562"/>
      <c r="R535" s="562"/>
      <c r="S535" s="562"/>
      <c r="T535" s="562"/>
      <c r="U535" s="562"/>
      <c r="V535" s="562"/>
      <c r="W535" s="562"/>
      <c r="X535" s="562"/>
      <c r="Y535" s="562"/>
      <c r="Z535" s="562"/>
    </row>
    <row r="536" ht="12.0" customHeight="1">
      <c r="A536" s="562"/>
      <c r="B536" s="562"/>
      <c r="C536" s="562"/>
      <c r="D536" s="562"/>
      <c r="E536" s="562"/>
      <c r="F536" s="562"/>
      <c r="G536" s="562"/>
      <c r="H536" s="562"/>
      <c r="I536" s="562"/>
      <c r="J536" s="562"/>
      <c r="K536" s="562"/>
      <c r="L536" s="562"/>
      <c r="M536" s="562"/>
      <c r="N536" s="562"/>
      <c r="O536" s="569"/>
      <c r="P536" s="570"/>
      <c r="Q536" s="562"/>
      <c r="R536" s="562"/>
      <c r="S536" s="562"/>
      <c r="T536" s="562"/>
      <c r="U536" s="562"/>
      <c r="V536" s="562"/>
      <c r="W536" s="562"/>
      <c r="X536" s="562"/>
      <c r="Y536" s="562"/>
      <c r="Z536" s="562"/>
    </row>
    <row r="537" ht="12.0" customHeight="1">
      <c r="A537" s="562"/>
      <c r="B537" s="562"/>
      <c r="C537" s="562"/>
      <c r="D537" s="562"/>
      <c r="E537" s="562"/>
      <c r="F537" s="562"/>
      <c r="G537" s="562"/>
      <c r="H537" s="562"/>
      <c r="I537" s="562"/>
      <c r="J537" s="562"/>
      <c r="K537" s="562"/>
      <c r="L537" s="562"/>
      <c r="M537" s="562"/>
      <c r="N537" s="562"/>
      <c r="O537" s="569"/>
      <c r="P537" s="570"/>
      <c r="Q537" s="562"/>
      <c r="R537" s="562"/>
      <c r="S537" s="562"/>
      <c r="T537" s="562"/>
      <c r="U537" s="562"/>
      <c r="V537" s="562"/>
      <c r="W537" s="562"/>
      <c r="X537" s="562"/>
      <c r="Y537" s="562"/>
      <c r="Z537" s="562"/>
    </row>
    <row r="538" ht="12.0" customHeight="1">
      <c r="A538" s="562"/>
      <c r="B538" s="562"/>
      <c r="C538" s="562"/>
      <c r="D538" s="562"/>
      <c r="E538" s="562"/>
      <c r="F538" s="562"/>
      <c r="G538" s="562"/>
      <c r="H538" s="562"/>
      <c r="I538" s="562"/>
      <c r="J538" s="562"/>
      <c r="K538" s="562"/>
      <c r="L538" s="562"/>
      <c r="M538" s="562"/>
      <c r="N538" s="562"/>
      <c r="O538" s="569"/>
      <c r="P538" s="570"/>
      <c r="Q538" s="562"/>
      <c r="R538" s="562"/>
      <c r="S538" s="562"/>
      <c r="T538" s="562"/>
      <c r="U538" s="562"/>
      <c r="V538" s="562"/>
      <c r="W538" s="562"/>
      <c r="X538" s="562"/>
      <c r="Y538" s="562"/>
      <c r="Z538" s="562"/>
    </row>
    <row r="539" ht="12.0" customHeight="1">
      <c r="A539" s="562"/>
      <c r="B539" s="562"/>
      <c r="C539" s="562"/>
      <c r="D539" s="562"/>
      <c r="E539" s="562"/>
      <c r="F539" s="562"/>
      <c r="G539" s="562"/>
      <c r="H539" s="562"/>
      <c r="I539" s="562"/>
      <c r="J539" s="562"/>
      <c r="K539" s="562"/>
      <c r="L539" s="562"/>
      <c r="M539" s="562"/>
      <c r="N539" s="562"/>
      <c r="O539" s="569"/>
      <c r="P539" s="570"/>
      <c r="Q539" s="562"/>
      <c r="R539" s="562"/>
      <c r="S539" s="562"/>
      <c r="T539" s="562"/>
      <c r="U539" s="562"/>
      <c r="V539" s="562"/>
      <c r="W539" s="562"/>
      <c r="X539" s="562"/>
      <c r="Y539" s="562"/>
      <c r="Z539" s="562"/>
    </row>
    <row r="540" ht="12.0" customHeight="1">
      <c r="A540" s="562"/>
      <c r="B540" s="562"/>
      <c r="C540" s="562"/>
      <c r="D540" s="562"/>
      <c r="E540" s="562"/>
      <c r="F540" s="562"/>
      <c r="G540" s="562"/>
      <c r="H540" s="562"/>
      <c r="I540" s="562"/>
      <c r="J540" s="562"/>
      <c r="K540" s="562"/>
      <c r="L540" s="562"/>
      <c r="M540" s="562"/>
      <c r="N540" s="562"/>
      <c r="O540" s="569"/>
      <c r="P540" s="570"/>
      <c r="Q540" s="562"/>
      <c r="R540" s="562"/>
      <c r="S540" s="562"/>
      <c r="T540" s="562"/>
      <c r="U540" s="562"/>
      <c r="V540" s="562"/>
      <c r="W540" s="562"/>
      <c r="X540" s="562"/>
      <c r="Y540" s="562"/>
      <c r="Z540" s="562"/>
    </row>
    <row r="541" ht="12.0" customHeight="1">
      <c r="A541" s="562"/>
      <c r="B541" s="562"/>
      <c r="C541" s="562"/>
      <c r="D541" s="562"/>
      <c r="E541" s="562"/>
      <c r="F541" s="562"/>
      <c r="G541" s="562"/>
      <c r="H541" s="562"/>
      <c r="I541" s="562"/>
      <c r="J541" s="562"/>
      <c r="K541" s="562"/>
      <c r="L541" s="562"/>
      <c r="M541" s="562"/>
      <c r="N541" s="562"/>
      <c r="O541" s="569"/>
      <c r="P541" s="570"/>
      <c r="Q541" s="562"/>
      <c r="R541" s="562"/>
      <c r="S541" s="562"/>
      <c r="T541" s="562"/>
      <c r="U541" s="562"/>
      <c r="V541" s="562"/>
      <c r="W541" s="562"/>
      <c r="X541" s="562"/>
      <c r="Y541" s="562"/>
      <c r="Z541" s="562"/>
    </row>
    <row r="542" ht="12.0" customHeight="1">
      <c r="A542" s="562"/>
      <c r="B542" s="562"/>
      <c r="C542" s="562"/>
      <c r="D542" s="562"/>
      <c r="E542" s="562"/>
      <c r="F542" s="562"/>
      <c r="G542" s="562"/>
      <c r="H542" s="562"/>
      <c r="I542" s="562"/>
      <c r="J542" s="562"/>
      <c r="K542" s="562"/>
      <c r="L542" s="562"/>
      <c r="M542" s="562"/>
      <c r="N542" s="562"/>
      <c r="O542" s="569"/>
      <c r="P542" s="570"/>
      <c r="Q542" s="562"/>
      <c r="R542" s="562"/>
      <c r="S542" s="562"/>
      <c r="T542" s="562"/>
      <c r="U542" s="562"/>
      <c r="V542" s="562"/>
      <c r="W542" s="562"/>
      <c r="X542" s="562"/>
      <c r="Y542" s="562"/>
      <c r="Z542" s="562"/>
    </row>
    <row r="543" ht="12.0" customHeight="1">
      <c r="A543" s="562"/>
      <c r="B543" s="562"/>
      <c r="C543" s="562"/>
      <c r="D543" s="562"/>
      <c r="E543" s="562"/>
      <c r="F543" s="562"/>
      <c r="G543" s="562"/>
      <c r="H543" s="562"/>
      <c r="I543" s="562"/>
      <c r="J543" s="562"/>
      <c r="K543" s="562"/>
      <c r="L543" s="562"/>
      <c r="M543" s="562"/>
      <c r="N543" s="562"/>
      <c r="O543" s="569"/>
      <c r="P543" s="570"/>
      <c r="Q543" s="562"/>
      <c r="R543" s="562"/>
      <c r="S543" s="562"/>
      <c r="T543" s="562"/>
      <c r="U543" s="562"/>
      <c r="V543" s="562"/>
      <c r="W543" s="562"/>
      <c r="X543" s="562"/>
      <c r="Y543" s="562"/>
      <c r="Z543" s="562"/>
    </row>
    <row r="544" ht="12.0" customHeight="1">
      <c r="A544" s="562"/>
      <c r="B544" s="562"/>
      <c r="C544" s="562"/>
      <c r="D544" s="562"/>
      <c r="E544" s="562"/>
      <c r="F544" s="562"/>
      <c r="G544" s="562"/>
      <c r="H544" s="562"/>
      <c r="I544" s="562"/>
      <c r="J544" s="562"/>
      <c r="K544" s="562"/>
      <c r="L544" s="562"/>
      <c r="M544" s="562"/>
      <c r="N544" s="562"/>
      <c r="O544" s="569"/>
      <c r="P544" s="570"/>
      <c r="Q544" s="562"/>
      <c r="R544" s="562"/>
      <c r="S544" s="562"/>
      <c r="T544" s="562"/>
      <c r="U544" s="562"/>
      <c r="V544" s="562"/>
      <c r="W544" s="562"/>
      <c r="X544" s="562"/>
      <c r="Y544" s="562"/>
      <c r="Z544" s="562"/>
    </row>
    <row r="545" ht="12.0" customHeight="1">
      <c r="A545" s="562"/>
      <c r="B545" s="562"/>
      <c r="C545" s="562"/>
      <c r="D545" s="562"/>
      <c r="E545" s="562"/>
      <c r="F545" s="562"/>
      <c r="G545" s="562"/>
      <c r="H545" s="562"/>
      <c r="I545" s="562"/>
      <c r="J545" s="562"/>
      <c r="K545" s="562"/>
      <c r="L545" s="562"/>
      <c r="M545" s="562"/>
      <c r="N545" s="562"/>
      <c r="O545" s="569"/>
      <c r="P545" s="570"/>
      <c r="Q545" s="562"/>
      <c r="R545" s="562"/>
      <c r="S545" s="562"/>
      <c r="T545" s="562"/>
      <c r="U545" s="562"/>
      <c r="V545" s="562"/>
      <c r="W545" s="562"/>
      <c r="X545" s="562"/>
      <c r="Y545" s="562"/>
      <c r="Z545" s="562"/>
    </row>
    <row r="546" ht="12.0" customHeight="1">
      <c r="A546" s="562"/>
      <c r="B546" s="562"/>
      <c r="C546" s="562"/>
      <c r="D546" s="562"/>
      <c r="E546" s="562"/>
      <c r="F546" s="562"/>
      <c r="G546" s="562"/>
      <c r="H546" s="562"/>
      <c r="I546" s="562"/>
      <c r="J546" s="562"/>
      <c r="K546" s="562"/>
      <c r="L546" s="562"/>
      <c r="M546" s="562"/>
      <c r="N546" s="562"/>
      <c r="O546" s="569"/>
      <c r="P546" s="570"/>
      <c r="Q546" s="562"/>
      <c r="R546" s="562"/>
      <c r="S546" s="562"/>
      <c r="T546" s="562"/>
      <c r="U546" s="562"/>
      <c r="V546" s="562"/>
      <c r="W546" s="562"/>
      <c r="X546" s="562"/>
      <c r="Y546" s="562"/>
      <c r="Z546" s="562"/>
    </row>
    <row r="547" ht="12.0" customHeight="1">
      <c r="A547" s="562"/>
      <c r="B547" s="562"/>
      <c r="C547" s="562"/>
      <c r="D547" s="562"/>
      <c r="E547" s="562"/>
      <c r="F547" s="562"/>
      <c r="G547" s="562"/>
      <c r="H547" s="562"/>
      <c r="I547" s="562"/>
      <c r="J547" s="562"/>
      <c r="K547" s="562"/>
      <c r="L547" s="562"/>
      <c r="M547" s="562"/>
      <c r="N547" s="562"/>
      <c r="O547" s="569"/>
      <c r="P547" s="570"/>
      <c r="Q547" s="562"/>
      <c r="R547" s="562"/>
      <c r="S547" s="562"/>
      <c r="T547" s="562"/>
      <c r="U547" s="562"/>
      <c r="V547" s="562"/>
      <c r="W547" s="562"/>
      <c r="X547" s="562"/>
      <c r="Y547" s="562"/>
      <c r="Z547" s="562"/>
    </row>
    <row r="548" ht="12.0" customHeight="1">
      <c r="A548" s="562"/>
      <c r="B548" s="562"/>
      <c r="C548" s="562"/>
      <c r="D548" s="562"/>
      <c r="E548" s="562"/>
      <c r="F548" s="562"/>
      <c r="G548" s="562"/>
      <c r="H548" s="562"/>
      <c r="I548" s="562"/>
      <c r="J548" s="562"/>
      <c r="K548" s="562"/>
      <c r="L548" s="562"/>
      <c r="M548" s="562"/>
      <c r="N548" s="562"/>
      <c r="O548" s="569"/>
      <c r="P548" s="570"/>
      <c r="Q548" s="562"/>
      <c r="R548" s="562"/>
      <c r="S548" s="562"/>
      <c r="T548" s="562"/>
      <c r="U548" s="562"/>
      <c r="V548" s="562"/>
      <c r="W548" s="562"/>
      <c r="X548" s="562"/>
      <c r="Y548" s="562"/>
      <c r="Z548" s="562"/>
    </row>
    <row r="549" ht="12.0" customHeight="1">
      <c r="A549" s="562"/>
      <c r="B549" s="562"/>
      <c r="C549" s="562"/>
      <c r="D549" s="562"/>
      <c r="E549" s="562"/>
      <c r="F549" s="562"/>
      <c r="G549" s="562"/>
      <c r="H549" s="562"/>
      <c r="I549" s="562"/>
      <c r="J549" s="562"/>
      <c r="K549" s="562"/>
      <c r="L549" s="562"/>
      <c r="M549" s="562"/>
      <c r="N549" s="562"/>
      <c r="O549" s="569"/>
      <c r="P549" s="570"/>
      <c r="Q549" s="562"/>
      <c r="R549" s="562"/>
      <c r="S549" s="562"/>
      <c r="T549" s="562"/>
      <c r="U549" s="562"/>
      <c r="V549" s="562"/>
      <c r="W549" s="562"/>
      <c r="X549" s="562"/>
      <c r="Y549" s="562"/>
      <c r="Z549" s="562"/>
    </row>
    <row r="550" ht="12.0" customHeight="1">
      <c r="A550" s="562"/>
      <c r="B550" s="562"/>
      <c r="C550" s="562"/>
      <c r="D550" s="562"/>
      <c r="E550" s="562"/>
      <c r="F550" s="562"/>
      <c r="G550" s="562"/>
      <c r="H550" s="562"/>
      <c r="I550" s="562"/>
      <c r="J550" s="562"/>
      <c r="K550" s="562"/>
      <c r="L550" s="562"/>
      <c r="M550" s="562"/>
      <c r="N550" s="562"/>
      <c r="O550" s="569"/>
      <c r="P550" s="570"/>
      <c r="Q550" s="562"/>
      <c r="R550" s="562"/>
      <c r="S550" s="562"/>
      <c r="T550" s="562"/>
      <c r="U550" s="562"/>
      <c r="V550" s="562"/>
      <c r="W550" s="562"/>
      <c r="X550" s="562"/>
      <c r="Y550" s="562"/>
      <c r="Z550" s="562"/>
    </row>
    <row r="551" ht="12.0" customHeight="1">
      <c r="A551" s="562"/>
      <c r="B551" s="562"/>
      <c r="C551" s="562"/>
      <c r="D551" s="562"/>
      <c r="E551" s="562"/>
      <c r="F551" s="562"/>
      <c r="G551" s="562"/>
      <c r="H551" s="562"/>
      <c r="I551" s="562"/>
      <c r="J551" s="562"/>
      <c r="K551" s="562"/>
      <c r="L551" s="562"/>
      <c r="M551" s="562"/>
      <c r="N551" s="562"/>
      <c r="O551" s="569"/>
      <c r="P551" s="570"/>
      <c r="Q551" s="562"/>
      <c r="R551" s="562"/>
      <c r="S551" s="562"/>
      <c r="T551" s="562"/>
      <c r="U551" s="562"/>
      <c r="V551" s="562"/>
      <c r="W551" s="562"/>
      <c r="X551" s="562"/>
      <c r="Y551" s="562"/>
      <c r="Z551" s="562"/>
    </row>
    <row r="552" ht="12.0" customHeight="1">
      <c r="A552" s="562"/>
      <c r="B552" s="562"/>
      <c r="C552" s="562"/>
      <c r="D552" s="562"/>
      <c r="E552" s="562"/>
      <c r="F552" s="562"/>
      <c r="G552" s="562"/>
      <c r="H552" s="562"/>
      <c r="I552" s="562"/>
      <c r="J552" s="562"/>
      <c r="K552" s="562"/>
      <c r="L552" s="562"/>
      <c r="M552" s="562"/>
      <c r="N552" s="562"/>
      <c r="O552" s="569"/>
      <c r="P552" s="570"/>
      <c r="Q552" s="562"/>
      <c r="R552" s="562"/>
      <c r="S552" s="562"/>
      <c r="T552" s="562"/>
      <c r="U552" s="562"/>
      <c r="V552" s="562"/>
      <c r="W552" s="562"/>
      <c r="X552" s="562"/>
      <c r="Y552" s="562"/>
      <c r="Z552" s="562"/>
    </row>
    <row r="553" ht="12.0" customHeight="1">
      <c r="A553" s="562"/>
      <c r="B553" s="562"/>
      <c r="C553" s="562"/>
      <c r="D553" s="562"/>
      <c r="E553" s="562"/>
      <c r="F553" s="562"/>
      <c r="G553" s="562"/>
      <c r="H553" s="562"/>
      <c r="I553" s="562"/>
      <c r="J553" s="562"/>
      <c r="K553" s="562"/>
      <c r="L553" s="562"/>
      <c r="M553" s="562"/>
      <c r="N553" s="562"/>
      <c r="O553" s="569"/>
      <c r="P553" s="570"/>
      <c r="Q553" s="562"/>
      <c r="R553" s="562"/>
      <c r="S553" s="562"/>
      <c r="T553" s="562"/>
      <c r="U553" s="562"/>
      <c r="V553" s="562"/>
      <c r="W553" s="562"/>
      <c r="X553" s="562"/>
      <c r="Y553" s="562"/>
      <c r="Z553" s="562"/>
    </row>
    <row r="554" ht="12.0" customHeight="1">
      <c r="A554" s="562"/>
      <c r="B554" s="562"/>
      <c r="C554" s="562"/>
      <c r="D554" s="562"/>
      <c r="E554" s="562"/>
      <c r="F554" s="562"/>
      <c r="G554" s="562"/>
      <c r="H554" s="562"/>
      <c r="I554" s="562"/>
      <c r="J554" s="562"/>
      <c r="K554" s="562"/>
      <c r="L554" s="562"/>
      <c r="M554" s="562"/>
      <c r="N554" s="562"/>
      <c r="O554" s="569"/>
      <c r="P554" s="570"/>
      <c r="Q554" s="562"/>
      <c r="R554" s="562"/>
      <c r="S554" s="562"/>
      <c r="T554" s="562"/>
      <c r="U554" s="562"/>
      <c r="V554" s="562"/>
      <c r="W554" s="562"/>
      <c r="X554" s="562"/>
      <c r="Y554" s="562"/>
      <c r="Z554" s="562"/>
    </row>
    <row r="555" ht="12.0" customHeight="1">
      <c r="A555" s="562"/>
      <c r="B555" s="562"/>
      <c r="C555" s="562"/>
      <c r="D555" s="562"/>
      <c r="E555" s="562"/>
      <c r="F555" s="562"/>
      <c r="G555" s="562"/>
      <c r="H555" s="562"/>
      <c r="I555" s="562"/>
      <c r="J555" s="562"/>
      <c r="K555" s="562"/>
      <c r="L555" s="562"/>
      <c r="M555" s="562"/>
      <c r="N555" s="562"/>
      <c r="O555" s="569"/>
      <c r="P555" s="570"/>
      <c r="Q555" s="562"/>
      <c r="R555" s="562"/>
      <c r="S555" s="562"/>
      <c r="T555" s="562"/>
      <c r="U555" s="562"/>
      <c r="V555" s="562"/>
      <c r="W555" s="562"/>
      <c r="X555" s="562"/>
      <c r="Y555" s="562"/>
      <c r="Z555" s="562"/>
    </row>
    <row r="556" ht="12.0" customHeight="1">
      <c r="A556" s="562"/>
      <c r="B556" s="562"/>
      <c r="C556" s="562"/>
      <c r="D556" s="562"/>
      <c r="E556" s="562"/>
      <c r="F556" s="562"/>
      <c r="G556" s="562"/>
      <c r="H556" s="562"/>
      <c r="I556" s="562"/>
      <c r="J556" s="562"/>
      <c r="K556" s="562"/>
      <c r="L556" s="562"/>
      <c r="M556" s="562"/>
      <c r="N556" s="562"/>
      <c r="O556" s="569"/>
      <c r="P556" s="570"/>
      <c r="Q556" s="562"/>
      <c r="R556" s="562"/>
      <c r="S556" s="562"/>
      <c r="T556" s="562"/>
      <c r="U556" s="562"/>
      <c r="V556" s="562"/>
      <c r="W556" s="562"/>
      <c r="X556" s="562"/>
      <c r="Y556" s="562"/>
      <c r="Z556" s="562"/>
    </row>
    <row r="557" ht="12.0" customHeight="1">
      <c r="A557" s="562"/>
      <c r="B557" s="562"/>
      <c r="C557" s="562"/>
      <c r="D557" s="562"/>
      <c r="E557" s="562"/>
      <c r="F557" s="562"/>
      <c r="G557" s="562"/>
      <c r="H557" s="562"/>
      <c r="I557" s="562"/>
      <c r="J557" s="562"/>
      <c r="K557" s="562"/>
      <c r="L557" s="562"/>
      <c r="M557" s="562"/>
      <c r="N557" s="562"/>
      <c r="O557" s="569"/>
      <c r="P557" s="570"/>
      <c r="Q557" s="562"/>
      <c r="R557" s="562"/>
      <c r="S557" s="562"/>
      <c r="T557" s="562"/>
      <c r="U557" s="562"/>
      <c r="V557" s="562"/>
      <c r="W557" s="562"/>
      <c r="X557" s="562"/>
      <c r="Y557" s="562"/>
      <c r="Z557" s="562"/>
    </row>
    <row r="558" ht="12.0" customHeight="1">
      <c r="A558" s="562"/>
      <c r="B558" s="562"/>
      <c r="C558" s="562"/>
      <c r="D558" s="562"/>
      <c r="E558" s="562"/>
      <c r="F558" s="562"/>
      <c r="G558" s="562"/>
      <c r="H558" s="562"/>
      <c r="I558" s="562"/>
      <c r="J558" s="562"/>
      <c r="K558" s="562"/>
      <c r="L558" s="562"/>
      <c r="M558" s="562"/>
      <c r="N558" s="562"/>
      <c r="O558" s="569"/>
      <c r="P558" s="570"/>
      <c r="Q558" s="562"/>
      <c r="R558" s="562"/>
      <c r="S558" s="562"/>
      <c r="T558" s="562"/>
      <c r="U558" s="562"/>
      <c r="V558" s="562"/>
      <c r="W558" s="562"/>
      <c r="X558" s="562"/>
      <c r="Y558" s="562"/>
      <c r="Z558" s="562"/>
    </row>
    <row r="559" ht="12.0" customHeight="1">
      <c r="A559" s="562"/>
      <c r="B559" s="562"/>
      <c r="C559" s="562"/>
      <c r="D559" s="562"/>
      <c r="E559" s="562"/>
      <c r="F559" s="562"/>
      <c r="G559" s="562"/>
      <c r="H559" s="562"/>
      <c r="I559" s="562"/>
      <c r="J559" s="562"/>
      <c r="K559" s="562"/>
      <c r="L559" s="562"/>
      <c r="M559" s="562"/>
      <c r="N559" s="562"/>
      <c r="O559" s="569"/>
      <c r="P559" s="570"/>
      <c r="Q559" s="562"/>
      <c r="R559" s="562"/>
      <c r="S559" s="562"/>
      <c r="T559" s="562"/>
      <c r="U559" s="562"/>
      <c r="V559" s="562"/>
      <c r="W559" s="562"/>
      <c r="X559" s="562"/>
      <c r="Y559" s="562"/>
      <c r="Z559" s="562"/>
    </row>
    <row r="560" ht="12.0" customHeight="1">
      <c r="A560" s="562"/>
      <c r="B560" s="562"/>
      <c r="C560" s="562"/>
      <c r="D560" s="562"/>
      <c r="E560" s="562"/>
      <c r="F560" s="562"/>
      <c r="G560" s="562"/>
      <c r="H560" s="562"/>
      <c r="I560" s="562"/>
      <c r="J560" s="562"/>
      <c r="K560" s="562"/>
      <c r="L560" s="562"/>
      <c r="M560" s="562"/>
      <c r="N560" s="562"/>
      <c r="O560" s="569"/>
      <c r="P560" s="570"/>
      <c r="Q560" s="562"/>
      <c r="R560" s="562"/>
      <c r="S560" s="562"/>
      <c r="T560" s="562"/>
      <c r="U560" s="562"/>
      <c r="V560" s="562"/>
      <c r="W560" s="562"/>
      <c r="X560" s="562"/>
      <c r="Y560" s="562"/>
      <c r="Z560" s="562"/>
    </row>
    <row r="561" ht="12.0" customHeight="1">
      <c r="A561" s="562"/>
      <c r="B561" s="562"/>
      <c r="C561" s="562"/>
      <c r="D561" s="562"/>
      <c r="E561" s="562"/>
      <c r="F561" s="562"/>
      <c r="G561" s="562"/>
      <c r="H561" s="562"/>
      <c r="I561" s="562"/>
      <c r="J561" s="562"/>
      <c r="K561" s="562"/>
      <c r="L561" s="562"/>
      <c r="M561" s="562"/>
      <c r="N561" s="562"/>
      <c r="O561" s="569"/>
      <c r="P561" s="570"/>
      <c r="Q561" s="562"/>
      <c r="R561" s="562"/>
      <c r="S561" s="562"/>
      <c r="T561" s="562"/>
      <c r="U561" s="562"/>
      <c r="V561" s="562"/>
      <c r="W561" s="562"/>
      <c r="X561" s="562"/>
      <c r="Y561" s="562"/>
      <c r="Z561" s="562"/>
    </row>
    <row r="562" ht="12.0" customHeight="1">
      <c r="A562" s="562"/>
      <c r="B562" s="562"/>
      <c r="C562" s="562"/>
      <c r="D562" s="562"/>
      <c r="E562" s="562"/>
      <c r="F562" s="562"/>
      <c r="G562" s="562"/>
      <c r="H562" s="562"/>
      <c r="I562" s="562"/>
      <c r="J562" s="562"/>
      <c r="K562" s="562"/>
      <c r="L562" s="562"/>
      <c r="M562" s="562"/>
      <c r="N562" s="562"/>
      <c r="O562" s="569"/>
      <c r="P562" s="570"/>
      <c r="Q562" s="562"/>
      <c r="R562" s="562"/>
      <c r="S562" s="562"/>
      <c r="T562" s="562"/>
      <c r="U562" s="562"/>
      <c r="V562" s="562"/>
      <c r="W562" s="562"/>
      <c r="X562" s="562"/>
      <c r="Y562" s="562"/>
      <c r="Z562" s="562"/>
    </row>
    <row r="563" ht="12.0" customHeight="1">
      <c r="A563" s="562"/>
      <c r="B563" s="562"/>
      <c r="C563" s="562"/>
      <c r="D563" s="562"/>
      <c r="E563" s="562"/>
      <c r="F563" s="562"/>
      <c r="G563" s="562"/>
      <c r="H563" s="562"/>
      <c r="I563" s="562"/>
      <c r="J563" s="562"/>
      <c r="K563" s="562"/>
      <c r="L563" s="562"/>
      <c r="M563" s="562"/>
      <c r="N563" s="562"/>
      <c r="O563" s="569"/>
      <c r="P563" s="570"/>
      <c r="Q563" s="562"/>
      <c r="R563" s="562"/>
      <c r="S563" s="562"/>
      <c r="T563" s="562"/>
      <c r="U563" s="562"/>
      <c r="V563" s="562"/>
      <c r="W563" s="562"/>
      <c r="X563" s="562"/>
      <c r="Y563" s="562"/>
      <c r="Z563" s="562"/>
    </row>
    <row r="564" ht="12.0" customHeight="1">
      <c r="A564" s="562"/>
      <c r="B564" s="562"/>
      <c r="C564" s="562"/>
      <c r="D564" s="562"/>
      <c r="E564" s="562"/>
      <c r="F564" s="562"/>
      <c r="G564" s="562"/>
      <c r="H564" s="562"/>
      <c r="I564" s="562"/>
      <c r="J564" s="562"/>
      <c r="K564" s="562"/>
      <c r="L564" s="562"/>
      <c r="M564" s="562"/>
      <c r="N564" s="562"/>
      <c r="O564" s="569"/>
      <c r="P564" s="570"/>
      <c r="Q564" s="562"/>
      <c r="R564" s="562"/>
      <c r="S564" s="562"/>
      <c r="T564" s="562"/>
      <c r="U564" s="562"/>
      <c r="V564" s="562"/>
      <c r="W564" s="562"/>
      <c r="X564" s="562"/>
      <c r="Y564" s="562"/>
      <c r="Z564" s="562"/>
    </row>
    <row r="565" ht="12.0" customHeight="1">
      <c r="A565" s="562"/>
      <c r="B565" s="562"/>
      <c r="C565" s="562"/>
      <c r="D565" s="562"/>
      <c r="E565" s="562"/>
      <c r="F565" s="562"/>
      <c r="G565" s="562"/>
      <c r="H565" s="562"/>
      <c r="I565" s="562"/>
      <c r="J565" s="562"/>
      <c r="K565" s="562"/>
      <c r="L565" s="562"/>
      <c r="M565" s="562"/>
      <c r="N565" s="562"/>
      <c r="O565" s="569"/>
      <c r="P565" s="570"/>
      <c r="Q565" s="562"/>
      <c r="R565" s="562"/>
      <c r="S565" s="562"/>
      <c r="T565" s="562"/>
      <c r="U565" s="562"/>
      <c r="V565" s="562"/>
      <c r="W565" s="562"/>
      <c r="X565" s="562"/>
      <c r="Y565" s="562"/>
      <c r="Z565" s="562"/>
    </row>
    <row r="566" ht="12.0" customHeight="1">
      <c r="A566" s="562"/>
      <c r="B566" s="562"/>
      <c r="C566" s="562"/>
      <c r="D566" s="562"/>
      <c r="E566" s="562"/>
      <c r="F566" s="562"/>
      <c r="G566" s="562"/>
      <c r="H566" s="562"/>
      <c r="I566" s="562"/>
      <c r="J566" s="562"/>
      <c r="K566" s="562"/>
      <c r="L566" s="562"/>
      <c r="M566" s="562"/>
      <c r="N566" s="562"/>
      <c r="O566" s="569"/>
      <c r="P566" s="570"/>
      <c r="Q566" s="562"/>
      <c r="R566" s="562"/>
      <c r="S566" s="562"/>
      <c r="T566" s="562"/>
      <c r="U566" s="562"/>
      <c r="V566" s="562"/>
      <c r="W566" s="562"/>
      <c r="X566" s="562"/>
      <c r="Y566" s="562"/>
      <c r="Z566" s="562"/>
    </row>
    <row r="567" ht="12.0" customHeight="1">
      <c r="A567" s="562"/>
      <c r="B567" s="562"/>
      <c r="C567" s="562"/>
      <c r="D567" s="562"/>
      <c r="E567" s="562"/>
      <c r="F567" s="562"/>
      <c r="G567" s="562"/>
      <c r="H567" s="562"/>
      <c r="I567" s="562"/>
      <c r="J567" s="562"/>
      <c r="K567" s="562"/>
      <c r="L567" s="562"/>
      <c r="M567" s="562"/>
      <c r="N567" s="562"/>
      <c r="O567" s="569"/>
      <c r="P567" s="570"/>
      <c r="Q567" s="562"/>
      <c r="R567" s="562"/>
      <c r="S567" s="562"/>
      <c r="T567" s="562"/>
      <c r="U567" s="562"/>
      <c r="V567" s="562"/>
      <c r="W567" s="562"/>
      <c r="X567" s="562"/>
      <c r="Y567" s="562"/>
      <c r="Z567" s="562"/>
    </row>
    <row r="568" ht="12.0" customHeight="1">
      <c r="A568" s="562"/>
      <c r="B568" s="562"/>
      <c r="C568" s="562"/>
      <c r="D568" s="562"/>
      <c r="E568" s="562"/>
      <c r="F568" s="562"/>
      <c r="G568" s="562"/>
      <c r="H568" s="562"/>
      <c r="I568" s="562"/>
      <c r="J568" s="562"/>
      <c r="K568" s="562"/>
      <c r="L568" s="562"/>
      <c r="M568" s="562"/>
      <c r="N568" s="562"/>
      <c r="O568" s="569"/>
      <c r="P568" s="570"/>
      <c r="Q568" s="562"/>
      <c r="R568" s="562"/>
      <c r="S568" s="562"/>
      <c r="T568" s="562"/>
      <c r="U568" s="562"/>
      <c r="V568" s="562"/>
      <c r="W568" s="562"/>
      <c r="X568" s="562"/>
      <c r="Y568" s="562"/>
      <c r="Z568" s="562"/>
    </row>
    <row r="569" ht="12.0" customHeight="1">
      <c r="A569" s="562"/>
      <c r="B569" s="562"/>
      <c r="C569" s="562"/>
      <c r="D569" s="562"/>
      <c r="E569" s="562"/>
      <c r="F569" s="562"/>
      <c r="G569" s="562"/>
      <c r="H569" s="562"/>
      <c r="I569" s="562"/>
      <c r="J569" s="562"/>
      <c r="K569" s="562"/>
      <c r="L569" s="562"/>
      <c r="M569" s="562"/>
      <c r="N569" s="562"/>
      <c r="O569" s="569"/>
      <c r="P569" s="570"/>
      <c r="Q569" s="562"/>
      <c r="R569" s="562"/>
      <c r="S569" s="562"/>
      <c r="T569" s="562"/>
      <c r="U569" s="562"/>
      <c r="V569" s="562"/>
      <c r="W569" s="562"/>
      <c r="X569" s="562"/>
      <c r="Y569" s="562"/>
      <c r="Z569" s="562"/>
    </row>
    <row r="570" ht="12.0" customHeight="1">
      <c r="A570" s="562"/>
      <c r="B570" s="562"/>
      <c r="C570" s="562"/>
      <c r="D570" s="562"/>
      <c r="E570" s="562"/>
      <c r="F570" s="562"/>
      <c r="G570" s="562"/>
      <c r="H570" s="562"/>
      <c r="I570" s="562"/>
      <c r="J570" s="562"/>
      <c r="K570" s="562"/>
      <c r="L570" s="562"/>
      <c r="M570" s="562"/>
      <c r="N570" s="562"/>
      <c r="O570" s="569"/>
      <c r="P570" s="570"/>
      <c r="Q570" s="562"/>
      <c r="R570" s="562"/>
      <c r="S570" s="562"/>
      <c r="T570" s="562"/>
      <c r="U570" s="562"/>
      <c r="V570" s="562"/>
      <c r="W570" s="562"/>
      <c r="X570" s="562"/>
      <c r="Y570" s="562"/>
      <c r="Z570" s="562"/>
    </row>
    <row r="571" ht="12.0" customHeight="1">
      <c r="A571" s="562"/>
      <c r="B571" s="562"/>
      <c r="C571" s="562"/>
      <c r="D571" s="562"/>
      <c r="E571" s="562"/>
      <c r="F571" s="562"/>
      <c r="G571" s="562"/>
      <c r="H571" s="562"/>
      <c r="I571" s="562"/>
      <c r="J571" s="562"/>
      <c r="K571" s="562"/>
      <c r="L571" s="562"/>
      <c r="M571" s="562"/>
      <c r="N571" s="562"/>
      <c r="O571" s="569"/>
      <c r="P571" s="570"/>
      <c r="Q571" s="562"/>
      <c r="R571" s="562"/>
      <c r="S571" s="562"/>
      <c r="T571" s="562"/>
      <c r="U571" s="562"/>
      <c r="V571" s="562"/>
      <c r="W571" s="562"/>
      <c r="X571" s="562"/>
      <c r="Y571" s="562"/>
      <c r="Z571" s="562"/>
    </row>
    <row r="572" ht="12.0" customHeight="1">
      <c r="A572" s="562"/>
      <c r="B572" s="562"/>
      <c r="C572" s="562"/>
      <c r="D572" s="562"/>
      <c r="E572" s="562"/>
      <c r="F572" s="562"/>
      <c r="G572" s="562"/>
      <c r="H572" s="562"/>
      <c r="I572" s="562"/>
      <c r="J572" s="562"/>
      <c r="K572" s="562"/>
      <c r="L572" s="562"/>
      <c r="M572" s="562"/>
      <c r="N572" s="562"/>
      <c r="O572" s="569"/>
      <c r="P572" s="570"/>
      <c r="Q572" s="562"/>
      <c r="R572" s="562"/>
      <c r="S572" s="562"/>
      <c r="T572" s="562"/>
      <c r="U572" s="562"/>
      <c r="V572" s="562"/>
      <c r="W572" s="562"/>
      <c r="X572" s="562"/>
      <c r="Y572" s="562"/>
      <c r="Z572" s="562"/>
    </row>
    <row r="573" ht="12.0" customHeight="1">
      <c r="A573" s="562"/>
      <c r="B573" s="562"/>
      <c r="C573" s="562"/>
      <c r="D573" s="562"/>
      <c r="E573" s="562"/>
      <c r="F573" s="562"/>
      <c r="G573" s="562"/>
      <c r="H573" s="562"/>
      <c r="I573" s="562"/>
      <c r="J573" s="562"/>
      <c r="K573" s="562"/>
      <c r="L573" s="562"/>
      <c r="M573" s="562"/>
      <c r="N573" s="562"/>
      <c r="O573" s="569"/>
      <c r="P573" s="570"/>
      <c r="Q573" s="562"/>
      <c r="R573" s="562"/>
      <c r="S573" s="562"/>
      <c r="T573" s="562"/>
      <c r="U573" s="562"/>
      <c r="V573" s="562"/>
      <c r="W573" s="562"/>
      <c r="X573" s="562"/>
      <c r="Y573" s="562"/>
      <c r="Z573" s="562"/>
    </row>
    <row r="574" ht="12.0" customHeight="1">
      <c r="A574" s="562"/>
      <c r="B574" s="562"/>
      <c r="C574" s="562"/>
      <c r="D574" s="562"/>
      <c r="E574" s="562"/>
      <c r="F574" s="562"/>
      <c r="G574" s="562"/>
      <c r="H574" s="562"/>
      <c r="I574" s="562"/>
      <c r="J574" s="562"/>
      <c r="K574" s="562"/>
      <c r="L574" s="562"/>
      <c r="M574" s="562"/>
      <c r="N574" s="562"/>
      <c r="O574" s="569"/>
      <c r="P574" s="570"/>
      <c r="Q574" s="562"/>
      <c r="R574" s="562"/>
      <c r="S574" s="562"/>
      <c r="T574" s="562"/>
      <c r="U574" s="562"/>
      <c r="V574" s="562"/>
      <c r="W574" s="562"/>
      <c r="X574" s="562"/>
      <c r="Y574" s="562"/>
      <c r="Z574" s="562"/>
    </row>
    <row r="575" ht="12.0" customHeight="1">
      <c r="A575" s="562"/>
      <c r="B575" s="562"/>
      <c r="C575" s="562"/>
      <c r="D575" s="562"/>
      <c r="E575" s="562"/>
      <c r="F575" s="562"/>
      <c r="G575" s="562"/>
      <c r="H575" s="562"/>
      <c r="I575" s="562"/>
      <c r="J575" s="562"/>
      <c r="K575" s="562"/>
      <c r="L575" s="562"/>
      <c r="M575" s="562"/>
      <c r="N575" s="562"/>
      <c r="O575" s="569"/>
      <c r="P575" s="570"/>
      <c r="Q575" s="562"/>
      <c r="R575" s="562"/>
      <c r="S575" s="562"/>
      <c r="T575" s="562"/>
      <c r="U575" s="562"/>
      <c r="V575" s="562"/>
      <c r="W575" s="562"/>
      <c r="X575" s="562"/>
      <c r="Y575" s="562"/>
      <c r="Z575" s="562"/>
    </row>
    <row r="576" ht="12.0" customHeight="1">
      <c r="A576" s="562"/>
      <c r="B576" s="562"/>
      <c r="C576" s="562"/>
      <c r="D576" s="562"/>
      <c r="E576" s="562"/>
      <c r="F576" s="562"/>
      <c r="G576" s="562"/>
      <c r="H576" s="562"/>
      <c r="I576" s="562"/>
      <c r="J576" s="562"/>
      <c r="K576" s="562"/>
      <c r="L576" s="562"/>
      <c r="M576" s="562"/>
      <c r="N576" s="562"/>
      <c r="O576" s="569"/>
      <c r="P576" s="570"/>
      <c r="Q576" s="562"/>
      <c r="R576" s="562"/>
      <c r="S576" s="562"/>
      <c r="T576" s="562"/>
      <c r="U576" s="562"/>
      <c r="V576" s="562"/>
      <c r="W576" s="562"/>
      <c r="X576" s="562"/>
      <c r="Y576" s="562"/>
      <c r="Z576" s="562"/>
    </row>
    <row r="577" ht="12.0" customHeight="1">
      <c r="A577" s="562"/>
      <c r="B577" s="562"/>
      <c r="C577" s="562"/>
      <c r="D577" s="562"/>
      <c r="E577" s="562"/>
      <c r="F577" s="562"/>
      <c r="G577" s="562"/>
      <c r="H577" s="562"/>
      <c r="I577" s="562"/>
      <c r="J577" s="562"/>
      <c r="K577" s="562"/>
      <c r="L577" s="562"/>
      <c r="M577" s="562"/>
      <c r="N577" s="562"/>
      <c r="O577" s="569"/>
      <c r="P577" s="570"/>
      <c r="Q577" s="562"/>
      <c r="R577" s="562"/>
      <c r="S577" s="562"/>
      <c r="T577" s="562"/>
      <c r="U577" s="562"/>
      <c r="V577" s="562"/>
      <c r="W577" s="562"/>
      <c r="X577" s="562"/>
      <c r="Y577" s="562"/>
      <c r="Z577" s="562"/>
    </row>
    <row r="578" ht="12.0" customHeight="1">
      <c r="A578" s="562"/>
      <c r="B578" s="562"/>
      <c r="C578" s="562"/>
      <c r="D578" s="562"/>
      <c r="E578" s="562"/>
      <c r="F578" s="562"/>
      <c r="G578" s="562"/>
      <c r="H578" s="562"/>
      <c r="I578" s="562"/>
      <c r="J578" s="562"/>
      <c r="K578" s="562"/>
      <c r="L578" s="562"/>
      <c r="M578" s="562"/>
      <c r="N578" s="562"/>
      <c r="O578" s="569"/>
      <c r="P578" s="570"/>
      <c r="Q578" s="562"/>
      <c r="R578" s="562"/>
      <c r="S578" s="562"/>
      <c r="T578" s="562"/>
      <c r="U578" s="562"/>
      <c r="V578" s="562"/>
      <c r="W578" s="562"/>
      <c r="X578" s="562"/>
      <c r="Y578" s="562"/>
      <c r="Z578" s="562"/>
    </row>
    <row r="579" ht="12.0" customHeight="1">
      <c r="A579" s="562"/>
      <c r="B579" s="562"/>
      <c r="C579" s="562"/>
      <c r="D579" s="562"/>
      <c r="E579" s="562"/>
      <c r="F579" s="562"/>
      <c r="G579" s="562"/>
      <c r="H579" s="562"/>
      <c r="I579" s="562"/>
      <c r="J579" s="562"/>
      <c r="K579" s="562"/>
      <c r="L579" s="562"/>
      <c r="M579" s="562"/>
      <c r="N579" s="562"/>
      <c r="O579" s="569"/>
      <c r="P579" s="570"/>
      <c r="Q579" s="562"/>
      <c r="R579" s="562"/>
      <c r="S579" s="562"/>
      <c r="T579" s="562"/>
      <c r="U579" s="562"/>
      <c r="V579" s="562"/>
      <c r="W579" s="562"/>
      <c r="X579" s="562"/>
      <c r="Y579" s="562"/>
      <c r="Z579" s="562"/>
    </row>
    <row r="580" ht="12.0" customHeight="1">
      <c r="A580" s="562"/>
      <c r="B580" s="562"/>
      <c r="C580" s="562"/>
      <c r="D580" s="562"/>
      <c r="E580" s="562"/>
      <c r="F580" s="562"/>
      <c r="G580" s="562"/>
      <c r="H580" s="562"/>
      <c r="I580" s="562"/>
      <c r="J580" s="562"/>
      <c r="K580" s="562"/>
      <c r="L580" s="562"/>
      <c r="M580" s="562"/>
      <c r="N580" s="562"/>
      <c r="O580" s="569"/>
      <c r="P580" s="570"/>
      <c r="Q580" s="562"/>
      <c r="R580" s="562"/>
      <c r="S580" s="562"/>
      <c r="T580" s="562"/>
      <c r="U580" s="562"/>
      <c r="V580" s="562"/>
      <c r="W580" s="562"/>
      <c r="X580" s="562"/>
      <c r="Y580" s="562"/>
      <c r="Z580" s="562"/>
    </row>
    <row r="581" ht="12.0" customHeight="1">
      <c r="A581" s="562"/>
      <c r="B581" s="562"/>
      <c r="C581" s="562"/>
      <c r="D581" s="562"/>
      <c r="E581" s="562"/>
      <c r="F581" s="562"/>
      <c r="G581" s="562"/>
      <c r="H581" s="562"/>
      <c r="I581" s="562"/>
      <c r="J581" s="562"/>
      <c r="K581" s="562"/>
      <c r="L581" s="562"/>
      <c r="M581" s="562"/>
      <c r="N581" s="562"/>
      <c r="O581" s="569"/>
      <c r="P581" s="570"/>
      <c r="Q581" s="562"/>
      <c r="R581" s="562"/>
      <c r="S581" s="562"/>
      <c r="T581" s="562"/>
      <c r="U581" s="562"/>
      <c r="V581" s="562"/>
      <c r="W581" s="562"/>
      <c r="X581" s="562"/>
      <c r="Y581" s="562"/>
      <c r="Z581" s="562"/>
    </row>
    <row r="582" ht="12.0" customHeight="1">
      <c r="A582" s="562"/>
      <c r="B582" s="562"/>
      <c r="C582" s="562"/>
      <c r="D582" s="562"/>
      <c r="E582" s="562"/>
      <c r="F582" s="562"/>
      <c r="G582" s="562"/>
      <c r="H582" s="562"/>
      <c r="I582" s="562"/>
      <c r="J582" s="562"/>
      <c r="K582" s="562"/>
      <c r="L582" s="562"/>
      <c r="M582" s="562"/>
      <c r="N582" s="562"/>
      <c r="O582" s="569"/>
      <c r="P582" s="570"/>
      <c r="Q582" s="562"/>
      <c r="R582" s="562"/>
      <c r="S582" s="562"/>
      <c r="T582" s="562"/>
      <c r="U582" s="562"/>
      <c r="V582" s="562"/>
      <c r="W582" s="562"/>
      <c r="X582" s="562"/>
      <c r="Y582" s="562"/>
      <c r="Z582" s="562"/>
    </row>
    <row r="583" ht="12.0" customHeight="1">
      <c r="A583" s="562"/>
      <c r="B583" s="562"/>
      <c r="C583" s="562"/>
      <c r="D583" s="562"/>
      <c r="E583" s="562"/>
      <c r="F583" s="562"/>
      <c r="G583" s="562"/>
      <c r="H583" s="562"/>
      <c r="I583" s="562"/>
      <c r="J583" s="562"/>
      <c r="K583" s="562"/>
      <c r="L583" s="562"/>
      <c r="M583" s="562"/>
      <c r="N583" s="562"/>
      <c r="O583" s="569"/>
      <c r="P583" s="570"/>
      <c r="Q583" s="562"/>
      <c r="R583" s="562"/>
      <c r="S583" s="562"/>
      <c r="T583" s="562"/>
      <c r="U583" s="562"/>
      <c r="V583" s="562"/>
      <c r="W583" s="562"/>
      <c r="X583" s="562"/>
      <c r="Y583" s="562"/>
      <c r="Z583" s="562"/>
    </row>
    <row r="584" ht="12.0" customHeight="1">
      <c r="A584" s="562"/>
      <c r="B584" s="562"/>
      <c r="C584" s="562"/>
      <c r="D584" s="562"/>
      <c r="E584" s="562"/>
      <c r="F584" s="562"/>
      <c r="G584" s="562"/>
      <c r="H584" s="562"/>
      <c r="I584" s="562"/>
      <c r="J584" s="562"/>
      <c r="K584" s="562"/>
      <c r="L584" s="562"/>
      <c r="M584" s="562"/>
      <c r="N584" s="562"/>
      <c r="O584" s="569"/>
      <c r="P584" s="570"/>
      <c r="Q584" s="562"/>
      <c r="R584" s="562"/>
      <c r="S584" s="562"/>
      <c r="T584" s="562"/>
      <c r="U584" s="562"/>
      <c r="V584" s="562"/>
      <c r="W584" s="562"/>
      <c r="X584" s="562"/>
      <c r="Y584" s="562"/>
      <c r="Z584" s="562"/>
    </row>
    <row r="585" ht="12.0" customHeight="1">
      <c r="A585" s="562"/>
      <c r="B585" s="562"/>
      <c r="C585" s="562"/>
      <c r="D585" s="562"/>
      <c r="E585" s="562"/>
      <c r="F585" s="562"/>
      <c r="G585" s="562"/>
      <c r="H585" s="562"/>
      <c r="I585" s="562"/>
      <c r="J585" s="562"/>
      <c r="K585" s="562"/>
      <c r="L585" s="562"/>
      <c r="M585" s="562"/>
      <c r="N585" s="562"/>
      <c r="O585" s="569"/>
      <c r="P585" s="570"/>
      <c r="Q585" s="562"/>
      <c r="R585" s="562"/>
      <c r="S585" s="562"/>
      <c r="T585" s="562"/>
      <c r="U585" s="562"/>
      <c r="V585" s="562"/>
      <c r="W585" s="562"/>
      <c r="X585" s="562"/>
      <c r="Y585" s="562"/>
      <c r="Z585" s="562"/>
    </row>
    <row r="586" ht="12.0" customHeight="1">
      <c r="A586" s="562"/>
      <c r="B586" s="562"/>
      <c r="C586" s="562"/>
      <c r="D586" s="562"/>
      <c r="E586" s="562"/>
      <c r="F586" s="562"/>
      <c r="G586" s="562"/>
      <c r="H586" s="562"/>
      <c r="I586" s="562"/>
      <c r="J586" s="562"/>
      <c r="K586" s="562"/>
      <c r="L586" s="562"/>
      <c r="M586" s="562"/>
      <c r="N586" s="562"/>
      <c r="O586" s="569"/>
      <c r="P586" s="570"/>
      <c r="Q586" s="562"/>
      <c r="R586" s="562"/>
      <c r="S586" s="562"/>
      <c r="T586" s="562"/>
      <c r="U586" s="562"/>
      <c r="V586" s="562"/>
      <c r="W586" s="562"/>
      <c r="X586" s="562"/>
      <c r="Y586" s="562"/>
      <c r="Z586" s="562"/>
    </row>
    <row r="587" ht="12.0" customHeight="1">
      <c r="A587" s="562"/>
      <c r="B587" s="562"/>
      <c r="C587" s="562"/>
      <c r="D587" s="562"/>
      <c r="E587" s="562"/>
      <c r="F587" s="562"/>
      <c r="G587" s="562"/>
      <c r="H587" s="562"/>
      <c r="I587" s="562"/>
      <c r="J587" s="562"/>
      <c r="K587" s="562"/>
      <c r="L587" s="562"/>
      <c r="M587" s="562"/>
      <c r="N587" s="562"/>
      <c r="O587" s="569"/>
      <c r="P587" s="570"/>
      <c r="Q587" s="562"/>
      <c r="R587" s="562"/>
      <c r="S587" s="562"/>
      <c r="T587" s="562"/>
      <c r="U587" s="562"/>
      <c r="V587" s="562"/>
      <c r="W587" s="562"/>
      <c r="X587" s="562"/>
      <c r="Y587" s="562"/>
      <c r="Z587" s="562"/>
    </row>
    <row r="588" ht="12.0" customHeight="1">
      <c r="A588" s="562"/>
      <c r="B588" s="562"/>
      <c r="C588" s="562"/>
      <c r="D588" s="562"/>
      <c r="E588" s="562"/>
      <c r="F588" s="562"/>
      <c r="G588" s="562"/>
      <c r="H588" s="562"/>
      <c r="I588" s="562"/>
      <c r="J588" s="562"/>
      <c r="K588" s="562"/>
      <c r="L588" s="562"/>
      <c r="M588" s="562"/>
      <c r="N588" s="562"/>
      <c r="O588" s="569"/>
      <c r="P588" s="570"/>
      <c r="Q588" s="562"/>
      <c r="R588" s="562"/>
      <c r="S588" s="562"/>
      <c r="T588" s="562"/>
      <c r="U588" s="562"/>
      <c r="V588" s="562"/>
      <c r="W588" s="562"/>
      <c r="X588" s="562"/>
      <c r="Y588" s="562"/>
      <c r="Z588" s="562"/>
    </row>
    <row r="589" ht="12.0" customHeight="1">
      <c r="A589" s="562"/>
      <c r="B589" s="562"/>
      <c r="C589" s="562"/>
      <c r="D589" s="562"/>
      <c r="E589" s="562"/>
      <c r="F589" s="562"/>
      <c r="G589" s="562"/>
      <c r="H589" s="562"/>
      <c r="I589" s="562"/>
      <c r="J589" s="562"/>
      <c r="K589" s="562"/>
      <c r="L589" s="562"/>
      <c r="M589" s="562"/>
      <c r="N589" s="562"/>
      <c r="O589" s="569"/>
      <c r="P589" s="570"/>
      <c r="Q589" s="562"/>
      <c r="R589" s="562"/>
      <c r="S589" s="562"/>
      <c r="T589" s="562"/>
      <c r="U589" s="562"/>
      <c r="V589" s="562"/>
      <c r="W589" s="562"/>
      <c r="X589" s="562"/>
      <c r="Y589" s="562"/>
      <c r="Z589" s="562"/>
    </row>
    <row r="590" ht="12.0" customHeight="1">
      <c r="A590" s="562"/>
      <c r="B590" s="562"/>
      <c r="C590" s="562"/>
      <c r="D590" s="562"/>
      <c r="E590" s="562"/>
      <c r="F590" s="562"/>
      <c r="G590" s="562"/>
      <c r="H590" s="562"/>
      <c r="I590" s="562"/>
      <c r="J590" s="562"/>
      <c r="K590" s="562"/>
      <c r="L590" s="562"/>
      <c r="M590" s="562"/>
      <c r="N590" s="562"/>
      <c r="O590" s="569"/>
      <c r="P590" s="570"/>
      <c r="Q590" s="562"/>
      <c r="R590" s="562"/>
      <c r="S590" s="562"/>
      <c r="T590" s="562"/>
      <c r="U590" s="562"/>
      <c r="V590" s="562"/>
      <c r="W590" s="562"/>
      <c r="X590" s="562"/>
      <c r="Y590" s="562"/>
      <c r="Z590" s="562"/>
    </row>
    <row r="591" ht="12.0" customHeight="1">
      <c r="A591" s="562"/>
      <c r="B591" s="562"/>
      <c r="C591" s="562"/>
      <c r="D591" s="562"/>
      <c r="E591" s="562"/>
      <c r="F591" s="562"/>
      <c r="G591" s="562"/>
      <c r="H591" s="562"/>
      <c r="I591" s="562"/>
      <c r="J591" s="562"/>
      <c r="K591" s="562"/>
      <c r="L591" s="562"/>
      <c r="M591" s="562"/>
      <c r="N591" s="562"/>
      <c r="O591" s="569"/>
      <c r="P591" s="570"/>
      <c r="Q591" s="562"/>
      <c r="R591" s="562"/>
      <c r="S591" s="562"/>
      <c r="T591" s="562"/>
      <c r="U591" s="562"/>
      <c r="V591" s="562"/>
      <c r="W591" s="562"/>
      <c r="X591" s="562"/>
      <c r="Y591" s="562"/>
      <c r="Z591" s="562"/>
    </row>
    <row r="592" ht="12.0" customHeight="1">
      <c r="A592" s="562"/>
      <c r="B592" s="562"/>
      <c r="C592" s="562"/>
      <c r="D592" s="562"/>
      <c r="E592" s="562"/>
      <c r="F592" s="562"/>
      <c r="G592" s="562"/>
      <c r="H592" s="562"/>
      <c r="I592" s="562"/>
      <c r="J592" s="562"/>
      <c r="K592" s="562"/>
      <c r="L592" s="562"/>
      <c r="M592" s="562"/>
      <c r="N592" s="562"/>
      <c r="O592" s="569"/>
      <c r="P592" s="570"/>
      <c r="Q592" s="562"/>
      <c r="R592" s="562"/>
      <c r="S592" s="562"/>
      <c r="T592" s="562"/>
      <c r="U592" s="562"/>
      <c r="V592" s="562"/>
      <c r="W592" s="562"/>
      <c r="X592" s="562"/>
      <c r="Y592" s="562"/>
      <c r="Z592" s="562"/>
    </row>
    <row r="593" ht="12.0" customHeight="1">
      <c r="A593" s="562"/>
      <c r="B593" s="562"/>
      <c r="C593" s="562"/>
      <c r="D593" s="562"/>
      <c r="E593" s="562"/>
      <c r="F593" s="562"/>
      <c r="G593" s="562"/>
      <c r="H593" s="562"/>
      <c r="I593" s="562"/>
      <c r="J593" s="562"/>
      <c r="K593" s="562"/>
      <c r="L593" s="562"/>
      <c r="M593" s="562"/>
      <c r="N593" s="562"/>
      <c r="O593" s="569"/>
      <c r="P593" s="570"/>
      <c r="Q593" s="562"/>
      <c r="R593" s="562"/>
      <c r="S593" s="562"/>
      <c r="T593" s="562"/>
      <c r="U593" s="562"/>
      <c r="V593" s="562"/>
      <c r="W593" s="562"/>
      <c r="X593" s="562"/>
      <c r="Y593" s="562"/>
      <c r="Z593" s="562"/>
    </row>
    <row r="594" ht="12.0" customHeight="1">
      <c r="A594" s="562"/>
      <c r="B594" s="562"/>
      <c r="C594" s="562"/>
      <c r="D594" s="562"/>
      <c r="E594" s="562"/>
      <c r="F594" s="562"/>
      <c r="G594" s="562"/>
      <c r="H594" s="562"/>
      <c r="I594" s="562"/>
      <c r="J594" s="562"/>
      <c r="K594" s="562"/>
      <c r="L594" s="562"/>
      <c r="M594" s="562"/>
      <c r="N594" s="562"/>
      <c r="O594" s="569"/>
      <c r="P594" s="570"/>
      <c r="Q594" s="562"/>
      <c r="R594" s="562"/>
      <c r="S594" s="562"/>
      <c r="T594" s="562"/>
      <c r="U594" s="562"/>
      <c r="V594" s="562"/>
      <c r="W594" s="562"/>
      <c r="X594" s="562"/>
      <c r="Y594" s="562"/>
      <c r="Z594" s="562"/>
    </row>
    <row r="595" ht="12.0" customHeight="1">
      <c r="A595" s="562"/>
      <c r="B595" s="562"/>
      <c r="C595" s="562"/>
      <c r="D595" s="562"/>
      <c r="E595" s="562"/>
      <c r="F595" s="562"/>
      <c r="G595" s="562"/>
      <c r="H595" s="562"/>
      <c r="I595" s="562"/>
      <c r="J595" s="562"/>
      <c r="K595" s="562"/>
      <c r="L595" s="562"/>
      <c r="M595" s="562"/>
      <c r="N595" s="562"/>
      <c r="O595" s="569"/>
      <c r="P595" s="570"/>
      <c r="Q595" s="562"/>
      <c r="R595" s="562"/>
      <c r="S595" s="562"/>
      <c r="T595" s="562"/>
      <c r="U595" s="562"/>
      <c r="V595" s="562"/>
      <c r="W595" s="562"/>
      <c r="X595" s="562"/>
      <c r="Y595" s="562"/>
      <c r="Z595" s="562"/>
    </row>
    <row r="596" ht="12.0" customHeight="1">
      <c r="A596" s="562"/>
      <c r="B596" s="562"/>
      <c r="C596" s="562"/>
      <c r="D596" s="562"/>
      <c r="E596" s="562"/>
      <c r="F596" s="562"/>
      <c r="G596" s="562"/>
      <c r="H596" s="562"/>
      <c r="I596" s="562"/>
      <c r="J596" s="562"/>
      <c r="K596" s="562"/>
      <c r="L596" s="562"/>
      <c r="M596" s="562"/>
      <c r="N596" s="562"/>
      <c r="O596" s="569"/>
      <c r="P596" s="570"/>
      <c r="Q596" s="562"/>
      <c r="R596" s="562"/>
      <c r="S596" s="562"/>
      <c r="T596" s="562"/>
      <c r="U596" s="562"/>
      <c r="V596" s="562"/>
      <c r="W596" s="562"/>
      <c r="X596" s="562"/>
      <c r="Y596" s="562"/>
      <c r="Z596" s="562"/>
    </row>
    <row r="597" ht="12.0" customHeight="1">
      <c r="A597" s="562"/>
      <c r="B597" s="562"/>
      <c r="C597" s="562"/>
      <c r="D597" s="562"/>
      <c r="E597" s="562"/>
      <c r="F597" s="562"/>
      <c r="G597" s="562"/>
      <c r="H597" s="562"/>
      <c r="I597" s="562"/>
      <c r="J597" s="562"/>
      <c r="K597" s="562"/>
      <c r="L597" s="562"/>
      <c r="M597" s="562"/>
      <c r="N597" s="562"/>
      <c r="O597" s="569"/>
      <c r="P597" s="570"/>
      <c r="Q597" s="562"/>
      <c r="R597" s="562"/>
      <c r="S597" s="562"/>
      <c r="T597" s="562"/>
      <c r="U597" s="562"/>
      <c r="V597" s="562"/>
      <c r="W597" s="562"/>
      <c r="X597" s="562"/>
      <c r="Y597" s="562"/>
      <c r="Z597" s="562"/>
    </row>
    <row r="598" ht="12.0" customHeight="1">
      <c r="A598" s="562"/>
      <c r="B598" s="562"/>
      <c r="C598" s="562"/>
      <c r="D598" s="562"/>
      <c r="E598" s="562"/>
      <c r="F598" s="562"/>
      <c r="G598" s="562"/>
      <c r="H598" s="562"/>
      <c r="I598" s="562"/>
      <c r="J598" s="562"/>
      <c r="K598" s="562"/>
      <c r="L598" s="562"/>
      <c r="M598" s="562"/>
      <c r="N598" s="562"/>
      <c r="O598" s="569"/>
      <c r="P598" s="570"/>
      <c r="Q598" s="562"/>
      <c r="R598" s="562"/>
      <c r="S598" s="562"/>
      <c r="T598" s="562"/>
      <c r="U598" s="562"/>
      <c r="V598" s="562"/>
      <c r="W598" s="562"/>
      <c r="X598" s="562"/>
      <c r="Y598" s="562"/>
      <c r="Z598" s="562"/>
    </row>
    <row r="599" ht="12.0" customHeight="1">
      <c r="A599" s="562"/>
      <c r="B599" s="562"/>
      <c r="C599" s="562"/>
      <c r="D599" s="562"/>
      <c r="E599" s="562"/>
      <c r="F599" s="562"/>
      <c r="G599" s="562"/>
      <c r="H599" s="562"/>
      <c r="I599" s="562"/>
      <c r="J599" s="562"/>
      <c r="K599" s="562"/>
      <c r="L599" s="562"/>
      <c r="M599" s="562"/>
      <c r="N599" s="562"/>
      <c r="O599" s="569"/>
      <c r="P599" s="570"/>
      <c r="Q599" s="562"/>
      <c r="R599" s="562"/>
      <c r="S599" s="562"/>
      <c r="T599" s="562"/>
      <c r="U599" s="562"/>
      <c r="V599" s="562"/>
      <c r="W599" s="562"/>
      <c r="X599" s="562"/>
      <c r="Y599" s="562"/>
      <c r="Z599" s="562"/>
    </row>
    <row r="600" ht="12.0" customHeight="1">
      <c r="A600" s="562"/>
      <c r="B600" s="562"/>
      <c r="C600" s="562"/>
      <c r="D600" s="562"/>
      <c r="E600" s="562"/>
      <c r="F600" s="562"/>
      <c r="G600" s="562"/>
      <c r="H600" s="562"/>
      <c r="I600" s="562"/>
      <c r="J600" s="562"/>
      <c r="K600" s="562"/>
      <c r="L600" s="562"/>
      <c r="M600" s="562"/>
      <c r="N600" s="562"/>
      <c r="O600" s="569"/>
      <c r="P600" s="570"/>
      <c r="Q600" s="562"/>
      <c r="R600" s="562"/>
      <c r="S600" s="562"/>
      <c r="T600" s="562"/>
      <c r="U600" s="562"/>
      <c r="V600" s="562"/>
      <c r="W600" s="562"/>
      <c r="X600" s="562"/>
      <c r="Y600" s="562"/>
      <c r="Z600" s="562"/>
    </row>
    <row r="601" ht="12.0" customHeight="1">
      <c r="A601" s="562"/>
      <c r="B601" s="562"/>
      <c r="C601" s="562"/>
      <c r="D601" s="562"/>
      <c r="E601" s="562"/>
      <c r="F601" s="562"/>
      <c r="G601" s="562"/>
      <c r="H601" s="562"/>
      <c r="I601" s="562"/>
      <c r="J601" s="562"/>
      <c r="K601" s="562"/>
      <c r="L601" s="562"/>
      <c r="M601" s="562"/>
      <c r="N601" s="562"/>
      <c r="O601" s="569"/>
      <c r="P601" s="570"/>
      <c r="Q601" s="562"/>
      <c r="R601" s="562"/>
      <c r="S601" s="562"/>
      <c r="T601" s="562"/>
      <c r="U601" s="562"/>
      <c r="V601" s="562"/>
      <c r="W601" s="562"/>
      <c r="X601" s="562"/>
      <c r="Y601" s="562"/>
      <c r="Z601" s="562"/>
    </row>
    <row r="602" ht="12.0" customHeight="1">
      <c r="A602" s="562"/>
      <c r="B602" s="562"/>
      <c r="C602" s="562"/>
      <c r="D602" s="562"/>
      <c r="E602" s="562"/>
      <c r="F602" s="562"/>
      <c r="G602" s="562"/>
      <c r="H602" s="562"/>
      <c r="I602" s="562"/>
      <c r="J602" s="562"/>
      <c r="K602" s="562"/>
      <c r="L602" s="562"/>
      <c r="M602" s="562"/>
      <c r="N602" s="562"/>
      <c r="O602" s="569"/>
      <c r="P602" s="570"/>
      <c r="Q602" s="562"/>
      <c r="R602" s="562"/>
      <c r="S602" s="562"/>
      <c r="T602" s="562"/>
      <c r="U602" s="562"/>
      <c r="V602" s="562"/>
      <c r="W602" s="562"/>
      <c r="X602" s="562"/>
      <c r="Y602" s="562"/>
      <c r="Z602" s="562"/>
    </row>
    <row r="603" ht="12.0" customHeight="1">
      <c r="A603" s="562"/>
      <c r="B603" s="562"/>
      <c r="C603" s="562"/>
      <c r="D603" s="562"/>
      <c r="E603" s="562"/>
      <c r="F603" s="562"/>
      <c r="G603" s="562"/>
      <c r="H603" s="562"/>
      <c r="I603" s="562"/>
      <c r="J603" s="562"/>
      <c r="K603" s="562"/>
      <c r="L603" s="562"/>
      <c r="M603" s="562"/>
      <c r="N603" s="562"/>
      <c r="O603" s="569"/>
      <c r="P603" s="570"/>
      <c r="Q603" s="562"/>
      <c r="R603" s="562"/>
      <c r="S603" s="562"/>
      <c r="T603" s="562"/>
      <c r="U603" s="562"/>
      <c r="V603" s="562"/>
      <c r="W603" s="562"/>
      <c r="X603" s="562"/>
      <c r="Y603" s="562"/>
      <c r="Z603" s="562"/>
    </row>
    <row r="604" ht="12.0" customHeight="1">
      <c r="A604" s="562"/>
      <c r="B604" s="562"/>
      <c r="C604" s="562"/>
      <c r="D604" s="562"/>
      <c r="E604" s="562"/>
      <c r="F604" s="562"/>
      <c r="G604" s="562"/>
      <c r="H604" s="562"/>
      <c r="I604" s="562"/>
      <c r="J604" s="562"/>
      <c r="K604" s="562"/>
      <c r="L604" s="562"/>
      <c r="M604" s="562"/>
      <c r="N604" s="562"/>
      <c r="O604" s="569"/>
      <c r="P604" s="570"/>
      <c r="Q604" s="562"/>
      <c r="R604" s="562"/>
      <c r="S604" s="562"/>
      <c r="T604" s="562"/>
      <c r="U604" s="562"/>
      <c r="V604" s="562"/>
      <c r="W604" s="562"/>
      <c r="X604" s="562"/>
      <c r="Y604" s="562"/>
      <c r="Z604" s="562"/>
    </row>
    <row r="605" ht="12.0" customHeight="1">
      <c r="A605" s="562"/>
      <c r="B605" s="562"/>
      <c r="C605" s="562"/>
      <c r="D605" s="562"/>
      <c r="E605" s="562"/>
      <c r="F605" s="562"/>
      <c r="G605" s="562"/>
      <c r="H605" s="562"/>
      <c r="I605" s="562"/>
      <c r="J605" s="562"/>
      <c r="K605" s="562"/>
      <c r="L605" s="562"/>
      <c r="M605" s="562"/>
      <c r="N605" s="562"/>
      <c r="O605" s="569"/>
      <c r="P605" s="570"/>
      <c r="Q605" s="562"/>
      <c r="R605" s="562"/>
      <c r="S605" s="562"/>
      <c r="T605" s="562"/>
      <c r="U605" s="562"/>
      <c r="V605" s="562"/>
      <c r="W605" s="562"/>
      <c r="X605" s="562"/>
      <c r="Y605" s="562"/>
      <c r="Z605" s="562"/>
    </row>
    <row r="606" ht="12.0" customHeight="1">
      <c r="A606" s="562"/>
      <c r="B606" s="562"/>
      <c r="C606" s="562"/>
      <c r="D606" s="562"/>
      <c r="E606" s="562"/>
      <c r="F606" s="562"/>
      <c r="G606" s="562"/>
      <c r="H606" s="562"/>
      <c r="I606" s="562"/>
      <c r="J606" s="562"/>
      <c r="K606" s="562"/>
      <c r="L606" s="562"/>
      <c r="M606" s="562"/>
      <c r="N606" s="562"/>
      <c r="O606" s="569"/>
      <c r="P606" s="570"/>
      <c r="Q606" s="562"/>
      <c r="R606" s="562"/>
      <c r="S606" s="562"/>
      <c r="T606" s="562"/>
      <c r="U606" s="562"/>
      <c r="V606" s="562"/>
      <c r="W606" s="562"/>
      <c r="X606" s="562"/>
      <c r="Y606" s="562"/>
      <c r="Z606" s="562"/>
    </row>
    <row r="607" ht="12.0" customHeight="1">
      <c r="A607" s="562"/>
      <c r="B607" s="562"/>
      <c r="C607" s="562"/>
      <c r="D607" s="562"/>
      <c r="E607" s="562"/>
      <c r="F607" s="562"/>
      <c r="G607" s="562"/>
      <c r="H607" s="562"/>
      <c r="I607" s="562"/>
      <c r="J607" s="562"/>
      <c r="K607" s="562"/>
      <c r="L607" s="562"/>
      <c r="M607" s="562"/>
      <c r="N607" s="562"/>
      <c r="O607" s="569"/>
      <c r="P607" s="570"/>
      <c r="Q607" s="562"/>
      <c r="R607" s="562"/>
      <c r="S607" s="562"/>
      <c r="T607" s="562"/>
      <c r="U607" s="562"/>
      <c r="V607" s="562"/>
      <c r="W607" s="562"/>
      <c r="X607" s="562"/>
      <c r="Y607" s="562"/>
      <c r="Z607" s="562"/>
    </row>
    <row r="608" ht="12.0" customHeight="1">
      <c r="A608" s="562"/>
      <c r="B608" s="562"/>
      <c r="C608" s="562"/>
      <c r="D608" s="562"/>
      <c r="E608" s="562"/>
      <c r="F608" s="562"/>
      <c r="G608" s="562"/>
      <c r="H608" s="562"/>
      <c r="I608" s="562"/>
      <c r="J608" s="562"/>
      <c r="K608" s="562"/>
      <c r="L608" s="562"/>
      <c r="M608" s="562"/>
      <c r="N608" s="562"/>
      <c r="O608" s="569"/>
      <c r="P608" s="570"/>
      <c r="Q608" s="562"/>
      <c r="R608" s="562"/>
      <c r="S608" s="562"/>
      <c r="T608" s="562"/>
      <c r="U608" s="562"/>
      <c r="V608" s="562"/>
      <c r="W608" s="562"/>
      <c r="X608" s="562"/>
      <c r="Y608" s="562"/>
      <c r="Z608" s="562"/>
    </row>
    <row r="609" ht="12.0" customHeight="1">
      <c r="A609" s="562"/>
      <c r="B609" s="562"/>
      <c r="C609" s="562"/>
      <c r="D609" s="562"/>
      <c r="E609" s="562"/>
      <c r="F609" s="562"/>
      <c r="G609" s="562"/>
      <c r="H609" s="562"/>
      <c r="I609" s="562"/>
      <c r="J609" s="562"/>
      <c r="K609" s="562"/>
      <c r="L609" s="562"/>
      <c r="M609" s="562"/>
      <c r="N609" s="562"/>
      <c r="O609" s="569"/>
      <c r="P609" s="570"/>
      <c r="Q609" s="562"/>
      <c r="R609" s="562"/>
      <c r="S609" s="562"/>
      <c r="T609" s="562"/>
      <c r="U609" s="562"/>
      <c r="V609" s="562"/>
      <c r="W609" s="562"/>
      <c r="X609" s="562"/>
      <c r="Y609" s="562"/>
      <c r="Z609" s="562"/>
    </row>
    <row r="610" ht="12.0" customHeight="1">
      <c r="A610" s="562"/>
      <c r="B610" s="562"/>
      <c r="C610" s="562"/>
      <c r="D610" s="562"/>
      <c r="E610" s="562"/>
      <c r="F610" s="562"/>
      <c r="G610" s="562"/>
      <c r="H610" s="562"/>
      <c r="I610" s="562"/>
      <c r="J610" s="562"/>
      <c r="K610" s="562"/>
      <c r="L610" s="562"/>
      <c r="M610" s="562"/>
      <c r="N610" s="562"/>
      <c r="O610" s="569"/>
      <c r="P610" s="570"/>
      <c r="Q610" s="562"/>
      <c r="R610" s="562"/>
      <c r="S610" s="562"/>
      <c r="T610" s="562"/>
      <c r="U610" s="562"/>
      <c r="V610" s="562"/>
      <c r="W610" s="562"/>
      <c r="X610" s="562"/>
      <c r="Y610" s="562"/>
      <c r="Z610" s="562"/>
    </row>
    <row r="611" ht="12.0" customHeight="1">
      <c r="A611" s="562"/>
      <c r="B611" s="562"/>
      <c r="C611" s="562"/>
      <c r="D611" s="562"/>
      <c r="E611" s="562"/>
      <c r="F611" s="562"/>
      <c r="G611" s="562"/>
      <c r="H611" s="562"/>
      <c r="I611" s="562"/>
      <c r="J611" s="562"/>
      <c r="K611" s="562"/>
      <c r="L611" s="562"/>
      <c r="M611" s="562"/>
      <c r="N611" s="562"/>
      <c r="O611" s="569"/>
      <c r="P611" s="570"/>
      <c r="Q611" s="562"/>
      <c r="R611" s="562"/>
      <c r="S611" s="562"/>
      <c r="T611" s="562"/>
      <c r="U611" s="562"/>
      <c r="V611" s="562"/>
      <c r="W611" s="562"/>
      <c r="X611" s="562"/>
      <c r="Y611" s="562"/>
      <c r="Z611" s="562"/>
    </row>
    <row r="612" ht="12.0" customHeight="1">
      <c r="A612" s="562"/>
      <c r="B612" s="562"/>
      <c r="C612" s="562"/>
      <c r="D612" s="562"/>
      <c r="E612" s="562"/>
      <c r="F612" s="562"/>
      <c r="G612" s="562"/>
      <c r="H612" s="562"/>
      <c r="I612" s="562"/>
      <c r="J612" s="562"/>
      <c r="K612" s="562"/>
      <c r="L612" s="562"/>
      <c r="M612" s="562"/>
      <c r="N612" s="562"/>
      <c r="O612" s="569"/>
      <c r="P612" s="570"/>
      <c r="Q612" s="562"/>
      <c r="R612" s="562"/>
      <c r="S612" s="562"/>
      <c r="T612" s="562"/>
      <c r="U612" s="562"/>
      <c r="V612" s="562"/>
      <c r="W612" s="562"/>
      <c r="X612" s="562"/>
      <c r="Y612" s="562"/>
      <c r="Z612" s="562"/>
    </row>
    <row r="613" ht="12.0" customHeight="1">
      <c r="A613" s="562"/>
      <c r="B613" s="562"/>
      <c r="C613" s="562"/>
      <c r="D613" s="562"/>
      <c r="E613" s="562"/>
      <c r="F613" s="562"/>
      <c r="G613" s="562"/>
      <c r="H613" s="562"/>
      <c r="I613" s="562"/>
      <c r="J613" s="562"/>
      <c r="K613" s="562"/>
      <c r="L613" s="562"/>
      <c r="M613" s="562"/>
      <c r="N613" s="562"/>
      <c r="O613" s="569"/>
      <c r="P613" s="570"/>
      <c r="Q613" s="562"/>
      <c r="R613" s="562"/>
      <c r="S613" s="562"/>
      <c r="T613" s="562"/>
      <c r="U613" s="562"/>
      <c r="V613" s="562"/>
      <c r="W613" s="562"/>
      <c r="X613" s="562"/>
      <c r="Y613" s="562"/>
      <c r="Z613" s="562"/>
    </row>
    <row r="614" ht="12.0" customHeight="1">
      <c r="A614" s="562"/>
      <c r="B614" s="562"/>
      <c r="C614" s="562"/>
      <c r="D614" s="562"/>
      <c r="E614" s="562"/>
      <c r="F614" s="562"/>
      <c r="G614" s="562"/>
      <c r="H614" s="562"/>
      <c r="I614" s="562"/>
      <c r="J614" s="562"/>
      <c r="K614" s="562"/>
      <c r="L614" s="562"/>
      <c r="M614" s="562"/>
      <c r="N614" s="562"/>
      <c r="O614" s="569"/>
      <c r="P614" s="570"/>
      <c r="Q614" s="562"/>
      <c r="R614" s="562"/>
      <c r="S614" s="562"/>
      <c r="T614" s="562"/>
      <c r="U614" s="562"/>
      <c r="V614" s="562"/>
      <c r="W614" s="562"/>
      <c r="X614" s="562"/>
      <c r="Y614" s="562"/>
      <c r="Z614" s="562"/>
    </row>
    <row r="615" ht="12.0" customHeight="1">
      <c r="A615" s="562"/>
      <c r="B615" s="562"/>
      <c r="C615" s="562"/>
      <c r="D615" s="562"/>
      <c r="E615" s="562"/>
      <c r="F615" s="562"/>
      <c r="G615" s="562"/>
      <c r="H615" s="562"/>
      <c r="I615" s="562"/>
      <c r="J615" s="562"/>
      <c r="K615" s="562"/>
      <c r="L615" s="562"/>
      <c r="M615" s="562"/>
      <c r="N615" s="562"/>
      <c r="O615" s="569"/>
      <c r="P615" s="570"/>
      <c r="Q615" s="562"/>
      <c r="R615" s="562"/>
      <c r="S615" s="562"/>
      <c r="T615" s="562"/>
      <c r="U615" s="562"/>
      <c r="V615" s="562"/>
      <c r="W615" s="562"/>
      <c r="X615" s="562"/>
      <c r="Y615" s="562"/>
      <c r="Z615" s="562"/>
    </row>
    <row r="616" ht="12.0" customHeight="1">
      <c r="A616" s="562"/>
      <c r="B616" s="562"/>
      <c r="C616" s="562"/>
      <c r="D616" s="562"/>
      <c r="E616" s="562"/>
      <c r="F616" s="562"/>
      <c r="G616" s="562"/>
      <c r="H616" s="562"/>
      <c r="I616" s="562"/>
      <c r="J616" s="562"/>
      <c r="K616" s="562"/>
      <c r="L616" s="562"/>
      <c r="M616" s="562"/>
      <c r="N616" s="562"/>
      <c r="O616" s="569"/>
      <c r="P616" s="570"/>
      <c r="Q616" s="562"/>
      <c r="R616" s="562"/>
      <c r="S616" s="562"/>
      <c r="T616" s="562"/>
      <c r="U616" s="562"/>
      <c r="V616" s="562"/>
      <c r="W616" s="562"/>
      <c r="X616" s="562"/>
      <c r="Y616" s="562"/>
      <c r="Z616" s="562"/>
    </row>
    <row r="617" ht="12.0" customHeight="1">
      <c r="A617" s="562"/>
      <c r="B617" s="562"/>
      <c r="C617" s="562"/>
      <c r="D617" s="562"/>
      <c r="E617" s="562"/>
      <c r="F617" s="562"/>
      <c r="G617" s="562"/>
      <c r="H617" s="562"/>
      <c r="I617" s="562"/>
      <c r="J617" s="562"/>
      <c r="K617" s="562"/>
      <c r="L617" s="562"/>
      <c r="M617" s="562"/>
      <c r="N617" s="562"/>
      <c r="O617" s="569"/>
      <c r="P617" s="570"/>
      <c r="Q617" s="562"/>
      <c r="R617" s="562"/>
      <c r="S617" s="562"/>
      <c r="T617" s="562"/>
      <c r="U617" s="562"/>
      <c r="V617" s="562"/>
      <c r="W617" s="562"/>
      <c r="X617" s="562"/>
      <c r="Y617" s="562"/>
      <c r="Z617" s="562"/>
    </row>
    <row r="618" ht="12.0" customHeight="1">
      <c r="A618" s="562"/>
      <c r="B618" s="562"/>
      <c r="C618" s="562"/>
      <c r="D618" s="562"/>
      <c r="E618" s="562"/>
      <c r="F618" s="562"/>
      <c r="G618" s="562"/>
      <c r="H618" s="562"/>
      <c r="I618" s="562"/>
      <c r="J618" s="562"/>
      <c r="K618" s="562"/>
      <c r="L618" s="562"/>
      <c r="M618" s="562"/>
      <c r="N618" s="562"/>
      <c r="O618" s="569"/>
      <c r="P618" s="570"/>
      <c r="Q618" s="562"/>
      <c r="R618" s="562"/>
      <c r="S618" s="562"/>
      <c r="T618" s="562"/>
      <c r="U618" s="562"/>
      <c r="V618" s="562"/>
      <c r="W618" s="562"/>
      <c r="X618" s="562"/>
      <c r="Y618" s="562"/>
      <c r="Z618" s="562"/>
    </row>
    <row r="619" ht="12.0" customHeight="1">
      <c r="A619" s="562"/>
      <c r="B619" s="562"/>
      <c r="C619" s="562"/>
      <c r="D619" s="562"/>
      <c r="E619" s="562"/>
      <c r="F619" s="562"/>
      <c r="G619" s="562"/>
      <c r="H619" s="562"/>
      <c r="I619" s="562"/>
      <c r="J619" s="562"/>
      <c r="K619" s="562"/>
      <c r="L619" s="562"/>
      <c r="M619" s="562"/>
      <c r="N619" s="562"/>
      <c r="O619" s="569"/>
      <c r="P619" s="570"/>
      <c r="Q619" s="562"/>
      <c r="R619" s="562"/>
      <c r="S619" s="562"/>
      <c r="T619" s="562"/>
      <c r="U619" s="562"/>
      <c r="V619" s="562"/>
      <c r="W619" s="562"/>
      <c r="X619" s="562"/>
      <c r="Y619" s="562"/>
      <c r="Z619" s="562"/>
    </row>
    <row r="620" ht="12.0" customHeight="1">
      <c r="A620" s="562"/>
      <c r="B620" s="562"/>
      <c r="C620" s="562"/>
      <c r="D620" s="562"/>
      <c r="E620" s="562"/>
      <c r="F620" s="562"/>
      <c r="G620" s="562"/>
      <c r="H620" s="562"/>
      <c r="I620" s="562"/>
      <c r="J620" s="562"/>
      <c r="K620" s="562"/>
      <c r="L620" s="562"/>
      <c r="M620" s="562"/>
      <c r="N620" s="562"/>
      <c r="O620" s="569"/>
      <c r="P620" s="570"/>
      <c r="Q620" s="562"/>
      <c r="R620" s="562"/>
      <c r="S620" s="562"/>
      <c r="T620" s="562"/>
      <c r="U620" s="562"/>
      <c r="V620" s="562"/>
      <c r="W620" s="562"/>
      <c r="X620" s="562"/>
      <c r="Y620" s="562"/>
      <c r="Z620" s="562"/>
    </row>
    <row r="621" ht="12.0" customHeight="1">
      <c r="A621" s="562"/>
      <c r="B621" s="562"/>
      <c r="C621" s="562"/>
      <c r="D621" s="562"/>
      <c r="E621" s="562"/>
      <c r="F621" s="562"/>
      <c r="G621" s="562"/>
      <c r="H621" s="562"/>
      <c r="I621" s="562"/>
      <c r="J621" s="562"/>
      <c r="K621" s="562"/>
      <c r="L621" s="562"/>
      <c r="M621" s="562"/>
      <c r="N621" s="562"/>
      <c r="O621" s="569"/>
      <c r="P621" s="570"/>
      <c r="Q621" s="562"/>
      <c r="R621" s="562"/>
      <c r="S621" s="562"/>
      <c r="T621" s="562"/>
      <c r="U621" s="562"/>
      <c r="V621" s="562"/>
      <c r="W621" s="562"/>
      <c r="X621" s="562"/>
      <c r="Y621" s="562"/>
      <c r="Z621" s="562"/>
    </row>
    <row r="622" ht="12.0" customHeight="1">
      <c r="A622" s="562"/>
      <c r="B622" s="562"/>
      <c r="C622" s="562"/>
      <c r="D622" s="562"/>
      <c r="E622" s="562"/>
      <c r="F622" s="562"/>
      <c r="G622" s="562"/>
      <c r="H622" s="562"/>
      <c r="I622" s="562"/>
      <c r="J622" s="562"/>
      <c r="K622" s="562"/>
      <c r="L622" s="562"/>
      <c r="M622" s="562"/>
      <c r="N622" s="562"/>
      <c r="O622" s="569"/>
      <c r="P622" s="570"/>
      <c r="Q622" s="562"/>
      <c r="R622" s="562"/>
      <c r="S622" s="562"/>
      <c r="T622" s="562"/>
      <c r="U622" s="562"/>
      <c r="V622" s="562"/>
      <c r="W622" s="562"/>
      <c r="X622" s="562"/>
      <c r="Y622" s="562"/>
      <c r="Z622" s="562"/>
    </row>
    <row r="623" ht="12.0" customHeight="1">
      <c r="A623" s="562"/>
      <c r="B623" s="562"/>
      <c r="C623" s="562"/>
      <c r="D623" s="562"/>
      <c r="E623" s="562"/>
      <c r="F623" s="562"/>
      <c r="G623" s="562"/>
      <c r="H623" s="562"/>
      <c r="I623" s="562"/>
      <c r="J623" s="562"/>
      <c r="K623" s="562"/>
      <c r="L623" s="562"/>
      <c r="M623" s="562"/>
      <c r="N623" s="562"/>
      <c r="O623" s="569"/>
      <c r="P623" s="570"/>
      <c r="Q623" s="562"/>
      <c r="R623" s="562"/>
      <c r="S623" s="562"/>
      <c r="T623" s="562"/>
      <c r="U623" s="562"/>
      <c r="V623" s="562"/>
      <c r="W623" s="562"/>
      <c r="X623" s="562"/>
      <c r="Y623" s="562"/>
      <c r="Z623" s="562"/>
    </row>
    <row r="624" ht="12.0" customHeight="1">
      <c r="A624" s="562"/>
      <c r="B624" s="562"/>
      <c r="C624" s="562"/>
      <c r="D624" s="562"/>
      <c r="E624" s="562"/>
      <c r="F624" s="562"/>
      <c r="G624" s="562"/>
      <c r="H624" s="562"/>
      <c r="I624" s="562"/>
      <c r="J624" s="562"/>
      <c r="K624" s="562"/>
      <c r="L624" s="562"/>
      <c r="M624" s="562"/>
      <c r="N624" s="562"/>
      <c r="O624" s="569"/>
      <c r="P624" s="570"/>
      <c r="Q624" s="562"/>
      <c r="R624" s="562"/>
      <c r="S624" s="562"/>
      <c r="T624" s="562"/>
      <c r="U624" s="562"/>
      <c r="V624" s="562"/>
      <c r="W624" s="562"/>
      <c r="X624" s="562"/>
      <c r="Y624" s="562"/>
      <c r="Z624" s="562"/>
    </row>
    <row r="625" ht="12.0" customHeight="1">
      <c r="A625" s="562"/>
      <c r="B625" s="562"/>
      <c r="C625" s="562"/>
      <c r="D625" s="562"/>
      <c r="E625" s="562"/>
      <c r="F625" s="562"/>
      <c r="G625" s="562"/>
      <c r="H625" s="562"/>
      <c r="I625" s="562"/>
      <c r="J625" s="562"/>
      <c r="K625" s="562"/>
      <c r="L625" s="562"/>
      <c r="M625" s="562"/>
      <c r="N625" s="562"/>
      <c r="O625" s="569"/>
      <c r="P625" s="570"/>
      <c r="Q625" s="562"/>
      <c r="R625" s="562"/>
      <c r="S625" s="562"/>
      <c r="T625" s="562"/>
      <c r="U625" s="562"/>
      <c r="V625" s="562"/>
      <c r="W625" s="562"/>
      <c r="X625" s="562"/>
      <c r="Y625" s="562"/>
      <c r="Z625" s="562"/>
    </row>
    <row r="626" ht="12.0" customHeight="1">
      <c r="A626" s="562"/>
      <c r="B626" s="562"/>
      <c r="C626" s="562"/>
      <c r="D626" s="562"/>
      <c r="E626" s="562"/>
      <c r="F626" s="562"/>
      <c r="G626" s="562"/>
      <c r="H626" s="562"/>
      <c r="I626" s="562"/>
      <c r="J626" s="562"/>
      <c r="K626" s="562"/>
      <c r="L626" s="562"/>
      <c r="M626" s="562"/>
      <c r="N626" s="562"/>
      <c r="O626" s="569"/>
      <c r="P626" s="570"/>
      <c r="Q626" s="562"/>
      <c r="R626" s="562"/>
      <c r="S626" s="562"/>
      <c r="T626" s="562"/>
      <c r="U626" s="562"/>
      <c r="V626" s="562"/>
      <c r="W626" s="562"/>
      <c r="X626" s="562"/>
      <c r="Y626" s="562"/>
      <c r="Z626" s="562"/>
    </row>
    <row r="627" ht="12.0" customHeight="1">
      <c r="A627" s="562"/>
      <c r="B627" s="562"/>
      <c r="C627" s="562"/>
      <c r="D627" s="562"/>
      <c r="E627" s="562"/>
      <c r="F627" s="562"/>
      <c r="G627" s="562"/>
      <c r="H627" s="562"/>
      <c r="I627" s="562"/>
      <c r="J627" s="562"/>
      <c r="K627" s="562"/>
      <c r="L627" s="562"/>
      <c r="M627" s="562"/>
      <c r="N627" s="562"/>
      <c r="O627" s="569"/>
      <c r="P627" s="570"/>
      <c r="Q627" s="562"/>
      <c r="R627" s="562"/>
      <c r="S627" s="562"/>
      <c r="T627" s="562"/>
      <c r="U627" s="562"/>
      <c r="V627" s="562"/>
      <c r="W627" s="562"/>
      <c r="X627" s="562"/>
      <c r="Y627" s="562"/>
      <c r="Z627" s="562"/>
    </row>
    <row r="628" ht="12.0" customHeight="1">
      <c r="A628" s="562"/>
      <c r="B628" s="562"/>
      <c r="C628" s="562"/>
      <c r="D628" s="562"/>
      <c r="E628" s="562"/>
      <c r="F628" s="562"/>
      <c r="G628" s="562"/>
      <c r="H628" s="562"/>
      <c r="I628" s="562"/>
      <c r="J628" s="562"/>
      <c r="K628" s="562"/>
      <c r="L628" s="562"/>
      <c r="M628" s="562"/>
      <c r="N628" s="562"/>
      <c r="O628" s="569"/>
      <c r="P628" s="570"/>
      <c r="Q628" s="562"/>
      <c r="R628" s="562"/>
      <c r="S628" s="562"/>
      <c r="T628" s="562"/>
      <c r="U628" s="562"/>
      <c r="V628" s="562"/>
      <c r="W628" s="562"/>
      <c r="X628" s="562"/>
      <c r="Y628" s="562"/>
      <c r="Z628" s="562"/>
    </row>
    <row r="629" ht="12.0" customHeight="1">
      <c r="A629" s="562"/>
      <c r="B629" s="562"/>
      <c r="C629" s="562"/>
      <c r="D629" s="562"/>
      <c r="E629" s="562"/>
      <c r="F629" s="562"/>
      <c r="G629" s="562"/>
      <c r="H629" s="562"/>
      <c r="I629" s="562"/>
      <c r="J629" s="562"/>
      <c r="K629" s="562"/>
      <c r="L629" s="562"/>
      <c r="M629" s="562"/>
      <c r="N629" s="562"/>
      <c r="O629" s="569"/>
      <c r="P629" s="570"/>
      <c r="Q629" s="562"/>
      <c r="R629" s="562"/>
      <c r="S629" s="562"/>
      <c r="T629" s="562"/>
      <c r="U629" s="562"/>
      <c r="V629" s="562"/>
      <c r="W629" s="562"/>
      <c r="X629" s="562"/>
      <c r="Y629" s="562"/>
      <c r="Z629" s="562"/>
    </row>
    <row r="630" ht="12.0" customHeight="1">
      <c r="A630" s="562"/>
      <c r="B630" s="562"/>
      <c r="C630" s="562"/>
      <c r="D630" s="562"/>
      <c r="E630" s="562"/>
      <c r="F630" s="562"/>
      <c r="G630" s="562"/>
      <c r="H630" s="562"/>
      <c r="I630" s="562"/>
      <c r="J630" s="562"/>
      <c r="K630" s="562"/>
      <c r="L630" s="562"/>
      <c r="M630" s="562"/>
      <c r="N630" s="562"/>
      <c r="O630" s="569"/>
      <c r="P630" s="570"/>
      <c r="Q630" s="562"/>
      <c r="R630" s="562"/>
      <c r="S630" s="562"/>
      <c r="T630" s="562"/>
      <c r="U630" s="562"/>
      <c r="V630" s="562"/>
      <c r="W630" s="562"/>
      <c r="X630" s="562"/>
      <c r="Y630" s="562"/>
      <c r="Z630" s="562"/>
    </row>
    <row r="631" ht="12.0" customHeight="1">
      <c r="A631" s="562"/>
      <c r="B631" s="562"/>
      <c r="C631" s="562"/>
      <c r="D631" s="562"/>
      <c r="E631" s="562"/>
      <c r="F631" s="562"/>
      <c r="G631" s="562"/>
      <c r="H631" s="562"/>
      <c r="I631" s="562"/>
      <c r="J631" s="562"/>
      <c r="K631" s="562"/>
      <c r="L631" s="562"/>
      <c r="M631" s="562"/>
      <c r="N631" s="562"/>
      <c r="O631" s="569"/>
      <c r="P631" s="570"/>
      <c r="Q631" s="562"/>
      <c r="R631" s="562"/>
      <c r="S631" s="562"/>
      <c r="T631" s="562"/>
      <c r="U631" s="562"/>
      <c r="V631" s="562"/>
      <c r="W631" s="562"/>
      <c r="X631" s="562"/>
      <c r="Y631" s="562"/>
      <c r="Z631" s="562"/>
    </row>
    <row r="632" ht="12.0" customHeight="1">
      <c r="A632" s="562"/>
      <c r="B632" s="562"/>
      <c r="C632" s="562"/>
      <c r="D632" s="562"/>
      <c r="E632" s="562"/>
      <c r="F632" s="562"/>
      <c r="G632" s="562"/>
      <c r="H632" s="562"/>
      <c r="I632" s="562"/>
      <c r="J632" s="562"/>
      <c r="K632" s="562"/>
      <c r="L632" s="562"/>
      <c r="M632" s="562"/>
      <c r="N632" s="562"/>
      <c r="O632" s="569"/>
      <c r="P632" s="570"/>
      <c r="Q632" s="562"/>
      <c r="R632" s="562"/>
      <c r="S632" s="562"/>
      <c r="T632" s="562"/>
      <c r="U632" s="562"/>
      <c r="V632" s="562"/>
      <c r="W632" s="562"/>
      <c r="X632" s="562"/>
      <c r="Y632" s="562"/>
      <c r="Z632" s="562"/>
    </row>
    <row r="633" ht="12.0" customHeight="1">
      <c r="A633" s="562"/>
      <c r="B633" s="562"/>
      <c r="C633" s="562"/>
      <c r="D633" s="562"/>
      <c r="E633" s="562"/>
      <c r="F633" s="562"/>
      <c r="G633" s="562"/>
      <c r="H633" s="562"/>
      <c r="I633" s="562"/>
      <c r="J633" s="562"/>
      <c r="K633" s="562"/>
      <c r="L633" s="562"/>
      <c r="M633" s="562"/>
      <c r="N633" s="562"/>
      <c r="O633" s="569"/>
      <c r="P633" s="570"/>
      <c r="Q633" s="562"/>
      <c r="R633" s="562"/>
      <c r="S633" s="562"/>
      <c r="T633" s="562"/>
      <c r="U633" s="562"/>
      <c r="V633" s="562"/>
      <c r="W633" s="562"/>
      <c r="X633" s="562"/>
      <c r="Y633" s="562"/>
      <c r="Z633" s="562"/>
    </row>
    <row r="634" ht="12.0" customHeight="1">
      <c r="A634" s="562"/>
      <c r="B634" s="562"/>
      <c r="C634" s="562"/>
      <c r="D634" s="562"/>
      <c r="E634" s="562"/>
      <c r="F634" s="562"/>
      <c r="G634" s="562"/>
      <c r="H634" s="562"/>
      <c r="I634" s="562"/>
      <c r="J634" s="562"/>
      <c r="K634" s="562"/>
      <c r="L634" s="562"/>
      <c r="M634" s="562"/>
      <c r="N634" s="562"/>
      <c r="O634" s="569"/>
      <c r="P634" s="570"/>
      <c r="Q634" s="562"/>
      <c r="R634" s="562"/>
      <c r="S634" s="562"/>
      <c r="T634" s="562"/>
      <c r="U634" s="562"/>
      <c r="V634" s="562"/>
      <c r="W634" s="562"/>
      <c r="X634" s="562"/>
      <c r="Y634" s="562"/>
      <c r="Z634" s="562"/>
    </row>
    <row r="635" ht="12.0" customHeight="1">
      <c r="A635" s="562"/>
      <c r="B635" s="562"/>
      <c r="C635" s="562"/>
      <c r="D635" s="562"/>
      <c r="E635" s="562"/>
      <c r="F635" s="562"/>
      <c r="G635" s="562"/>
      <c r="H635" s="562"/>
      <c r="I635" s="562"/>
      <c r="J635" s="562"/>
      <c r="K635" s="562"/>
      <c r="L635" s="562"/>
      <c r="M635" s="562"/>
      <c r="N635" s="562"/>
      <c r="O635" s="569"/>
      <c r="P635" s="570"/>
      <c r="Q635" s="562"/>
      <c r="R635" s="562"/>
      <c r="S635" s="562"/>
      <c r="T635" s="562"/>
      <c r="U635" s="562"/>
      <c r="V635" s="562"/>
      <c r="W635" s="562"/>
      <c r="X635" s="562"/>
      <c r="Y635" s="562"/>
      <c r="Z635" s="562"/>
    </row>
    <row r="636" ht="12.0" customHeight="1">
      <c r="A636" s="562"/>
      <c r="B636" s="562"/>
      <c r="C636" s="562"/>
      <c r="D636" s="562"/>
      <c r="E636" s="562"/>
      <c r="F636" s="562"/>
      <c r="G636" s="562"/>
      <c r="H636" s="562"/>
      <c r="I636" s="562"/>
      <c r="J636" s="562"/>
      <c r="K636" s="562"/>
      <c r="L636" s="562"/>
      <c r="M636" s="562"/>
      <c r="N636" s="562"/>
      <c r="O636" s="569"/>
      <c r="P636" s="570"/>
      <c r="Q636" s="562"/>
      <c r="R636" s="562"/>
      <c r="S636" s="562"/>
      <c r="T636" s="562"/>
      <c r="U636" s="562"/>
      <c r="V636" s="562"/>
      <c r="W636" s="562"/>
      <c r="X636" s="562"/>
      <c r="Y636" s="562"/>
      <c r="Z636" s="562"/>
    </row>
    <row r="637" ht="12.0" customHeight="1">
      <c r="A637" s="562"/>
      <c r="B637" s="562"/>
      <c r="C637" s="562"/>
      <c r="D637" s="562"/>
      <c r="E637" s="562"/>
      <c r="F637" s="562"/>
      <c r="G637" s="562"/>
      <c r="H637" s="562"/>
      <c r="I637" s="562"/>
      <c r="J637" s="562"/>
      <c r="K637" s="562"/>
      <c r="L637" s="562"/>
      <c r="M637" s="562"/>
      <c r="N637" s="562"/>
      <c r="O637" s="569"/>
      <c r="P637" s="570"/>
      <c r="Q637" s="562"/>
      <c r="R637" s="562"/>
      <c r="S637" s="562"/>
      <c r="T637" s="562"/>
      <c r="U637" s="562"/>
      <c r="V637" s="562"/>
      <c r="W637" s="562"/>
      <c r="X637" s="562"/>
      <c r="Y637" s="562"/>
      <c r="Z637" s="562"/>
    </row>
    <row r="638" ht="12.0" customHeight="1">
      <c r="A638" s="562"/>
      <c r="B638" s="562"/>
      <c r="C638" s="562"/>
      <c r="D638" s="562"/>
      <c r="E638" s="562"/>
      <c r="F638" s="562"/>
      <c r="G638" s="562"/>
      <c r="H638" s="562"/>
      <c r="I638" s="562"/>
      <c r="J638" s="562"/>
      <c r="K638" s="562"/>
      <c r="L638" s="562"/>
      <c r="M638" s="562"/>
      <c r="N638" s="562"/>
      <c r="O638" s="569"/>
      <c r="P638" s="570"/>
      <c r="Q638" s="562"/>
      <c r="R638" s="562"/>
      <c r="S638" s="562"/>
      <c r="T638" s="562"/>
      <c r="U638" s="562"/>
      <c r="V638" s="562"/>
      <c r="W638" s="562"/>
      <c r="X638" s="562"/>
      <c r="Y638" s="562"/>
      <c r="Z638" s="562"/>
    </row>
    <row r="639" ht="12.0" customHeight="1">
      <c r="A639" s="562"/>
      <c r="B639" s="562"/>
      <c r="C639" s="562"/>
      <c r="D639" s="562"/>
      <c r="E639" s="562"/>
      <c r="F639" s="562"/>
      <c r="G639" s="562"/>
      <c r="H639" s="562"/>
      <c r="I639" s="562"/>
      <c r="J639" s="562"/>
      <c r="K639" s="562"/>
      <c r="L639" s="562"/>
      <c r="M639" s="562"/>
      <c r="N639" s="562"/>
      <c r="O639" s="569"/>
      <c r="P639" s="570"/>
      <c r="Q639" s="562"/>
      <c r="R639" s="562"/>
      <c r="S639" s="562"/>
      <c r="T639" s="562"/>
      <c r="U639" s="562"/>
      <c r="V639" s="562"/>
      <c r="W639" s="562"/>
      <c r="X639" s="562"/>
      <c r="Y639" s="562"/>
      <c r="Z639" s="562"/>
    </row>
    <row r="640" ht="12.0" customHeight="1">
      <c r="A640" s="562"/>
      <c r="B640" s="562"/>
      <c r="C640" s="562"/>
      <c r="D640" s="562"/>
      <c r="E640" s="562"/>
      <c r="F640" s="562"/>
      <c r="G640" s="562"/>
      <c r="H640" s="562"/>
      <c r="I640" s="562"/>
      <c r="J640" s="562"/>
      <c r="K640" s="562"/>
      <c r="L640" s="562"/>
      <c r="M640" s="562"/>
      <c r="N640" s="562"/>
      <c r="O640" s="569"/>
      <c r="P640" s="570"/>
      <c r="Q640" s="562"/>
      <c r="R640" s="562"/>
      <c r="S640" s="562"/>
      <c r="T640" s="562"/>
      <c r="U640" s="562"/>
      <c r="V640" s="562"/>
      <c r="W640" s="562"/>
      <c r="X640" s="562"/>
      <c r="Y640" s="562"/>
      <c r="Z640" s="562"/>
    </row>
    <row r="641" ht="12.0" customHeight="1">
      <c r="A641" s="562"/>
      <c r="B641" s="562"/>
      <c r="C641" s="562"/>
      <c r="D641" s="562"/>
      <c r="E641" s="562"/>
      <c r="F641" s="562"/>
      <c r="G641" s="562"/>
      <c r="H641" s="562"/>
      <c r="I641" s="562"/>
      <c r="J641" s="562"/>
      <c r="K641" s="562"/>
      <c r="L641" s="562"/>
      <c r="M641" s="562"/>
      <c r="N641" s="562"/>
      <c r="O641" s="569"/>
      <c r="P641" s="570"/>
      <c r="Q641" s="562"/>
      <c r="R641" s="562"/>
      <c r="S641" s="562"/>
      <c r="T641" s="562"/>
      <c r="U641" s="562"/>
      <c r="V641" s="562"/>
      <c r="W641" s="562"/>
      <c r="X641" s="562"/>
      <c r="Y641" s="562"/>
      <c r="Z641" s="562"/>
    </row>
    <row r="642" ht="12.0" customHeight="1">
      <c r="A642" s="562"/>
      <c r="B642" s="562"/>
      <c r="C642" s="562"/>
      <c r="D642" s="562"/>
      <c r="E642" s="562"/>
      <c r="F642" s="562"/>
      <c r="G642" s="562"/>
      <c r="H642" s="562"/>
      <c r="I642" s="562"/>
      <c r="J642" s="562"/>
      <c r="K642" s="562"/>
      <c r="L642" s="562"/>
      <c r="M642" s="562"/>
      <c r="N642" s="562"/>
      <c r="O642" s="569"/>
      <c r="P642" s="570"/>
      <c r="Q642" s="562"/>
      <c r="R642" s="562"/>
      <c r="S642" s="562"/>
      <c r="T642" s="562"/>
      <c r="U642" s="562"/>
      <c r="V642" s="562"/>
      <c r="W642" s="562"/>
      <c r="X642" s="562"/>
      <c r="Y642" s="562"/>
      <c r="Z642" s="562"/>
    </row>
    <row r="643" ht="12.0" customHeight="1">
      <c r="A643" s="562"/>
      <c r="B643" s="562"/>
      <c r="C643" s="562"/>
      <c r="D643" s="562"/>
      <c r="E643" s="562"/>
      <c r="F643" s="562"/>
      <c r="G643" s="562"/>
      <c r="H643" s="562"/>
      <c r="I643" s="562"/>
      <c r="J643" s="562"/>
      <c r="K643" s="562"/>
      <c r="L643" s="562"/>
      <c r="M643" s="562"/>
      <c r="N643" s="562"/>
      <c r="O643" s="569"/>
      <c r="P643" s="570"/>
      <c r="Q643" s="562"/>
      <c r="R643" s="562"/>
      <c r="S643" s="562"/>
      <c r="T643" s="562"/>
      <c r="U643" s="562"/>
      <c r="V643" s="562"/>
      <c r="W643" s="562"/>
      <c r="X643" s="562"/>
      <c r="Y643" s="562"/>
      <c r="Z643" s="562"/>
    </row>
    <row r="644" ht="12.0" customHeight="1">
      <c r="A644" s="562"/>
      <c r="B644" s="562"/>
      <c r="C644" s="562"/>
      <c r="D644" s="562"/>
      <c r="E644" s="562"/>
      <c r="F644" s="562"/>
      <c r="G644" s="562"/>
      <c r="H644" s="562"/>
      <c r="I644" s="562"/>
      <c r="J644" s="562"/>
      <c r="K644" s="562"/>
      <c r="L644" s="562"/>
      <c r="M644" s="562"/>
      <c r="N644" s="562"/>
      <c r="O644" s="569"/>
      <c r="P644" s="570"/>
      <c r="Q644" s="562"/>
      <c r="R644" s="562"/>
      <c r="S644" s="562"/>
      <c r="T644" s="562"/>
      <c r="U644" s="562"/>
      <c r="V644" s="562"/>
      <c r="W644" s="562"/>
      <c r="X644" s="562"/>
      <c r="Y644" s="562"/>
      <c r="Z644" s="562"/>
    </row>
    <row r="645" ht="12.0" customHeight="1">
      <c r="A645" s="562"/>
      <c r="B645" s="562"/>
      <c r="C645" s="562"/>
      <c r="D645" s="562"/>
      <c r="E645" s="562"/>
      <c r="F645" s="562"/>
      <c r="G645" s="562"/>
      <c r="H645" s="562"/>
      <c r="I645" s="562"/>
      <c r="J645" s="562"/>
      <c r="K645" s="562"/>
      <c r="L645" s="562"/>
      <c r="M645" s="562"/>
      <c r="N645" s="562"/>
      <c r="O645" s="569"/>
      <c r="P645" s="570"/>
      <c r="Q645" s="562"/>
      <c r="R645" s="562"/>
      <c r="S645" s="562"/>
      <c r="T645" s="562"/>
      <c r="U645" s="562"/>
      <c r="V645" s="562"/>
      <c r="W645" s="562"/>
      <c r="X645" s="562"/>
      <c r="Y645" s="562"/>
      <c r="Z645" s="562"/>
    </row>
    <row r="646" ht="12.0" customHeight="1">
      <c r="A646" s="562"/>
      <c r="B646" s="562"/>
      <c r="C646" s="562"/>
      <c r="D646" s="562"/>
      <c r="E646" s="562"/>
      <c r="F646" s="562"/>
      <c r="G646" s="562"/>
      <c r="H646" s="562"/>
      <c r="I646" s="562"/>
      <c r="J646" s="562"/>
      <c r="K646" s="562"/>
      <c r="L646" s="562"/>
      <c r="M646" s="562"/>
      <c r="N646" s="562"/>
      <c r="O646" s="569"/>
      <c r="P646" s="570"/>
      <c r="Q646" s="562"/>
      <c r="R646" s="562"/>
      <c r="S646" s="562"/>
      <c r="T646" s="562"/>
      <c r="U646" s="562"/>
      <c r="V646" s="562"/>
      <c r="W646" s="562"/>
      <c r="X646" s="562"/>
      <c r="Y646" s="562"/>
      <c r="Z646" s="562"/>
    </row>
    <row r="647" ht="12.0" customHeight="1">
      <c r="A647" s="562"/>
      <c r="B647" s="562"/>
      <c r="C647" s="562"/>
      <c r="D647" s="562"/>
      <c r="E647" s="562"/>
      <c r="F647" s="562"/>
      <c r="G647" s="562"/>
      <c r="H647" s="562"/>
      <c r="I647" s="562"/>
      <c r="J647" s="562"/>
      <c r="K647" s="562"/>
      <c r="L647" s="562"/>
      <c r="M647" s="562"/>
      <c r="N647" s="562"/>
      <c r="O647" s="569"/>
      <c r="P647" s="570"/>
      <c r="Q647" s="562"/>
      <c r="R647" s="562"/>
      <c r="S647" s="562"/>
      <c r="T647" s="562"/>
      <c r="U647" s="562"/>
      <c r="V647" s="562"/>
      <c r="W647" s="562"/>
      <c r="X647" s="562"/>
      <c r="Y647" s="562"/>
      <c r="Z647" s="562"/>
    </row>
    <row r="648" ht="12.0" customHeight="1">
      <c r="A648" s="562"/>
      <c r="B648" s="562"/>
      <c r="C648" s="562"/>
      <c r="D648" s="562"/>
      <c r="E648" s="562"/>
      <c r="F648" s="562"/>
      <c r="G648" s="562"/>
      <c r="H648" s="562"/>
      <c r="I648" s="562"/>
      <c r="J648" s="562"/>
      <c r="K648" s="562"/>
      <c r="L648" s="562"/>
      <c r="M648" s="562"/>
      <c r="N648" s="562"/>
      <c r="O648" s="569"/>
      <c r="P648" s="570"/>
      <c r="Q648" s="562"/>
      <c r="R648" s="562"/>
      <c r="S648" s="562"/>
      <c r="T648" s="562"/>
      <c r="U648" s="562"/>
      <c r="V648" s="562"/>
      <c r="W648" s="562"/>
      <c r="X648" s="562"/>
      <c r="Y648" s="562"/>
      <c r="Z648" s="562"/>
    </row>
    <row r="649" ht="12.0" customHeight="1">
      <c r="A649" s="562"/>
      <c r="B649" s="562"/>
      <c r="C649" s="562"/>
      <c r="D649" s="562"/>
      <c r="E649" s="562"/>
      <c r="F649" s="562"/>
      <c r="G649" s="562"/>
      <c r="H649" s="562"/>
      <c r="I649" s="562"/>
      <c r="J649" s="562"/>
      <c r="K649" s="562"/>
      <c r="L649" s="562"/>
      <c r="M649" s="562"/>
      <c r="N649" s="562"/>
      <c r="O649" s="569"/>
      <c r="P649" s="570"/>
      <c r="Q649" s="562"/>
      <c r="R649" s="562"/>
      <c r="S649" s="562"/>
      <c r="T649" s="562"/>
      <c r="U649" s="562"/>
      <c r="V649" s="562"/>
      <c r="W649" s="562"/>
      <c r="X649" s="562"/>
      <c r="Y649" s="562"/>
      <c r="Z649" s="562"/>
    </row>
    <row r="650" ht="12.0" customHeight="1">
      <c r="A650" s="562"/>
      <c r="B650" s="562"/>
      <c r="C650" s="562"/>
      <c r="D650" s="562"/>
      <c r="E650" s="562"/>
      <c r="F650" s="562"/>
      <c r="G650" s="562"/>
      <c r="H650" s="562"/>
      <c r="I650" s="562"/>
      <c r="J650" s="562"/>
      <c r="K650" s="562"/>
      <c r="L650" s="562"/>
      <c r="M650" s="562"/>
      <c r="N650" s="562"/>
      <c r="O650" s="569"/>
      <c r="P650" s="570"/>
      <c r="Q650" s="562"/>
      <c r="R650" s="562"/>
      <c r="S650" s="562"/>
      <c r="T650" s="562"/>
      <c r="U650" s="562"/>
      <c r="V650" s="562"/>
      <c r="W650" s="562"/>
      <c r="X650" s="562"/>
      <c r="Y650" s="562"/>
      <c r="Z650" s="562"/>
    </row>
    <row r="651" ht="12.0" customHeight="1">
      <c r="A651" s="562"/>
      <c r="B651" s="562"/>
      <c r="C651" s="562"/>
      <c r="D651" s="562"/>
      <c r="E651" s="562"/>
      <c r="F651" s="562"/>
      <c r="G651" s="562"/>
      <c r="H651" s="562"/>
      <c r="I651" s="562"/>
      <c r="J651" s="562"/>
      <c r="K651" s="562"/>
      <c r="L651" s="562"/>
      <c r="M651" s="562"/>
      <c r="N651" s="562"/>
      <c r="O651" s="569"/>
      <c r="P651" s="570"/>
      <c r="Q651" s="562"/>
      <c r="R651" s="562"/>
      <c r="S651" s="562"/>
      <c r="T651" s="562"/>
      <c r="U651" s="562"/>
      <c r="V651" s="562"/>
      <c r="W651" s="562"/>
      <c r="X651" s="562"/>
      <c r="Y651" s="562"/>
      <c r="Z651" s="562"/>
    </row>
    <row r="652" ht="12.0" customHeight="1">
      <c r="A652" s="562"/>
      <c r="B652" s="562"/>
      <c r="C652" s="562"/>
      <c r="D652" s="562"/>
      <c r="E652" s="562"/>
      <c r="F652" s="562"/>
      <c r="G652" s="562"/>
      <c r="H652" s="562"/>
      <c r="I652" s="562"/>
      <c r="J652" s="562"/>
      <c r="K652" s="562"/>
      <c r="L652" s="562"/>
      <c r="M652" s="562"/>
      <c r="N652" s="562"/>
      <c r="O652" s="569"/>
      <c r="P652" s="570"/>
      <c r="Q652" s="562"/>
      <c r="R652" s="562"/>
      <c r="S652" s="562"/>
      <c r="T652" s="562"/>
      <c r="U652" s="562"/>
      <c r="V652" s="562"/>
      <c r="W652" s="562"/>
      <c r="X652" s="562"/>
      <c r="Y652" s="562"/>
      <c r="Z652" s="562"/>
    </row>
    <row r="653" ht="12.0" customHeight="1">
      <c r="A653" s="562"/>
      <c r="B653" s="562"/>
      <c r="C653" s="562"/>
      <c r="D653" s="562"/>
      <c r="E653" s="562"/>
      <c r="F653" s="562"/>
      <c r="G653" s="562"/>
      <c r="H653" s="562"/>
      <c r="I653" s="562"/>
      <c r="J653" s="562"/>
      <c r="K653" s="562"/>
      <c r="L653" s="562"/>
      <c r="M653" s="562"/>
      <c r="N653" s="562"/>
      <c r="O653" s="569"/>
      <c r="P653" s="570"/>
      <c r="Q653" s="562"/>
      <c r="R653" s="562"/>
      <c r="S653" s="562"/>
      <c r="T653" s="562"/>
      <c r="U653" s="562"/>
      <c r="V653" s="562"/>
      <c r="W653" s="562"/>
      <c r="X653" s="562"/>
      <c r="Y653" s="562"/>
      <c r="Z653" s="562"/>
    </row>
    <row r="654" ht="12.0" customHeight="1">
      <c r="A654" s="562"/>
      <c r="B654" s="562"/>
      <c r="C654" s="562"/>
      <c r="D654" s="562"/>
      <c r="E654" s="562"/>
      <c r="F654" s="562"/>
      <c r="G654" s="562"/>
      <c r="H654" s="562"/>
      <c r="I654" s="562"/>
      <c r="J654" s="562"/>
      <c r="K654" s="562"/>
      <c r="L654" s="562"/>
      <c r="M654" s="562"/>
      <c r="N654" s="562"/>
      <c r="O654" s="569"/>
      <c r="P654" s="570"/>
      <c r="Q654" s="562"/>
      <c r="R654" s="562"/>
      <c r="S654" s="562"/>
      <c r="T654" s="562"/>
      <c r="U654" s="562"/>
      <c r="V654" s="562"/>
      <c r="W654" s="562"/>
      <c r="X654" s="562"/>
      <c r="Y654" s="562"/>
      <c r="Z654" s="562"/>
    </row>
    <row r="655" ht="12.0" customHeight="1">
      <c r="A655" s="562"/>
      <c r="B655" s="562"/>
      <c r="C655" s="562"/>
      <c r="D655" s="562"/>
      <c r="E655" s="562"/>
      <c r="F655" s="562"/>
      <c r="G655" s="562"/>
      <c r="H655" s="562"/>
      <c r="I655" s="562"/>
      <c r="J655" s="562"/>
      <c r="K655" s="562"/>
      <c r="L655" s="562"/>
      <c r="M655" s="562"/>
      <c r="N655" s="562"/>
      <c r="O655" s="569"/>
      <c r="P655" s="570"/>
      <c r="Q655" s="562"/>
      <c r="R655" s="562"/>
      <c r="S655" s="562"/>
      <c r="T655" s="562"/>
      <c r="U655" s="562"/>
      <c r="V655" s="562"/>
      <c r="W655" s="562"/>
      <c r="X655" s="562"/>
      <c r="Y655" s="562"/>
      <c r="Z655" s="562"/>
    </row>
    <row r="656" ht="12.0" customHeight="1">
      <c r="A656" s="562"/>
      <c r="B656" s="562"/>
      <c r="C656" s="562"/>
      <c r="D656" s="562"/>
      <c r="E656" s="562"/>
      <c r="F656" s="562"/>
      <c r="G656" s="562"/>
      <c r="H656" s="562"/>
      <c r="I656" s="562"/>
      <c r="J656" s="562"/>
      <c r="K656" s="562"/>
      <c r="L656" s="562"/>
      <c r="M656" s="562"/>
      <c r="N656" s="562"/>
      <c r="O656" s="569"/>
      <c r="P656" s="570"/>
      <c r="Q656" s="562"/>
      <c r="R656" s="562"/>
      <c r="S656" s="562"/>
      <c r="T656" s="562"/>
      <c r="U656" s="562"/>
      <c r="V656" s="562"/>
      <c r="W656" s="562"/>
      <c r="X656" s="562"/>
      <c r="Y656" s="562"/>
      <c r="Z656" s="562"/>
    </row>
    <row r="657" ht="12.0" customHeight="1">
      <c r="A657" s="562"/>
      <c r="B657" s="562"/>
      <c r="C657" s="562"/>
      <c r="D657" s="562"/>
      <c r="E657" s="562"/>
      <c r="F657" s="562"/>
      <c r="G657" s="562"/>
      <c r="H657" s="562"/>
      <c r="I657" s="562"/>
      <c r="J657" s="562"/>
      <c r="K657" s="562"/>
      <c r="L657" s="562"/>
      <c r="M657" s="562"/>
      <c r="N657" s="562"/>
      <c r="O657" s="569"/>
      <c r="P657" s="570"/>
      <c r="Q657" s="562"/>
      <c r="R657" s="562"/>
      <c r="S657" s="562"/>
      <c r="T657" s="562"/>
      <c r="U657" s="562"/>
      <c r="V657" s="562"/>
      <c r="W657" s="562"/>
      <c r="X657" s="562"/>
      <c r="Y657" s="562"/>
      <c r="Z657" s="562"/>
    </row>
    <row r="658" ht="12.0" customHeight="1">
      <c r="A658" s="562"/>
      <c r="B658" s="562"/>
      <c r="C658" s="562"/>
      <c r="D658" s="562"/>
      <c r="E658" s="562"/>
      <c r="F658" s="562"/>
      <c r="G658" s="562"/>
      <c r="H658" s="562"/>
      <c r="I658" s="562"/>
      <c r="J658" s="562"/>
      <c r="K658" s="562"/>
      <c r="L658" s="562"/>
      <c r="M658" s="562"/>
      <c r="N658" s="562"/>
      <c r="O658" s="569"/>
      <c r="P658" s="570"/>
      <c r="Q658" s="562"/>
      <c r="R658" s="562"/>
      <c r="S658" s="562"/>
      <c r="T658" s="562"/>
      <c r="U658" s="562"/>
      <c r="V658" s="562"/>
      <c r="W658" s="562"/>
      <c r="X658" s="562"/>
      <c r="Y658" s="562"/>
      <c r="Z658" s="562"/>
    </row>
    <row r="659" ht="12.0" customHeight="1">
      <c r="A659" s="562"/>
      <c r="B659" s="562"/>
      <c r="C659" s="562"/>
      <c r="D659" s="562"/>
      <c r="E659" s="562"/>
      <c r="F659" s="562"/>
      <c r="G659" s="562"/>
      <c r="H659" s="562"/>
      <c r="I659" s="562"/>
      <c r="J659" s="562"/>
      <c r="K659" s="562"/>
      <c r="L659" s="562"/>
      <c r="M659" s="562"/>
      <c r="N659" s="562"/>
      <c r="O659" s="569"/>
      <c r="P659" s="570"/>
      <c r="Q659" s="562"/>
      <c r="R659" s="562"/>
      <c r="S659" s="562"/>
      <c r="T659" s="562"/>
      <c r="U659" s="562"/>
      <c r="V659" s="562"/>
      <c r="W659" s="562"/>
      <c r="X659" s="562"/>
      <c r="Y659" s="562"/>
      <c r="Z659" s="562"/>
    </row>
    <row r="660" ht="12.0" customHeight="1">
      <c r="A660" s="562"/>
      <c r="B660" s="562"/>
      <c r="C660" s="562"/>
      <c r="D660" s="562"/>
      <c r="E660" s="562"/>
      <c r="F660" s="562"/>
      <c r="G660" s="562"/>
      <c r="H660" s="562"/>
      <c r="I660" s="562"/>
      <c r="J660" s="562"/>
      <c r="K660" s="562"/>
      <c r="L660" s="562"/>
      <c r="M660" s="562"/>
      <c r="N660" s="562"/>
      <c r="O660" s="569"/>
      <c r="P660" s="570"/>
      <c r="Q660" s="562"/>
      <c r="R660" s="562"/>
      <c r="S660" s="562"/>
      <c r="T660" s="562"/>
      <c r="U660" s="562"/>
      <c r="V660" s="562"/>
      <c r="W660" s="562"/>
      <c r="X660" s="562"/>
      <c r="Y660" s="562"/>
      <c r="Z660" s="562"/>
    </row>
    <row r="661" ht="12.0" customHeight="1">
      <c r="A661" s="562"/>
      <c r="B661" s="562"/>
      <c r="C661" s="562"/>
      <c r="D661" s="562"/>
      <c r="E661" s="562"/>
      <c r="F661" s="562"/>
      <c r="G661" s="562"/>
      <c r="H661" s="562"/>
      <c r="I661" s="562"/>
      <c r="J661" s="562"/>
      <c r="K661" s="562"/>
      <c r="L661" s="562"/>
      <c r="M661" s="562"/>
      <c r="N661" s="562"/>
      <c r="O661" s="569"/>
      <c r="P661" s="570"/>
      <c r="Q661" s="562"/>
      <c r="R661" s="562"/>
      <c r="S661" s="562"/>
      <c r="T661" s="562"/>
      <c r="U661" s="562"/>
      <c r="V661" s="562"/>
      <c r="W661" s="562"/>
      <c r="X661" s="562"/>
      <c r="Y661" s="562"/>
      <c r="Z661" s="562"/>
    </row>
    <row r="662" ht="12.0" customHeight="1">
      <c r="A662" s="562"/>
      <c r="B662" s="562"/>
      <c r="C662" s="562"/>
      <c r="D662" s="562"/>
      <c r="E662" s="562"/>
      <c r="F662" s="562"/>
      <c r="G662" s="562"/>
      <c r="H662" s="562"/>
      <c r="I662" s="562"/>
      <c r="J662" s="562"/>
      <c r="K662" s="562"/>
      <c r="L662" s="562"/>
      <c r="M662" s="562"/>
      <c r="N662" s="562"/>
      <c r="O662" s="569"/>
      <c r="P662" s="570"/>
      <c r="Q662" s="562"/>
      <c r="R662" s="562"/>
      <c r="S662" s="562"/>
      <c r="T662" s="562"/>
      <c r="U662" s="562"/>
      <c r="V662" s="562"/>
      <c r="W662" s="562"/>
      <c r="X662" s="562"/>
      <c r="Y662" s="562"/>
      <c r="Z662" s="562"/>
    </row>
    <row r="663" ht="12.0" customHeight="1">
      <c r="A663" s="562"/>
      <c r="B663" s="562"/>
      <c r="C663" s="562"/>
      <c r="D663" s="562"/>
      <c r="E663" s="562"/>
      <c r="F663" s="562"/>
      <c r="G663" s="562"/>
      <c r="H663" s="562"/>
      <c r="I663" s="562"/>
      <c r="J663" s="562"/>
      <c r="K663" s="562"/>
      <c r="L663" s="562"/>
      <c r="M663" s="562"/>
      <c r="N663" s="562"/>
      <c r="O663" s="569"/>
      <c r="P663" s="570"/>
      <c r="Q663" s="562"/>
      <c r="R663" s="562"/>
      <c r="S663" s="562"/>
      <c r="T663" s="562"/>
      <c r="U663" s="562"/>
      <c r="V663" s="562"/>
      <c r="W663" s="562"/>
      <c r="X663" s="562"/>
      <c r="Y663" s="562"/>
      <c r="Z663" s="562"/>
    </row>
    <row r="664" ht="12.0" customHeight="1">
      <c r="A664" s="562"/>
      <c r="B664" s="562"/>
      <c r="C664" s="562"/>
      <c r="D664" s="562"/>
      <c r="E664" s="562"/>
      <c r="F664" s="562"/>
      <c r="G664" s="562"/>
      <c r="H664" s="562"/>
      <c r="I664" s="562"/>
      <c r="J664" s="562"/>
      <c r="K664" s="562"/>
      <c r="L664" s="562"/>
      <c r="M664" s="562"/>
      <c r="N664" s="562"/>
      <c r="O664" s="569"/>
      <c r="P664" s="570"/>
      <c r="Q664" s="562"/>
      <c r="R664" s="562"/>
      <c r="S664" s="562"/>
      <c r="T664" s="562"/>
      <c r="U664" s="562"/>
      <c r="V664" s="562"/>
      <c r="W664" s="562"/>
      <c r="X664" s="562"/>
      <c r="Y664" s="562"/>
      <c r="Z664" s="562"/>
    </row>
    <row r="665" ht="12.0" customHeight="1">
      <c r="A665" s="562"/>
      <c r="B665" s="562"/>
      <c r="C665" s="562"/>
      <c r="D665" s="562"/>
      <c r="E665" s="562"/>
      <c r="F665" s="562"/>
      <c r="G665" s="562"/>
      <c r="H665" s="562"/>
      <c r="I665" s="562"/>
      <c r="J665" s="562"/>
      <c r="K665" s="562"/>
      <c r="L665" s="562"/>
      <c r="M665" s="562"/>
      <c r="N665" s="562"/>
      <c r="O665" s="569"/>
      <c r="P665" s="570"/>
      <c r="Q665" s="562"/>
      <c r="R665" s="562"/>
      <c r="S665" s="562"/>
      <c r="T665" s="562"/>
      <c r="U665" s="562"/>
      <c r="V665" s="562"/>
      <c r="W665" s="562"/>
      <c r="X665" s="562"/>
      <c r="Y665" s="562"/>
      <c r="Z665" s="562"/>
    </row>
    <row r="666" ht="12.0" customHeight="1">
      <c r="A666" s="562"/>
      <c r="B666" s="562"/>
      <c r="C666" s="562"/>
      <c r="D666" s="562"/>
      <c r="E666" s="562"/>
      <c r="F666" s="562"/>
      <c r="G666" s="562"/>
      <c r="H666" s="562"/>
      <c r="I666" s="562"/>
      <c r="J666" s="562"/>
      <c r="K666" s="562"/>
      <c r="L666" s="562"/>
      <c r="M666" s="562"/>
      <c r="N666" s="562"/>
      <c r="O666" s="569"/>
      <c r="P666" s="570"/>
      <c r="Q666" s="562"/>
      <c r="R666" s="562"/>
      <c r="S666" s="562"/>
      <c r="T666" s="562"/>
      <c r="U666" s="562"/>
      <c r="V666" s="562"/>
      <c r="W666" s="562"/>
      <c r="X666" s="562"/>
      <c r="Y666" s="562"/>
      <c r="Z666" s="562"/>
    </row>
    <row r="667" ht="12.0" customHeight="1">
      <c r="A667" s="562"/>
      <c r="B667" s="562"/>
      <c r="C667" s="562"/>
      <c r="D667" s="562"/>
      <c r="E667" s="562"/>
      <c r="F667" s="562"/>
      <c r="G667" s="562"/>
      <c r="H667" s="562"/>
      <c r="I667" s="562"/>
      <c r="J667" s="562"/>
      <c r="K667" s="562"/>
      <c r="L667" s="562"/>
      <c r="M667" s="562"/>
      <c r="N667" s="562"/>
      <c r="O667" s="569"/>
      <c r="P667" s="570"/>
      <c r="Q667" s="562"/>
      <c r="R667" s="562"/>
      <c r="S667" s="562"/>
      <c r="T667" s="562"/>
      <c r="U667" s="562"/>
      <c r="V667" s="562"/>
      <c r="W667" s="562"/>
      <c r="X667" s="562"/>
      <c r="Y667" s="562"/>
      <c r="Z667" s="562"/>
    </row>
    <row r="668" ht="12.0" customHeight="1">
      <c r="A668" s="562"/>
      <c r="B668" s="562"/>
      <c r="C668" s="562"/>
      <c r="D668" s="562"/>
      <c r="E668" s="562"/>
      <c r="F668" s="562"/>
      <c r="G668" s="562"/>
      <c r="H668" s="562"/>
      <c r="I668" s="562"/>
      <c r="J668" s="562"/>
      <c r="K668" s="562"/>
      <c r="L668" s="562"/>
      <c r="M668" s="562"/>
      <c r="N668" s="562"/>
      <c r="O668" s="569"/>
      <c r="P668" s="570"/>
      <c r="Q668" s="562"/>
      <c r="R668" s="562"/>
      <c r="S668" s="562"/>
      <c r="T668" s="562"/>
      <c r="U668" s="562"/>
      <c r="V668" s="562"/>
      <c r="W668" s="562"/>
      <c r="X668" s="562"/>
      <c r="Y668" s="562"/>
      <c r="Z668" s="562"/>
    </row>
    <row r="669" ht="12.0" customHeight="1">
      <c r="A669" s="562"/>
      <c r="B669" s="562"/>
      <c r="C669" s="562"/>
      <c r="D669" s="562"/>
      <c r="E669" s="562"/>
      <c r="F669" s="562"/>
      <c r="G669" s="562"/>
      <c r="H669" s="562"/>
      <c r="I669" s="562"/>
      <c r="J669" s="562"/>
      <c r="K669" s="562"/>
      <c r="L669" s="562"/>
      <c r="M669" s="562"/>
      <c r="N669" s="562"/>
      <c r="O669" s="569"/>
      <c r="P669" s="570"/>
      <c r="Q669" s="562"/>
      <c r="R669" s="562"/>
      <c r="S669" s="562"/>
      <c r="T669" s="562"/>
      <c r="U669" s="562"/>
      <c r="V669" s="562"/>
      <c r="W669" s="562"/>
      <c r="X669" s="562"/>
      <c r="Y669" s="562"/>
      <c r="Z669" s="562"/>
    </row>
    <row r="670" ht="12.0" customHeight="1">
      <c r="A670" s="562"/>
      <c r="B670" s="562"/>
      <c r="C670" s="562"/>
      <c r="D670" s="562"/>
      <c r="E670" s="562"/>
      <c r="F670" s="562"/>
      <c r="G670" s="562"/>
      <c r="H670" s="562"/>
      <c r="I670" s="562"/>
      <c r="J670" s="562"/>
      <c r="K670" s="562"/>
      <c r="L670" s="562"/>
      <c r="M670" s="562"/>
      <c r="N670" s="562"/>
      <c r="O670" s="569"/>
      <c r="P670" s="570"/>
      <c r="Q670" s="562"/>
      <c r="R670" s="562"/>
      <c r="S670" s="562"/>
      <c r="T670" s="562"/>
      <c r="U670" s="562"/>
      <c r="V670" s="562"/>
      <c r="W670" s="562"/>
      <c r="X670" s="562"/>
      <c r="Y670" s="562"/>
      <c r="Z670" s="562"/>
    </row>
    <row r="671" ht="12.0" customHeight="1">
      <c r="A671" s="562"/>
      <c r="B671" s="562"/>
      <c r="C671" s="562"/>
      <c r="D671" s="562"/>
      <c r="E671" s="562"/>
      <c r="F671" s="562"/>
      <c r="G671" s="562"/>
      <c r="H671" s="562"/>
      <c r="I671" s="562"/>
      <c r="J671" s="562"/>
      <c r="K671" s="562"/>
      <c r="L671" s="562"/>
      <c r="M671" s="562"/>
      <c r="N671" s="562"/>
      <c r="O671" s="569"/>
      <c r="P671" s="570"/>
      <c r="Q671" s="562"/>
      <c r="R671" s="562"/>
      <c r="S671" s="562"/>
      <c r="T671" s="562"/>
      <c r="U671" s="562"/>
      <c r="V671" s="562"/>
      <c r="W671" s="562"/>
      <c r="X671" s="562"/>
      <c r="Y671" s="562"/>
      <c r="Z671" s="562"/>
    </row>
    <row r="672" ht="12.0" customHeight="1">
      <c r="A672" s="562"/>
      <c r="B672" s="562"/>
      <c r="C672" s="562"/>
      <c r="D672" s="562"/>
      <c r="E672" s="562"/>
      <c r="F672" s="562"/>
      <c r="G672" s="562"/>
      <c r="H672" s="562"/>
      <c r="I672" s="562"/>
      <c r="J672" s="562"/>
      <c r="K672" s="562"/>
      <c r="L672" s="562"/>
      <c r="M672" s="562"/>
      <c r="N672" s="562"/>
      <c r="O672" s="569"/>
      <c r="P672" s="570"/>
      <c r="Q672" s="562"/>
      <c r="R672" s="562"/>
      <c r="S672" s="562"/>
      <c r="T672" s="562"/>
      <c r="U672" s="562"/>
      <c r="V672" s="562"/>
      <c r="W672" s="562"/>
      <c r="X672" s="562"/>
      <c r="Y672" s="562"/>
      <c r="Z672" s="562"/>
    </row>
    <row r="673" ht="12.0" customHeight="1">
      <c r="A673" s="562"/>
      <c r="B673" s="562"/>
      <c r="C673" s="562"/>
      <c r="D673" s="562"/>
      <c r="E673" s="562"/>
      <c r="F673" s="562"/>
      <c r="G673" s="562"/>
      <c r="H673" s="562"/>
      <c r="I673" s="562"/>
      <c r="J673" s="562"/>
      <c r="K673" s="562"/>
      <c r="L673" s="562"/>
      <c r="M673" s="562"/>
      <c r="N673" s="562"/>
      <c r="O673" s="569"/>
      <c r="P673" s="570"/>
      <c r="Q673" s="562"/>
      <c r="R673" s="562"/>
      <c r="S673" s="562"/>
      <c r="T673" s="562"/>
      <c r="U673" s="562"/>
      <c r="V673" s="562"/>
      <c r="W673" s="562"/>
      <c r="X673" s="562"/>
      <c r="Y673" s="562"/>
      <c r="Z673" s="562"/>
    </row>
    <row r="674" ht="12.0" customHeight="1">
      <c r="A674" s="562"/>
      <c r="B674" s="562"/>
      <c r="C674" s="562"/>
      <c r="D674" s="562"/>
      <c r="E674" s="562"/>
      <c r="F674" s="562"/>
      <c r="G674" s="562"/>
      <c r="H674" s="562"/>
      <c r="I674" s="562"/>
      <c r="J674" s="562"/>
      <c r="K674" s="562"/>
      <c r="L674" s="562"/>
      <c r="M674" s="562"/>
      <c r="N674" s="562"/>
      <c r="O674" s="569"/>
      <c r="P674" s="570"/>
      <c r="Q674" s="562"/>
      <c r="R674" s="562"/>
      <c r="S674" s="562"/>
      <c r="T674" s="562"/>
      <c r="U674" s="562"/>
      <c r="V674" s="562"/>
      <c r="W674" s="562"/>
      <c r="X674" s="562"/>
      <c r="Y674" s="562"/>
      <c r="Z674" s="562"/>
    </row>
    <row r="675" ht="12.0" customHeight="1">
      <c r="A675" s="562"/>
      <c r="B675" s="562"/>
      <c r="C675" s="562"/>
      <c r="D675" s="562"/>
      <c r="E675" s="562"/>
      <c r="F675" s="562"/>
      <c r="G675" s="562"/>
      <c r="H675" s="562"/>
      <c r="I675" s="562"/>
      <c r="J675" s="562"/>
      <c r="K675" s="562"/>
      <c r="L675" s="562"/>
      <c r="M675" s="562"/>
      <c r="N675" s="562"/>
      <c r="O675" s="569"/>
      <c r="P675" s="570"/>
      <c r="Q675" s="562"/>
      <c r="R675" s="562"/>
      <c r="S675" s="562"/>
      <c r="T675" s="562"/>
      <c r="U675" s="562"/>
      <c r="V675" s="562"/>
      <c r="W675" s="562"/>
      <c r="X675" s="562"/>
      <c r="Y675" s="562"/>
      <c r="Z675" s="562"/>
    </row>
    <row r="676" ht="12.0" customHeight="1">
      <c r="A676" s="562"/>
      <c r="B676" s="562"/>
      <c r="C676" s="562"/>
      <c r="D676" s="562"/>
      <c r="E676" s="562"/>
      <c r="F676" s="562"/>
      <c r="G676" s="562"/>
      <c r="H676" s="562"/>
      <c r="I676" s="562"/>
      <c r="J676" s="562"/>
      <c r="K676" s="562"/>
      <c r="L676" s="562"/>
      <c r="M676" s="562"/>
      <c r="N676" s="562"/>
      <c r="O676" s="569"/>
      <c r="P676" s="570"/>
      <c r="Q676" s="562"/>
      <c r="R676" s="562"/>
      <c r="S676" s="562"/>
      <c r="T676" s="562"/>
      <c r="U676" s="562"/>
      <c r="V676" s="562"/>
      <c r="W676" s="562"/>
      <c r="X676" s="562"/>
      <c r="Y676" s="562"/>
      <c r="Z676" s="562"/>
    </row>
    <row r="677" ht="12.0" customHeight="1">
      <c r="A677" s="562"/>
      <c r="B677" s="562"/>
      <c r="C677" s="562"/>
      <c r="D677" s="562"/>
      <c r="E677" s="562"/>
      <c r="F677" s="562"/>
      <c r="G677" s="562"/>
      <c r="H677" s="562"/>
      <c r="I677" s="562"/>
      <c r="J677" s="562"/>
      <c r="K677" s="562"/>
      <c r="L677" s="562"/>
      <c r="M677" s="562"/>
      <c r="N677" s="562"/>
      <c r="O677" s="569"/>
      <c r="P677" s="570"/>
      <c r="Q677" s="562"/>
      <c r="R677" s="562"/>
      <c r="S677" s="562"/>
      <c r="T677" s="562"/>
      <c r="U677" s="562"/>
      <c r="V677" s="562"/>
      <c r="W677" s="562"/>
      <c r="X677" s="562"/>
      <c r="Y677" s="562"/>
      <c r="Z677" s="562"/>
    </row>
    <row r="678" ht="12.0" customHeight="1">
      <c r="A678" s="562"/>
      <c r="B678" s="562"/>
      <c r="C678" s="562"/>
      <c r="D678" s="562"/>
      <c r="E678" s="562"/>
      <c r="F678" s="562"/>
      <c r="G678" s="562"/>
      <c r="H678" s="562"/>
      <c r="I678" s="562"/>
      <c r="J678" s="562"/>
      <c r="K678" s="562"/>
      <c r="L678" s="562"/>
      <c r="M678" s="562"/>
      <c r="N678" s="562"/>
      <c r="O678" s="569"/>
      <c r="P678" s="570"/>
      <c r="Q678" s="562"/>
      <c r="R678" s="562"/>
      <c r="S678" s="562"/>
      <c r="T678" s="562"/>
      <c r="U678" s="562"/>
      <c r="V678" s="562"/>
      <c r="W678" s="562"/>
      <c r="X678" s="562"/>
      <c r="Y678" s="562"/>
      <c r="Z678" s="562"/>
    </row>
    <row r="679" ht="12.0" customHeight="1">
      <c r="A679" s="562"/>
      <c r="B679" s="562"/>
      <c r="C679" s="562"/>
      <c r="D679" s="562"/>
      <c r="E679" s="562"/>
      <c r="F679" s="562"/>
      <c r="G679" s="562"/>
      <c r="H679" s="562"/>
      <c r="I679" s="562"/>
      <c r="J679" s="562"/>
      <c r="K679" s="562"/>
      <c r="L679" s="562"/>
      <c r="M679" s="562"/>
      <c r="N679" s="562"/>
      <c r="O679" s="569"/>
      <c r="P679" s="570"/>
      <c r="Q679" s="562"/>
      <c r="R679" s="562"/>
      <c r="S679" s="562"/>
      <c r="T679" s="562"/>
      <c r="U679" s="562"/>
      <c r="V679" s="562"/>
      <c r="W679" s="562"/>
      <c r="X679" s="562"/>
      <c r="Y679" s="562"/>
      <c r="Z679" s="562"/>
    </row>
    <row r="680" ht="12.0" customHeight="1">
      <c r="A680" s="562"/>
      <c r="B680" s="562"/>
      <c r="C680" s="562"/>
      <c r="D680" s="562"/>
      <c r="E680" s="562"/>
      <c r="F680" s="562"/>
      <c r="G680" s="562"/>
      <c r="H680" s="562"/>
      <c r="I680" s="562"/>
      <c r="J680" s="562"/>
      <c r="K680" s="562"/>
      <c r="L680" s="562"/>
      <c r="M680" s="562"/>
      <c r="N680" s="562"/>
      <c r="O680" s="569"/>
      <c r="P680" s="570"/>
      <c r="Q680" s="562"/>
      <c r="R680" s="562"/>
      <c r="S680" s="562"/>
      <c r="T680" s="562"/>
      <c r="U680" s="562"/>
      <c r="V680" s="562"/>
      <c r="W680" s="562"/>
      <c r="X680" s="562"/>
      <c r="Y680" s="562"/>
      <c r="Z680" s="562"/>
    </row>
    <row r="681" ht="12.0" customHeight="1">
      <c r="A681" s="562"/>
      <c r="B681" s="562"/>
      <c r="C681" s="562"/>
      <c r="D681" s="562"/>
      <c r="E681" s="562"/>
      <c r="F681" s="562"/>
      <c r="G681" s="562"/>
      <c r="H681" s="562"/>
      <c r="I681" s="562"/>
      <c r="J681" s="562"/>
      <c r="K681" s="562"/>
      <c r="L681" s="562"/>
      <c r="M681" s="562"/>
      <c r="N681" s="562"/>
      <c r="O681" s="569"/>
      <c r="P681" s="570"/>
      <c r="Q681" s="562"/>
      <c r="R681" s="562"/>
      <c r="S681" s="562"/>
      <c r="T681" s="562"/>
      <c r="U681" s="562"/>
      <c r="V681" s="562"/>
      <c r="W681" s="562"/>
      <c r="X681" s="562"/>
      <c r="Y681" s="562"/>
      <c r="Z681" s="562"/>
    </row>
    <row r="682" ht="12.0" customHeight="1">
      <c r="A682" s="562"/>
      <c r="B682" s="562"/>
      <c r="C682" s="562"/>
      <c r="D682" s="562"/>
      <c r="E682" s="562"/>
      <c r="F682" s="562"/>
      <c r="G682" s="562"/>
      <c r="H682" s="562"/>
      <c r="I682" s="562"/>
      <c r="J682" s="562"/>
      <c r="K682" s="562"/>
      <c r="L682" s="562"/>
      <c r="M682" s="562"/>
      <c r="N682" s="562"/>
      <c r="O682" s="569"/>
      <c r="P682" s="570"/>
      <c r="Q682" s="562"/>
      <c r="R682" s="562"/>
      <c r="S682" s="562"/>
      <c r="T682" s="562"/>
      <c r="U682" s="562"/>
      <c r="V682" s="562"/>
      <c r="W682" s="562"/>
      <c r="X682" s="562"/>
      <c r="Y682" s="562"/>
      <c r="Z682" s="562"/>
    </row>
    <row r="683" ht="12.0" customHeight="1">
      <c r="A683" s="562"/>
      <c r="B683" s="562"/>
      <c r="C683" s="562"/>
      <c r="D683" s="562"/>
      <c r="E683" s="562"/>
      <c r="F683" s="562"/>
      <c r="G683" s="562"/>
      <c r="H683" s="562"/>
      <c r="I683" s="562"/>
      <c r="J683" s="562"/>
      <c r="K683" s="562"/>
      <c r="L683" s="562"/>
      <c r="M683" s="562"/>
      <c r="N683" s="562"/>
      <c r="O683" s="569"/>
      <c r="P683" s="570"/>
      <c r="Q683" s="562"/>
      <c r="R683" s="562"/>
      <c r="S683" s="562"/>
      <c r="T683" s="562"/>
      <c r="U683" s="562"/>
      <c r="V683" s="562"/>
      <c r="W683" s="562"/>
      <c r="X683" s="562"/>
      <c r="Y683" s="562"/>
      <c r="Z683" s="562"/>
    </row>
    <row r="684" ht="12.0" customHeight="1">
      <c r="A684" s="562"/>
      <c r="B684" s="562"/>
      <c r="C684" s="562"/>
      <c r="D684" s="562"/>
      <c r="E684" s="562"/>
      <c r="F684" s="562"/>
      <c r="G684" s="562"/>
      <c r="H684" s="562"/>
      <c r="I684" s="562"/>
      <c r="J684" s="562"/>
      <c r="K684" s="562"/>
      <c r="L684" s="562"/>
      <c r="M684" s="562"/>
      <c r="N684" s="562"/>
      <c r="O684" s="569"/>
      <c r="P684" s="570"/>
      <c r="Q684" s="562"/>
      <c r="R684" s="562"/>
      <c r="S684" s="562"/>
      <c r="T684" s="562"/>
      <c r="U684" s="562"/>
      <c r="V684" s="562"/>
      <c r="W684" s="562"/>
      <c r="X684" s="562"/>
      <c r="Y684" s="562"/>
      <c r="Z684" s="562"/>
    </row>
    <row r="685" ht="12.0" customHeight="1">
      <c r="A685" s="562"/>
      <c r="B685" s="562"/>
      <c r="C685" s="562"/>
      <c r="D685" s="562"/>
      <c r="E685" s="562"/>
      <c r="F685" s="562"/>
      <c r="G685" s="562"/>
      <c r="H685" s="562"/>
      <c r="I685" s="562"/>
      <c r="J685" s="562"/>
      <c r="K685" s="562"/>
      <c r="L685" s="562"/>
      <c r="M685" s="562"/>
      <c r="N685" s="562"/>
      <c r="O685" s="569"/>
      <c r="P685" s="570"/>
      <c r="Q685" s="562"/>
      <c r="R685" s="562"/>
      <c r="S685" s="562"/>
      <c r="T685" s="562"/>
      <c r="U685" s="562"/>
      <c r="V685" s="562"/>
      <c r="W685" s="562"/>
      <c r="X685" s="562"/>
      <c r="Y685" s="562"/>
      <c r="Z685" s="562"/>
    </row>
    <row r="686" ht="12.0" customHeight="1">
      <c r="A686" s="562"/>
      <c r="B686" s="562"/>
      <c r="C686" s="562"/>
      <c r="D686" s="562"/>
      <c r="E686" s="562"/>
      <c r="F686" s="562"/>
      <c r="G686" s="562"/>
      <c r="H686" s="562"/>
      <c r="I686" s="562"/>
      <c r="J686" s="562"/>
      <c r="K686" s="562"/>
      <c r="L686" s="562"/>
      <c r="M686" s="562"/>
      <c r="N686" s="562"/>
      <c r="O686" s="569"/>
      <c r="P686" s="570"/>
      <c r="Q686" s="562"/>
      <c r="R686" s="562"/>
      <c r="S686" s="562"/>
      <c r="T686" s="562"/>
      <c r="U686" s="562"/>
      <c r="V686" s="562"/>
      <c r="W686" s="562"/>
      <c r="X686" s="562"/>
      <c r="Y686" s="562"/>
      <c r="Z686" s="562"/>
    </row>
    <row r="687" ht="12.0" customHeight="1">
      <c r="A687" s="562"/>
      <c r="B687" s="562"/>
      <c r="C687" s="562"/>
      <c r="D687" s="562"/>
      <c r="E687" s="562"/>
      <c r="F687" s="562"/>
      <c r="G687" s="562"/>
      <c r="H687" s="562"/>
      <c r="I687" s="562"/>
      <c r="J687" s="562"/>
      <c r="K687" s="562"/>
      <c r="L687" s="562"/>
      <c r="M687" s="562"/>
      <c r="N687" s="562"/>
      <c r="O687" s="569"/>
      <c r="P687" s="570"/>
      <c r="Q687" s="562"/>
      <c r="R687" s="562"/>
      <c r="S687" s="562"/>
      <c r="T687" s="562"/>
      <c r="U687" s="562"/>
      <c r="V687" s="562"/>
      <c r="W687" s="562"/>
      <c r="X687" s="562"/>
      <c r="Y687" s="562"/>
      <c r="Z687" s="562"/>
    </row>
    <row r="688" ht="12.0" customHeight="1">
      <c r="A688" s="562"/>
      <c r="B688" s="562"/>
      <c r="C688" s="562"/>
      <c r="D688" s="562"/>
      <c r="E688" s="562"/>
      <c r="F688" s="562"/>
      <c r="G688" s="562"/>
      <c r="H688" s="562"/>
      <c r="I688" s="562"/>
      <c r="J688" s="562"/>
      <c r="K688" s="562"/>
      <c r="L688" s="562"/>
      <c r="M688" s="562"/>
      <c r="N688" s="562"/>
      <c r="O688" s="569"/>
      <c r="P688" s="570"/>
      <c r="Q688" s="562"/>
      <c r="R688" s="562"/>
      <c r="S688" s="562"/>
      <c r="T688" s="562"/>
      <c r="U688" s="562"/>
      <c r="V688" s="562"/>
      <c r="W688" s="562"/>
      <c r="X688" s="562"/>
      <c r="Y688" s="562"/>
      <c r="Z688" s="562"/>
    </row>
    <row r="689" ht="12.0" customHeight="1">
      <c r="A689" s="562"/>
      <c r="B689" s="562"/>
      <c r="C689" s="562"/>
      <c r="D689" s="562"/>
      <c r="E689" s="562"/>
      <c r="F689" s="562"/>
      <c r="G689" s="562"/>
      <c r="H689" s="562"/>
      <c r="I689" s="562"/>
      <c r="J689" s="562"/>
      <c r="K689" s="562"/>
      <c r="L689" s="562"/>
      <c r="M689" s="562"/>
      <c r="N689" s="562"/>
      <c r="O689" s="569"/>
      <c r="P689" s="570"/>
      <c r="Q689" s="562"/>
      <c r="R689" s="562"/>
      <c r="S689" s="562"/>
      <c r="T689" s="562"/>
      <c r="U689" s="562"/>
      <c r="V689" s="562"/>
      <c r="W689" s="562"/>
      <c r="X689" s="562"/>
      <c r="Y689" s="562"/>
      <c r="Z689" s="562"/>
    </row>
    <row r="690" ht="12.0" customHeight="1">
      <c r="A690" s="562"/>
      <c r="B690" s="562"/>
      <c r="C690" s="562"/>
      <c r="D690" s="562"/>
      <c r="E690" s="562"/>
      <c r="F690" s="562"/>
      <c r="G690" s="562"/>
      <c r="H690" s="562"/>
      <c r="I690" s="562"/>
      <c r="J690" s="562"/>
      <c r="K690" s="562"/>
      <c r="L690" s="562"/>
      <c r="M690" s="562"/>
      <c r="N690" s="562"/>
      <c r="O690" s="569"/>
      <c r="P690" s="570"/>
      <c r="Q690" s="562"/>
      <c r="R690" s="562"/>
      <c r="S690" s="562"/>
      <c r="T690" s="562"/>
      <c r="U690" s="562"/>
      <c r="V690" s="562"/>
      <c r="W690" s="562"/>
      <c r="X690" s="562"/>
      <c r="Y690" s="562"/>
      <c r="Z690" s="562"/>
    </row>
    <row r="691" ht="12.0" customHeight="1">
      <c r="A691" s="562"/>
      <c r="B691" s="562"/>
      <c r="C691" s="562"/>
      <c r="D691" s="562"/>
      <c r="E691" s="562"/>
      <c r="F691" s="562"/>
      <c r="G691" s="562"/>
      <c r="H691" s="562"/>
      <c r="I691" s="562"/>
      <c r="J691" s="562"/>
      <c r="K691" s="562"/>
      <c r="L691" s="562"/>
      <c r="M691" s="562"/>
      <c r="N691" s="562"/>
      <c r="O691" s="569"/>
      <c r="P691" s="570"/>
      <c r="Q691" s="562"/>
      <c r="R691" s="562"/>
      <c r="S691" s="562"/>
      <c r="T691" s="562"/>
      <c r="U691" s="562"/>
      <c r="V691" s="562"/>
      <c r="W691" s="562"/>
      <c r="X691" s="562"/>
      <c r="Y691" s="562"/>
      <c r="Z691" s="562"/>
    </row>
    <row r="692" ht="12.0" customHeight="1">
      <c r="A692" s="562"/>
      <c r="B692" s="562"/>
      <c r="C692" s="562"/>
      <c r="D692" s="562"/>
      <c r="E692" s="562"/>
      <c r="F692" s="562"/>
      <c r="G692" s="562"/>
      <c r="H692" s="562"/>
      <c r="I692" s="562"/>
      <c r="J692" s="562"/>
      <c r="K692" s="562"/>
      <c r="L692" s="562"/>
      <c r="M692" s="562"/>
      <c r="N692" s="562"/>
      <c r="O692" s="569"/>
      <c r="P692" s="570"/>
      <c r="Q692" s="562"/>
      <c r="R692" s="562"/>
      <c r="S692" s="562"/>
      <c r="T692" s="562"/>
      <c r="U692" s="562"/>
      <c r="V692" s="562"/>
      <c r="W692" s="562"/>
      <c r="X692" s="562"/>
      <c r="Y692" s="562"/>
      <c r="Z692" s="562"/>
    </row>
    <row r="693" ht="12.0" customHeight="1">
      <c r="A693" s="562"/>
      <c r="B693" s="562"/>
      <c r="C693" s="562"/>
      <c r="D693" s="562"/>
      <c r="E693" s="562"/>
      <c r="F693" s="562"/>
      <c r="G693" s="562"/>
      <c r="H693" s="562"/>
      <c r="I693" s="562"/>
      <c r="J693" s="562"/>
      <c r="K693" s="562"/>
      <c r="L693" s="562"/>
      <c r="M693" s="562"/>
      <c r="N693" s="562"/>
      <c r="O693" s="569"/>
      <c r="P693" s="570"/>
      <c r="Q693" s="562"/>
      <c r="R693" s="562"/>
      <c r="S693" s="562"/>
      <c r="T693" s="562"/>
      <c r="U693" s="562"/>
      <c r="V693" s="562"/>
      <c r="W693" s="562"/>
      <c r="X693" s="562"/>
      <c r="Y693" s="562"/>
      <c r="Z693" s="562"/>
    </row>
    <row r="694" ht="12.0" customHeight="1">
      <c r="A694" s="562"/>
      <c r="B694" s="562"/>
      <c r="C694" s="562"/>
      <c r="D694" s="562"/>
      <c r="E694" s="562"/>
      <c r="F694" s="562"/>
      <c r="G694" s="562"/>
      <c r="H694" s="562"/>
      <c r="I694" s="562"/>
      <c r="J694" s="562"/>
      <c r="K694" s="562"/>
      <c r="L694" s="562"/>
      <c r="M694" s="562"/>
      <c r="N694" s="562"/>
      <c r="O694" s="569"/>
      <c r="P694" s="570"/>
      <c r="Q694" s="562"/>
      <c r="R694" s="562"/>
      <c r="S694" s="562"/>
      <c r="T694" s="562"/>
      <c r="U694" s="562"/>
      <c r="V694" s="562"/>
      <c r="W694" s="562"/>
      <c r="X694" s="562"/>
      <c r="Y694" s="562"/>
      <c r="Z694" s="562"/>
    </row>
    <row r="695" ht="12.0" customHeight="1">
      <c r="A695" s="562"/>
      <c r="B695" s="562"/>
      <c r="C695" s="562"/>
      <c r="D695" s="562"/>
      <c r="E695" s="562"/>
      <c r="F695" s="562"/>
      <c r="G695" s="562"/>
      <c r="H695" s="562"/>
      <c r="I695" s="562"/>
      <c r="J695" s="562"/>
      <c r="K695" s="562"/>
      <c r="L695" s="562"/>
      <c r="M695" s="562"/>
      <c r="N695" s="562"/>
      <c r="O695" s="569"/>
      <c r="P695" s="570"/>
      <c r="Q695" s="562"/>
      <c r="R695" s="562"/>
      <c r="S695" s="562"/>
      <c r="T695" s="562"/>
      <c r="U695" s="562"/>
      <c r="V695" s="562"/>
      <c r="W695" s="562"/>
      <c r="X695" s="562"/>
      <c r="Y695" s="562"/>
      <c r="Z695" s="562"/>
    </row>
    <row r="696" ht="12.0" customHeight="1">
      <c r="A696" s="562"/>
      <c r="B696" s="562"/>
      <c r="C696" s="562"/>
      <c r="D696" s="562"/>
      <c r="E696" s="562"/>
      <c r="F696" s="562"/>
      <c r="G696" s="562"/>
      <c r="H696" s="562"/>
      <c r="I696" s="562"/>
      <c r="J696" s="562"/>
      <c r="K696" s="562"/>
      <c r="L696" s="562"/>
      <c r="M696" s="562"/>
      <c r="N696" s="562"/>
      <c r="O696" s="569"/>
      <c r="P696" s="570"/>
      <c r="Q696" s="562"/>
      <c r="R696" s="562"/>
      <c r="S696" s="562"/>
      <c r="T696" s="562"/>
      <c r="U696" s="562"/>
      <c r="V696" s="562"/>
      <c r="W696" s="562"/>
      <c r="X696" s="562"/>
      <c r="Y696" s="562"/>
      <c r="Z696" s="562"/>
    </row>
    <row r="697" ht="12.0" customHeight="1">
      <c r="A697" s="562"/>
      <c r="B697" s="562"/>
      <c r="C697" s="562"/>
      <c r="D697" s="562"/>
      <c r="E697" s="562"/>
      <c r="F697" s="562"/>
      <c r="G697" s="562"/>
      <c r="H697" s="562"/>
      <c r="I697" s="562"/>
      <c r="J697" s="562"/>
      <c r="K697" s="562"/>
      <c r="L697" s="562"/>
      <c r="M697" s="562"/>
      <c r="N697" s="562"/>
      <c r="O697" s="569"/>
      <c r="P697" s="570"/>
      <c r="Q697" s="562"/>
      <c r="R697" s="562"/>
      <c r="S697" s="562"/>
      <c r="T697" s="562"/>
      <c r="U697" s="562"/>
      <c r="V697" s="562"/>
      <c r="W697" s="562"/>
      <c r="X697" s="562"/>
      <c r="Y697" s="562"/>
      <c r="Z697" s="562"/>
    </row>
    <row r="698" ht="12.0" customHeight="1">
      <c r="A698" s="562"/>
      <c r="B698" s="562"/>
      <c r="C698" s="562"/>
      <c r="D698" s="562"/>
      <c r="E698" s="562"/>
      <c r="F698" s="562"/>
      <c r="G698" s="562"/>
      <c r="H698" s="562"/>
      <c r="I698" s="562"/>
      <c r="J698" s="562"/>
      <c r="K698" s="562"/>
      <c r="L698" s="562"/>
      <c r="M698" s="562"/>
      <c r="N698" s="562"/>
      <c r="O698" s="569"/>
      <c r="P698" s="570"/>
      <c r="Q698" s="562"/>
      <c r="R698" s="562"/>
      <c r="S698" s="562"/>
      <c r="T698" s="562"/>
      <c r="U698" s="562"/>
      <c r="V698" s="562"/>
      <c r="W698" s="562"/>
      <c r="X698" s="562"/>
      <c r="Y698" s="562"/>
      <c r="Z698" s="562"/>
    </row>
    <row r="699" ht="12.0" customHeight="1">
      <c r="A699" s="562"/>
      <c r="B699" s="562"/>
      <c r="C699" s="562"/>
      <c r="D699" s="562"/>
      <c r="E699" s="562"/>
      <c r="F699" s="562"/>
      <c r="G699" s="562"/>
      <c r="H699" s="562"/>
      <c r="I699" s="562"/>
      <c r="J699" s="562"/>
      <c r="K699" s="562"/>
      <c r="L699" s="562"/>
      <c r="M699" s="562"/>
      <c r="N699" s="562"/>
      <c r="O699" s="569"/>
      <c r="P699" s="570"/>
      <c r="Q699" s="562"/>
      <c r="R699" s="562"/>
      <c r="S699" s="562"/>
      <c r="T699" s="562"/>
      <c r="U699" s="562"/>
      <c r="V699" s="562"/>
      <c r="W699" s="562"/>
      <c r="X699" s="562"/>
      <c r="Y699" s="562"/>
      <c r="Z699" s="562"/>
    </row>
    <row r="700" ht="12.0" customHeight="1">
      <c r="A700" s="562"/>
      <c r="B700" s="562"/>
      <c r="C700" s="562"/>
      <c r="D700" s="562"/>
      <c r="E700" s="562"/>
      <c r="F700" s="562"/>
      <c r="G700" s="562"/>
      <c r="H700" s="562"/>
      <c r="I700" s="562"/>
      <c r="J700" s="562"/>
      <c r="K700" s="562"/>
      <c r="L700" s="562"/>
      <c r="M700" s="562"/>
      <c r="N700" s="562"/>
      <c r="O700" s="569"/>
      <c r="P700" s="570"/>
      <c r="Q700" s="562"/>
      <c r="R700" s="562"/>
      <c r="S700" s="562"/>
      <c r="T700" s="562"/>
      <c r="U700" s="562"/>
      <c r="V700" s="562"/>
      <c r="W700" s="562"/>
      <c r="X700" s="562"/>
      <c r="Y700" s="562"/>
      <c r="Z700" s="562"/>
    </row>
    <row r="701" ht="12.0" customHeight="1">
      <c r="A701" s="562"/>
      <c r="B701" s="562"/>
      <c r="C701" s="562"/>
      <c r="D701" s="562"/>
      <c r="E701" s="562"/>
      <c r="F701" s="562"/>
      <c r="G701" s="562"/>
      <c r="H701" s="562"/>
      <c r="I701" s="562"/>
      <c r="J701" s="562"/>
      <c r="K701" s="562"/>
      <c r="L701" s="562"/>
      <c r="M701" s="562"/>
      <c r="N701" s="562"/>
      <c r="O701" s="569"/>
      <c r="P701" s="570"/>
      <c r="Q701" s="562"/>
      <c r="R701" s="562"/>
      <c r="S701" s="562"/>
      <c r="T701" s="562"/>
      <c r="U701" s="562"/>
      <c r="V701" s="562"/>
      <c r="W701" s="562"/>
      <c r="X701" s="562"/>
      <c r="Y701" s="562"/>
      <c r="Z701" s="562"/>
    </row>
    <row r="702" ht="12.0" customHeight="1">
      <c r="A702" s="562"/>
      <c r="B702" s="562"/>
      <c r="C702" s="562"/>
      <c r="D702" s="562"/>
      <c r="E702" s="562"/>
      <c r="F702" s="562"/>
      <c r="G702" s="562"/>
      <c r="H702" s="562"/>
      <c r="I702" s="562"/>
      <c r="J702" s="562"/>
      <c r="K702" s="562"/>
      <c r="L702" s="562"/>
      <c r="M702" s="562"/>
      <c r="N702" s="562"/>
      <c r="O702" s="569"/>
      <c r="P702" s="570"/>
      <c r="Q702" s="562"/>
      <c r="R702" s="562"/>
      <c r="S702" s="562"/>
      <c r="T702" s="562"/>
      <c r="U702" s="562"/>
      <c r="V702" s="562"/>
      <c r="W702" s="562"/>
      <c r="X702" s="562"/>
      <c r="Y702" s="562"/>
      <c r="Z702" s="562"/>
    </row>
    <row r="703" ht="12.0" customHeight="1">
      <c r="A703" s="562"/>
      <c r="B703" s="562"/>
      <c r="C703" s="562"/>
      <c r="D703" s="562"/>
      <c r="E703" s="562"/>
      <c r="F703" s="562"/>
      <c r="G703" s="562"/>
      <c r="H703" s="562"/>
      <c r="I703" s="562"/>
      <c r="J703" s="562"/>
      <c r="K703" s="562"/>
      <c r="L703" s="562"/>
      <c r="M703" s="562"/>
      <c r="N703" s="562"/>
      <c r="O703" s="569"/>
      <c r="P703" s="570"/>
      <c r="Q703" s="562"/>
      <c r="R703" s="562"/>
      <c r="S703" s="562"/>
      <c r="T703" s="562"/>
      <c r="U703" s="562"/>
      <c r="V703" s="562"/>
      <c r="W703" s="562"/>
      <c r="X703" s="562"/>
      <c r="Y703" s="562"/>
      <c r="Z703" s="562"/>
    </row>
    <row r="704" ht="12.0" customHeight="1">
      <c r="A704" s="562"/>
      <c r="B704" s="562"/>
      <c r="C704" s="562"/>
      <c r="D704" s="562"/>
      <c r="E704" s="562"/>
      <c r="F704" s="562"/>
      <c r="G704" s="562"/>
      <c r="H704" s="562"/>
      <c r="I704" s="562"/>
      <c r="J704" s="562"/>
      <c r="K704" s="562"/>
      <c r="L704" s="562"/>
      <c r="M704" s="562"/>
      <c r="N704" s="562"/>
      <c r="O704" s="569"/>
      <c r="P704" s="570"/>
      <c r="Q704" s="562"/>
      <c r="R704" s="562"/>
      <c r="S704" s="562"/>
      <c r="T704" s="562"/>
      <c r="U704" s="562"/>
      <c r="V704" s="562"/>
      <c r="W704" s="562"/>
      <c r="X704" s="562"/>
      <c r="Y704" s="562"/>
      <c r="Z704" s="562"/>
    </row>
    <row r="705" ht="12.0" customHeight="1">
      <c r="A705" s="562"/>
      <c r="B705" s="562"/>
      <c r="C705" s="562"/>
      <c r="D705" s="562"/>
      <c r="E705" s="562"/>
      <c r="F705" s="562"/>
      <c r="G705" s="562"/>
      <c r="H705" s="562"/>
      <c r="I705" s="562"/>
      <c r="J705" s="562"/>
      <c r="K705" s="562"/>
      <c r="L705" s="562"/>
      <c r="M705" s="562"/>
      <c r="N705" s="562"/>
      <c r="O705" s="569"/>
      <c r="P705" s="570"/>
      <c r="Q705" s="562"/>
      <c r="R705" s="562"/>
      <c r="S705" s="562"/>
      <c r="T705" s="562"/>
      <c r="U705" s="562"/>
      <c r="V705" s="562"/>
      <c r="W705" s="562"/>
      <c r="X705" s="562"/>
      <c r="Y705" s="562"/>
      <c r="Z705" s="562"/>
    </row>
    <row r="706" ht="12.0" customHeight="1">
      <c r="A706" s="562"/>
      <c r="B706" s="562"/>
      <c r="C706" s="562"/>
      <c r="D706" s="562"/>
      <c r="E706" s="562"/>
      <c r="F706" s="562"/>
      <c r="G706" s="562"/>
      <c r="H706" s="562"/>
      <c r="I706" s="562"/>
      <c r="J706" s="562"/>
      <c r="K706" s="562"/>
      <c r="L706" s="562"/>
      <c r="M706" s="562"/>
      <c r="N706" s="562"/>
      <c r="O706" s="569"/>
      <c r="P706" s="570"/>
      <c r="Q706" s="562"/>
      <c r="R706" s="562"/>
      <c r="S706" s="562"/>
      <c r="T706" s="562"/>
      <c r="U706" s="562"/>
      <c r="V706" s="562"/>
      <c r="W706" s="562"/>
      <c r="X706" s="562"/>
      <c r="Y706" s="562"/>
      <c r="Z706" s="562"/>
    </row>
    <row r="707" ht="12.0" customHeight="1">
      <c r="A707" s="562"/>
      <c r="B707" s="562"/>
      <c r="C707" s="562"/>
      <c r="D707" s="562"/>
      <c r="E707" s="562"/>
      <c r="F707" s="562"/>
      <c r="G707" s="562"/>
      <c r="H707" s="562"/>
      <c r="I707" s="562"/>
      <c r="J707" s="562"/>
      <c r="K707" s="562"/>
      <c r="L707" s="562"/>
      <c r="M707" s="562"/>
      <c r="N707" s="562"/>
      <c r="O707" s="569"/>
      <c r="P707" s="570"/>
      <c r="Q707" s="562"/>
      <c r="R707" s="562"/>
      <c r="S707" s="562"/>
      <c r="T707" s="562"/>
      <c r="U707" s="562"/>
      <c r="V707" s="562"/>
      <c r="W707" s="562"/>
      <c r="X707" s="562"/>
      <c r="Y707" s="562"/>
      <c r="Z707" s="562"/>
    </row>
    <row r="708" ht="12.0" customHeight="1">
      <c r="A708" s="562"/>
      <c r="B708" s="562"/>
      <c r="C708" s="562"/>
      <c r="D708" s="562"/>
      <c r="E708" s="562"/>
      <c r="F708" s="562"/>
      <c r="G708" s="562"/>
      <c r="H708" s="562"/>
      <c r="I708" s="562"/>
      <c r="J708" s="562"/>
      <c r="K708" s="562"/>
      <c r="L708" s="562"/>
      <c r="M708" s="562"/>
      <c r="N708" s="562"/>
      <c r="O708" s="569"/>
      <c r="P708" s="570"/>
      <c r="Q708" s="562"/>
      <c r="R708" s="562"/>
      <c r="S708" s="562"/>
      <c r="T708" s="562"/>
      <c r="U708" s="562"/>
      <c r="V708" s="562"/>
      <c r="W708" s="562"/>
      <c r="X708" s="562"/>
      <c r="Y708" s="562"/>
      <c r="Z708" s="562"/>
    </row>
    <row r="709" ht="12.0" customHeight="1">
      <c r="A709" s="562"/>
      <c r="B709" s="562"/>
      <c r="C709" s="562"/>
      <c r="D709" s="562"/>
      <c r="E709" s="562"/>
      <c r="F709" s="562"/>
      <c r="G709" s="562"/>
      <c r="H709" s="562"/>
      <c r="I709" s="562"/>
      <c r="J709" s="562"/>
      <c r="K709" s="562"/>
      <c r="L709" s="562"/>
      <c r="M709" s="562"/>
      <c r="N709" s="562"/>
      <c r="O709" s="569"/>
      <c r="P709" s="570"/>
      <c r="Q709" s="562"/>
      <c r="R709" s="562"/>
      <c r="S709" s="562"/>
      <c r="T709" s="562"/>
      <c r="U709" s="562"/>
      <c r="V709" s="562"/>
      <c r="W709" s="562"/>
      <c r="X709" s="562"/>
      <c r="Y709" s="562"/>
      <c r="Z709" s="562"/>
    </row>
    <row r="710" ht="12.0" customHeight="1">
      <c r="A710" s="562"/>
      <c r="B710" s="562"/>
      <c r="C710" s="562"/>
      <c r="D710" s="562"/>
      <c r="E710" s="562"/>
      <c r="F710" s="562"/>
      <c r="G710" s="562"/>
      <c r="H710" s="562"/>
      <c r="I710" s="562"/>
      <c r="J710" s="562"/>
      <c r="K710" s="562"/>
      <c r="L710" s="562"/>
      <c r="M710" s="562"/>
      <c r="N710" s="562"/>
      <c r="O710" s="569"/>
      <c r="P710" s="570"/>
      <c r="Q710" s="562"/>
      <c r="R710" s="562"/>
      <c r="S710" s="562"/>
      <c r="T710" s="562"/>
      <c r="U710" s="562"/>
      <c r="V710" s="562"/>
      <c r="W710" s="562"/>
      <c r="X710" s="562"/>
      <c r="Y710" s="562"/>
      <c r="Z710" s="562"/>
    </row>
    <row r="711" ht="12.0" customHeight="1">
      <c r="A711" s="562"/>
      <c r="B711" s="562"/>
      <c r="C711" s="562"/>
      <c r="D711" s="562"/>
      <c r="E711" s="562"/>
      <c r="F711" s="562"/>
      <c r="G711" s="562"/>
      <c r="H711" s="562"/>
      <c r="I711" s="562"/>
      <c r="J711" s="562"/>
      <c r="K711" s="562"/>
      <c r="L711" s="562"/>
      <c r="M711" s="562"/>
      <c r="N711" s="562"/>
      <c r="O711" s="569"/>
      <c r="P711" s="570"/>
      <c r="Q711" s="562"/>
      <c r="R711" s="562"/>
      <c r="S711" s="562"/>
      <c r="T711" s="562"/>
      <c r="U711" s="562"/>
      <c r="V711" s="562"/>
      <c r="W711" s="562"/>
      <c r="X711" s="562"/>
      <c r="Y711" s="562"/>
      <c r="Z711" s="562"/>
    </row>
    <row r="712" ht="12.0" customHeight="1">
      <c r="A712" s="562"/>
      <c r="B712" s="562"/>
      <c r="C712" s="562"/>
      <c r="D712" s="562"/>
      <c r="E712" s="562"/>
      <c r="F712" s="562"/>
      <c r="G712" s="562"/>
      <c r="H712" s="562"/>
      <c r="I712" s="562"/>
      <c r="J712" s="562"/>
      <c r="K712" s="562"/>
      <c r="L712" s="562"/>
      <c r="M712" s="562"/>
      <c r="N712" s="562"/>
      <c r="O712" s="569"/>
      <c r="P712" s="570"/>
      <c r="Q712" s="562"/>
      <c r="R712" s="562"/>
      <c r="S712" s="562"/>
      <c r="T712" s="562"/>
      <c r="U712" s="562"/>
      <c r="V712" s="562"/>
      <c r="W712" s="562"/>
      <c r="X712" s="562"/>
      <c r="Y712" s="562"/>
      <c r="Z712" s="562"/>
    </row>
    <row r="713" ht="12.0" customHeight="1">
      <c r="A713" s="562"/>
      <c r="B713" s="562"/>
      <c r="C713" s="562"/>
      <c r="D713" s="562"/>
      <c r="E713" s="562"/>
      <c r="F713" s="562"/>
      <c r="G713" s="562"/>
      <c r="H713" s="562"/>
      <c r="I713" s="562"/>
      <c r="J713" s="562"/>
      <c r="K713" s="562"/>
      <c r="L713" s="562"/>
      <c r="M713" s="562"/>
      <c r="N713" s="562"/>
      <c r="O713" s="569"/>
      <c r="P713" s="570"/>
      <c r="Q713" s="562"/>
      <c r="R713" s="562"/>
      <c r="S713" s="562"/>
      <c r="T713" s="562"/>
      <c r="U713" s="562"/>
      <c r="V713" s="562"/>
      <c r="W713" s="562"/>
      <c r="X713" s="562"/>
      <c r="Y713" s="562"/>
      <c r="Z713" s="562"/>
    </row>
    <row r="714" ht="12.0" customHeight="1">
      <c r="A714" s="562"/>
      <c r="B714" s="562"/>
      <c r="C714" s="562"/>
      <c r="D714" s="562"/>
      <c r="E714" s="562"/>
      <c r="F714" s="562"/>
      <c r="G714" s="562"/>
      <c r="H714" s="562"/>
      <c r="I714" s="562"/>
      <c r="J714" s="562"/>
      <c r="K714" s="562"/>
      <c r="L714" s="562"/>
      <c r="M714" s="562"/>
      <c r="N714" s="562"/>
      <c r="O714" s="569"/>
      <c r="P714" s="570"/>
      <c r="Q714" s="562"/>
      <c r="R714" s="562"/>
      <c r="S714" s="562"/>
      <c r="T714" s="562"/>
      <c r="U714" s="562"/>
      <c r="V714" s="562"/>
      <c r="W714" s="562"/>
      <c r="X714" s="562"/>
      <c r="Y714" s="562"/>
      <c r="Z714" s="562"/>
    </row>
    <row r="715" ht="12.0" customHeight="1">
      <c r="A715" s="562"/>
      <c r="B715" s="562"/>
      <c r="C715" s="562"/>
      <c r="D715" s="562"/>
      <c r="E715" s="562"/>
      <c r="F715" s="562"/>
      <c r="G715" s="562"/>
      <c r="H715" s="562"/>
      <c r="I715" s="562"/>
      <c r="J715" s="562"/>
      <c r="K715" s="562"/>
      <c r="L715" s="562"/>
      <c r="M715" s="562"/>
      <c r="N715" s="562"/>
      <c r="O715" s="569"/>
      <c r="P715" s="570"/>
      <c r="Q715" s="562"/>
      <c r="R715" s="562"/>
      <c r="S715" s="562"/>
      <c r="T715" s="562"/>
      <c r="U715" s="562"/>
      <c r="V715" s="562"/>
      <c r="W715" s="562"/>
      <c r="X715" s="562"/>
      <c r="Y715" s="562"/>
      <c r="Z715" s="562"/>
    </row>
    <row r="716" ht="12.0" customHeight="1">
      <c r="A716" s="562"/>
      <c r="B716" s="562"/>
      <c r="C716" s="562"/>
      <c r="D716" s="562"/>
      <c r="E716" s="562"/>
      <c r="F716" s="562"/>
      <c r="G716" s="562"/>
      <c r="H716" s="562"/>
      <c r="I716" s="562"/>
      <c r="J716" s="562"/>
      <c r="K716" s="562"/>
      <c r="L716" s="562"/>
      <c r="M716" s="562"/>
      <c r="N716" s="562"/>
      <c r="O716" s="569"/>
      <c r="P716" s="570"/>
      <c r="Q716" s="562"/>
      <c r="R716" s="562"/>
      <c r="S716" s="562"/>
      <c r="T716" s="562"/>
      <c r="U716" s="562"/>
      <c r="V716" s="562"/>
      <c r="W716" s="562"/>
      <c r="X716" s="562"/>
      <c r="Y716" s="562"/>
      <c r="Z716" s="562"/>
    </row>
    <row r="717" ht="12.0" customHeight="1">
      <c r="A717" s="562"/>
      <c r="B717" s="562"/>
      <c r="C717" s="562"/>
      <c r="D717" s="562"/>
      <c r="E717" s="562"/>
      <c r="F717" s="562"/>
      <c r="G717" s="562"/>
      <c r="H717" s="562"/>
      <c r="I717" s="562"/>
      <c r="J717" s="562"/>
      <c r="K717" s="562"/>
      <c r="L717" s="562"/>
      <c r="M717" s="562"/>
      <c r="N717" s="562"/>
      <c r="O717" s="569"/>
      <c r="P717" s="570"/>
      <c r="Q717" s="562"/>
      <c r="R717" s="562"/>
      <c r="S717" s="562"/>
      <c r="T717" s="562"/>
      <c r="U717" s="562"/>
      <c r="V717" s="562"/>
      <c r="W717" s="562"/>
      <c r="X717" s="562"/>
      <c r="Y717" s="562"/>
      <c r="Z717" s="562"/>
    </row>
    <row r="718" ht="12.0" customHeight="1">
      <c r="A718" s="562"/>
      <c r="B718" s="562"/>
      <c r="C718" s="562"/>
      <c r="D718" s="562"/>
      <c r="E718" s="562"/>
      <c r="F718" s="562"/>
      <c r="G718" s="562"/>
      <c r="H718" s="562"/>
      <c r="I718" s="562"/>
      <c r="J718" s="562"/>
      <c r="K718" s="562"/>
      <c r="L718" s="562"/>
      <c r="M718" s="562"/>
      <c r="N718" s="562"/>
      <c r="O718" s="569"/>
      <c r="P718" s="570"/>
      <c r="Q718" s="562"/>
      <c r="R718" s="562"/>
      <c r="S718" s="562"/>
      <c r="T718" s="562"/>
      <c r="U718" s="562"/>
      <c r="V718" s="562"/>
      <c r="W718" s="562"/>
      <c r="X718" s="562"/>
      <c r="Y718" s="562"/>
      <c r="Z718" s="562"/>
    </row>
    <row r="719" ht="12.0" customHeight="1">
      <c r="A719" s="562"/>
      <c r="B719" s="562"/>
      <c r="C719" s="562"/>
      <c r="D719" s="562"/>
      <c r="E719" s="562"/>
      <c r="F719" s="562"/>
      <c r="G719" s="562"/>
      <c r="H719" s="562"/>
      <c r="I719" s="562"/>
      <c r="J719" s="562"/>
      <c r="K719" s="562"/>
      <c r="L719" s="562"/>
      <c r="M719" s="562"/>
      <c r="N719" s="562"/>
      <c r="O719" s="569"/>
      <c r="P719" s="570"/>
      <c r="Q719" s="562"/>
      <c r="R719" s="562"/>
      <c r="S719" s="562"/>
      <c r="T719" s="562"/>
      <c r="U719" s="562"/>
      <c r="V719" s="562"/>
      <c r="W719" s="562"/>
      <c r="X719" s="562"/>
      <c r="Y719" s="562"/>
      <c r="Z719" s="562"/>
    </row>
    <row r="720" ht="12.0" customHeight="1">
      <c r="A720" s="562"/>
      <c r="B720" s="562"/>
      <c r="C720" s="562"/>
      <c r="D720" s="562"/>
      <c r="E720" s="562"/>
      <c r="F720" s="562"/>
      <c r="G720" s="562"/>
      <c r="H720" s="562"/>
      <c r="I720" s="562"/>
      <c r="J720" s="562"/>
      <c r="K720" s="562"/>
      <c r="L720" s="562"/>
      <c r="M720" s="562"/>
      <c r="N720" s="562"/>
      <c r="O720" s="569"/>
      <c r="P720" s="570"/>
      <c r="Q720" s="562"/>
      <c r="R720" s="562"/>
      <c r="S720" s="562"/>
      <c r="T720" s="562"/>
      <c r="U720" s="562"/>
      <c r="V720" s="562"/>
      <c r="W720" s="562"/>
      <c r="X720" s="562"/>
      <c r="Y720" s="562"/>
      <c r="Z720" s="562"/>
    </row>
    <row r="721" ht="12.0" customHeight="1">
      <c r="A721" s="562"/>
      <c r="B721" s="562"/>
      <c r="C721" s="562"/>
      <c r="D721" s="562"/>
      <c r="E721" s="562"/>
      <c r="F721" s="562"/>
      <c r="G721" s="562"/>
      <c r="H721" s="562"/>
      <c r="I721" s="562"/>
      <c r="J721" s="562"/>
      <c r="K721" s="562"/>
      <c r="L721" s="562"/>
      <c r="M721" s="562"/>
      <c r="N721" s="562"/>
      <c r="O721" s="569"/>
      <c r="P721" s="570"/>
      <c r="Q721" s="562"/>
      <c r="R721" s="562"/>
      <c r="S721" s="562"/>
      <c r="T721" s="562"/>
      <c r="U721" s="562"/>
      <c r="V721" s="562"/>
      <c r="W721" s="562"/>
      <c r="X721" s="562"/>
      <c r="Y721" s="562"/>
      <c r="Z721" s="562"/>
    </row>
    <row r="722" ht="12.0" customHeight="1">
      <c r="A722" s="562"/>
      <c r="B722" s="562"/>
      <c r="C722" s="562"/>
      <c r="D722" s="562"/>
      <c r="E722" s="562"/>
      <c r="F722" s="562"/>
      <c r="G722" s="562"/>
      <c r="H722" s="562"/>
      <c r="I722" s="562"/>
      <c r="J722" s="562"/>
      <c r="K722" s="562"/>
      <c r="L722" s="562"/>
      <c r="M722" s="562"/>
      <c r="N722" s="562"/>
      <c r="O722" s="569"/>
      <c r="P722" s="570"/>
      <c r="Q722" s="562"/>
      <c r="R722" s="562"/>
      <c r="S722" s="562"/>
      <c r="T722" s="562"/>
      <c r="U722" s="562"/>
      <c r="V722" s="562"/>
      <c r="W722" s="562"/>
      <c r="X722" s="562"/>
      <c r="Y722" s="562"/>
      <c r="Z722" s="562"/>
    </row>
    <row r="723" ht="12.0" customHeight="1">
      <c r="A723" s="562"/>
      <c r="B723" s="562"/>
      <c r="C723" s="562"/>
      <c r="D723" s="562"/>
      <c r="E723" s="562"/>
      <c r="F723" s="562"/>
      <c r="G723" s="562"/>
      <c r="H723" s="562"/>
      <c r="I723" s="562"/>
      <c r="J723" s="562"/>
      <c r="K723" s="562"/>
      <c r="L723" s="562"/>
      <c r="M723" s="562"/>
      <c r="N723" s="562"/>
      <c r="O723" s="569"/>
      <c r="P723" s="570"/>
      <c r="Q723" s="562"/>
      <c r="R723" s="562"/>
      <c r="S723" s="562"/>
      <c r="T723" s="562"/>
      <c r="U723" s="562"/>
      <c r="V723" s="562"/>
      <c r="W723" s="562"/>
      <c r="X723" s="562"/>
      <c r="Y723" s="562"/>
      <c r="Z723" s="562"/>
    </row>
    <row r="724" ht="12.0" customHeight="1">
      <c r="A724" s="562"/>
      <c r="B724" s="562"/>
      <c r="C724" s="562"/>
      <c r="D724" s="562"/>
      <c r="E724" s="562"/>
      <c r="F724" s="562"/>
      <c r="G724" s="562"/>
      <c r="H724" s="562"/>
      <c r="I724" s="562"/>
      <c r="J724" s="562"/>
      <c r="K724" s="562"/>
      <c r="L724" s="562"/>
      <c r="M724" s="562"/>
      <c r="N724" s="562"/>
      <c r="O724" s="569"/>
      <c r="P724" s="570"/>
      <c r="Q724" s="562"/>
      <c r="R724" s="562"/>
      <c r="S724" s="562"/>
      <c r="T724" s="562"/>
      <c r="U724" s="562"/>
      <c r="V724" s="562"/>
      <c r="W724" s="562"/>
      <c r="X724" s="562"/>
      <c r="Y724" s="562"/>
      <c r="Z724" s="562"/>
    </row>
    <row r="725" ht="12.0" customHeight="1">
      <c r="A725" s="562"/>
      <c r="B725" s="562"/>
      <c r="C725" s="562"/>
      <c r="D725" s="562"/>
      <c r="E725" s="562"/>
      <c r="F725" s="562"/>
      <c r="G725" s="562"/>
      <c r="H725" s="562"/>
      <c r="I725" s="562"/>
      <c r="J725" s="562"/>
      <c r="K725" s="562"/>
      <c r="L725" s="562"/>
      <c r="M725" s="562"/>
      <c r="N725" s="562"/>
      <c r="O725" s="569"/>
      <c r="P725" s="570"/>
      <c r="Q725" s="562"/>
      <c r="R725" s="562"/>
      <c r="S725" s="562"/>
      <c r="T725" s="562"/>
      <c r="U725" s="562"/>
      <c r="V725" s="562"/>
      <c r="W725" s="562"/>
      <c r="X725" s="562"/>
      <c r="Y725" s="562"/>
      <c r="Z725" s="562"/>
    </row>
    <row r="726" ht="12.0" customHeight="1">
      <c r="A726" s="562"/>
      <c r="B726" s="562"/>
      <c r="C726" s="562"/>
      <c r="D726" s="562"/>
      <c r="E726" s="562"/>
      <c r="F726" s="562"/>
      <c r="G726" s="562"/>
      <c r="H726" s="562"/>
      <c r="I726" s="562"/>
      <c r="J726" s="562"/>
      <c r="K726" s="562"/>
      <c r="L726" s="562"/>
      <c r="M726" s="562"/>
      <c r="N726" s="562"/>
      <c r="O726" s="569"/>
      <c r="P726" s="570"/>
      <c r="Q726" s="562"/>
      <c r="R726" s="562"/>
      <c r="S726" s="562"/>
      <c r="T726" s="562"/>
      <c r="U726" s="562"/>
      <c r="V726" s="562"/>
      <c r="W726" s="562"/>
      <c r="X726" s="562"/>
      <c r="Y726" s="562"/>
      <c r="Z726" s="562"/>
    </row>
    <row r="727" ht="12.0" customHeight="1">
      <c r="A727" s="562"/>
      <c r="B727" s="562"/>
      <c r="C727" s="562"/>
      <c r="D727" s="562"/>
      <c r="E727" s="562"/>
      <c r="F727" s="562"/>
      <c r="G727" s="562"/>
      <c r="H727" s="562"/>
      <c r="I727" s="562"/>
      <c r="J727" s="562"/>
      <c r="K727" s="562"/>
      <c r="L727" s="562"/>
      <c r="M727" s="562"/>
      <c r="N727" s="562"/>
      <c r="O727" s="569"/>
      <c r="P727" s="570"/>
      <c r="Q727" s="562"/>
      <c r="R727" s="562"/>
      <c r="S727" s="562"/>
      <c r="T727" s="562"/>
      <c r="U727" s="562"/>
      <c r="V727" s="562"/>
      <c r="W727" s="562"/>
      <c r="X727" s="562"/>
      <c r="Y727" s="562"/>
      <c r="Z727" s="562"/>
    </row>
    <row r="728" ht="12.0" customHeight="1">
      <c r="A728" s="562"/>
      <c r="B728" s="562"/>
      <c r="C728" s="562"/>
      <c r="D728" s="562"/>
      <c r="E728" s="562"/>
      <c r="F728" s="562"/>
      <c r="G728" s="562"/>
      <c r="H728" s="562"/>
      <c r="I728" s="562"/>
      <c r="J728" s="562"/>
      <c r="K728" s="562"/>
      <c r="L728" s="562"/>
      <c r="M728" s="562"/>
      <c r="N728" s="562"/>
      <c r="O728" s="569"/>
      <c r="P728" s="570"/>
      <c r="Q728" s="562"/>
      <c r="R728" s="562"/>
      <c r="S728" s="562"/>
      <c r="T728" s="562"/>
      <c r="U728" s="562"/>
      <c r="V728" s="562"/>
      <c r="W728" s="562"/>
      <c r="X728" s="562"/>
      <c r="Y728" s="562"/>
      <c r="Z728" s="562"/>
    </row>
    <row r="729" ht="12.0" customHeight="1">
      <c r="A729" s="562"/>
      <c r="B729" s="562"/>
      <c r="C729" s="562"/>
      <c r="D729" s="562"/>
      <c r="E729" s="562"/>
      <c r="F729" s="562"/>
      <c r="G729" s="562"/>
      <c r="H729" s="562"/>
      <c r="I729" s="562"/>
      <c r="J729" s="562"/>
      <c r="K729" s="562"/>
      <c r="L729" s="562"/>
      <c r="M729" s="562"/>
      <c r="N729" s="562"/>
      <c r="O729" s="569"/>
      <c r="P729" s="570"/>
      <c r="Q729" s="562"/>
      <c r="R729" s="562"/>
      <c r="S729" s="562"/>
      <c r="T729" s="562"/>
      <c r="U729" s="562"/>
      <c r="V729" s="562"/>
      <c r="W729" s="562"/>
      <c r="X729" s="562"/>
      <c r="Y729" s="562"/>
      <c r="Z729" s="562"/>
    </row>
    <row r="730" ht="12.0" customHeight="1">
      <c r="A730" s="562"/>
      <c r="B730" s="562"/>
      <c r="C730" s="562"/>
      <c r="D730" s="562"/>
      <c r="E730" s="562"/>
      <c r="F730" s="562"/>
      <c r="G730" s="562"/>
      <c r="H730" s="562"/>
      <c r="I730" s="562"/>
      <c r="J730" s="562"/>
      <c r="K730" s="562"/>
      <c r="L730" s="562"/>
      <c r="M730" s="562"/>
      <c r="N730" s="562"/>
      <c r="O730" s="569"/>
      <c r="P730" s="570"/>
      <c r="Q730" s="562"/>
      <c r="R730" s="562"/>
      <c r="S730" s="562"/>
      <c r="T730" s="562"/>
      <c r="U730" s="562"/>
      <c r="V730" s="562"/>
      <c r="W730" s="562"/>
      <c r="X730" s="562"/>
      <c r="Y730" s="562"/>
      <c r="Z730" s="562"/>
    </row>
    <row r="731" ht="12.0" customHeight="1">
      <c r="A731" s="562"/>
      <c r="B731" s="562"/>
      <c r="C731" s="562"/>
      <c r="D731" s="562"/>
      <c r="E731" s="562"/>
      <c r="F731" s="562"/>
      <c r="G731" s="562"/>
      <c r="H731" s="562"/>
      <c r="I731" s="562"/>
      <c r="J731" s="562"/>
      <c r="K731" s="562"/>
      <c r="L731" s="562"/>
      <c r="M731" s="562"/>
      <c r="N731" s="562"/>
      <c r="O731" s="569"/>
      <c r="P731" s="570"/>
      <c r="Q731" s="562"/>
      <c r="R731" s="562"/>
      <c r="S731" s="562"/>
      <c r="T731" s="562"/>
      <c r="U731" s="562"/>
      <c r="V731" s="562"/>
      <c r="W731" s="562"/>
      <c r="X731" s="562"/>
      <c r="Y731" s="562"/>
      <c r="Z731" s="562"/>
    </row>
    <row r="732" ht="12.0" customHeight="1">
      <c r="A732" s="562"/>
      <c r="B732" s="562"/>
      <c r="C732" s="562"/>
      <c r="D732" s="562"/>
      <c r="E732" s="562"/>
      <c r="F732" s="562"/>
      <c r="G732" s="562"/>
      <c r="H732" s="562"/>
      <c r="I732" s="562"/>
      <c r="J732" s="562"/>
      <c r="K732" s="562"/>
      <c r="L732" s="562"/>
      <c r="M732" s="562"/>
      <c r="N732" s="562"/>
      <c r="O732" s="569"/>
      <c r="P732" s="570"/>
      <c r="Q732" s="562"/>
      <c r="R732" s="562"/>
      <c r="S732" s="562"/>
      <c r="T732" s="562"/>
      <c r="U732" s="562"/>
      <c r="V732" s="562"/>
      <c r="W732" s="562"/>
      <c r="X732" s="562"/>
      <c r="Y732" s="562"/>
      <c r="Z732" s="562"/>
    </row>
    <row r="733" ht="12.0" customHeight="1">
      <c r="A733" s="562"/>
      <c r="B733" s="562"/>
      <c r="C733" s="562"/>
      <c r="D733" s="562"/>
      <c r="E733" s="562"/>
      <c r="F733" s="562"/>
      <c r="G733" s="562"/>
      <c r="H733" s="562"/>
      <c r="I733" s="562"/>
      <c r="J733" s="562"/>
      <c r="K733" s="562"/>
      <c r="L733" s="562"/>
      <c r="M733" s="562"/>
      <c r="N733" s="562"/>
      <c r="O733" s="569"/>
      <c r="P733" s="570"/>
      <c r="Q733" s="562"/>
      <c r="R733" s="562"/>
      <c r="S733" s="562"/>
      <c r="T733" s="562"/>
      <c r="U733" s="562"/>
      <c r="V733" s="562"/>
      <c r="W733" s="562"/>
      <c r="X733" s="562"/>
      <c r="Y733" s="562"/>
      <c r="Z733" s="562"/>
    </row>
    <row r="734" ht="12.0" customHeight="1">
      <c r="A734" s="562"/>
      <c r="B734" s="562"/>
      <c r="C734" s="562"/>
      <c r="D734" s="562"/>
      <c r="E734" s="562"/>
      <c r="F734" s="562"/>
      <c r="G734" s="562"/>
      <c r="H734" s="562"/>
      <c r="I734" s="562"/>
      <c r="J734" s="562"/>
      <c r="K734" s="562"/>
      <c r="L734" s="562"/>
      <c r="M734" s="562"/>
      <c r="N734" s="562"/>
      <c r="O734" s="569"/>
      <c r="P734" s="570"/>
      <c r="Q734" s="562"/>
      <c r="R734" s="562"/>
      <c r="S734" s="562"/>
      <c r="T734" s="562"/>
      <c r="U734" s="562"/>
      <c r="V734" s="562"/>
      <c r="W734" s="562"/>
      <c r="X734" s="562"/>
      <c r="Y734" s="562"/>
      <c r="Z734" s="562"/>
    </row>
    <row r="735" ht="12.0" customHeight="1">
      <c r="A735" s="562"/>
      <c r="B735" s="562"/>
      <c r="C735" s="562"/>
      <c r="D735" s="562"/>
      <c r="E735" s="562"/>
      <c r="F735" s="562"/>
      <c r="G735" s="562"/>
      <c r="H735" s="562"/>
      <c r="I735" s="562"/>
      <c r="J735" s="562"/>
      <c r="K735" s="562"/>
      <c r="L735" s="562"/>
      <c r="M735" s="562"/>
      <c r="N735" s="562"/>
      <c r="O735" s="569"/>
      <c r="P735" s="570"/>
      <c r="Q735" s="562"/>
      <c r="R735" s="562"/>
      <c r="S735" s="562"/>
      <c r="T735" s="562"/>
      <c r="U735" s="562"/>
      <c r="V735" s="562"/>
      <c r="W735" s="562"/>
      <c r="X735" s="562"/>
      <c r="Y735" s="562"/>
      <c r="Z735" s="562"/>
    </row>
    <row r="736" ht="12.0" customHeight="1">
      <c r="A736" s="562"/>
      <c r="B736" s="562"/>
      <c r="C736" s="562"/>
      <c r="D736" s="562"/>
      <c r="E736" s="562"/>
      <c r="F736" s="562"/>
      <c r="G736" s="562"/>
      <c r="H736" s="562"/>
      <c r="I736" s="562"/>
      <c r="J736" s="562"/>
      <c r="K736" s="562"/>
      <c r="L736" s="562"/>
      <c r="M736" s="562"/>
      <c r="N736" s="562"/>
      <c r="O736" s="569"/>
      <c r="P736" s="570"/>
      <c r="Q736" s="562"/>
      <c r="R736" s="562"/>
      <c r="S736" s="562"/>
      <c r="T736" s="562"/>
      <c r="U736" s="562"/>
      <c r="V736" s="562"/>
      <c r="W736" s="562"/>
      <c r="X736" s="562"/>
      <c r="Y736" s="562"/>
      <c r="Z736" s="562"/>
    </row>
    <row r="737" ht="12.0" customHeight="1">
      <c r="A737" s="562"/>
      <c r="B737" s="562"/>
      <c r="C737" s="562"/>
      <c r="D737" s="562"/>
      <c r="E737" s="562"/>
      <c r="F737" s="562"/>
      <c r="G737" s="562"/>
      <c r="H737" s="562"/>
      <c r="I737" s="562"/>
      <c r="J737" s="562"/>
      <c r="K737" s="562"/>
      <c r="L737" s="562"/>
      <c r="M737" s="562"/>
      <c r="N737" s="562"/>
      <c r="O737" s="569"/>
      <c r="P737" s="570"/>
      <c r="Q737" s="562"/>
      <c r="R737" s="562"/>
      <c r="S737" s="562"/>
      <c r="T737" s="562"/>
      <c r="U737" s="562"/>
      <c r="V737" s="562"/>
      <c r="W737" s="562"/>
      <c r="X737" s="562"/>
      <c r="Y737" s="562"/>
      <c r="Z737" s="562"/>
    </row>
    <row r="738" ht="12.0" customHeight="1">
      <c r="A738" s="562"/>
      <c r="B738" s="562"/>
      <c r="C738" s="562"/>
      <c r="D738" s="562"/>
      <c r="E738" s="562"/>
      <c r="F738" s="562"/>
      <c r="G738" s="562"/>
      <c r="H738" s="562"/>
      <c r="I738" s="562"/>
      <c r="J738" s="562"/>
      <c r="K738" s="562"/>
      <c r="L738" s="562"/>
      <c r="M738" s="562"/>
      <c r="N738" s="562"/>
      <c r="O738" s="569"/>
      <c r="P738" s="570"/>
      <c r="Q738" s="562"/>
      <c r="R738" s="562"/>
      <c r="S738" s="562"/>
      <c r="T738" s="562"/>
      <c r="U738" s="562"/>
      <c r="V738" s="562"/>
      <c r="W738" s="562"/>
      <c r="X738" s="562"/>
      <c r="Y738" s="562"/>
      <c r="Z738" s="562"/>
    </row>
    <row r="739" ht="12.0" customHeight="1">
      <c r="A739" s="562"/>
      <c r="B739" s="562"/>
      <c r="C739" s="562"/>
      <c r="D739" s="562"/>
      <c r="E739" s="562"/>
      <c r="F739" s="562"/>
      <c r="G739" s="562"/>
      <c r="H739" s="562"/>
      <c r="I739" s="562"/>
      <c r="J739" s="562"/>
      <c r="K739" s="562"/>
      <c r="L739" s="562"/>
      <c r="M739" s="562"/>
      <c r="N739" s="562"/>
      <c r="O739" s="569"/>
      <c r="P739" s="570"/>
      <c r="Q739" s="562"/>
      <c r="R739" s="562"/>
      <c r="S739" s="562"/>
      <c r="T739" s="562"/>
      <c r="U739" s="562"/>
      <c r="V739" s="562"/>
      <c r="W739" s="562"/>
      <c r="X739" s="562"/>
      <c r="Y739" s="562"/>
      <c r="Z739" s="562"/>
    </row>
    <row r="740" ht="12.0" customHeight="1">
      <c r="A740" s="562"/>
      <c r="B740" s="562"/>
      <c r="C740" s="562"/>
      <c r="D740" s="562"/>
      <c r="E740" s="562"/>
      <c r="F740" s="562"/>
      <c r="G740" s="562"/>
      <c r="H740" s="562"/>
      <c r="I740" s="562"/>
      <c r="J740" s="562"/>
      <c r="K740" s="562"/>
      <c r="L740" s="562"/>
      <c r="M740" s="562"/>
      <c r="N740" s="562"/>
      <c r="O740" s="569"/>
      <c r="P740" s="570"/>
      <c r="Q740" s="562"/>
      <c r="R740" s="562"/>
      <c r="S740" s="562"/>
      <c r="T740" s="562"/>
      <c r="U740" s="562"/>
      <c r="V740" s="562"/>
      <c r="W740" s="562"/>
      <c r="X740" s="562"/>
      <c r="Y740" s="562"/>
      <c r="Z740" s="562"/>
    </row>
    <row r="741" ht="12.0" customHeight="1">
      <c r="A741" s="562"/>
      <c r="B741" s="562"/>
      <c r="C741" s="562"/>
      <c r="D741" s="562"/>
      <c r="E741" s="562"/>
      <c r="F741" s="562"/>
      <c r="G741" s="562"/>
      <c r="H741" s="562"/>
      <c r="I741" s="562"/>
      <c r="J741" s="562"/>
      <c r="K741" s="562"/>
      <c r="L741" s="562"/>
      <c r="M741" s="562"/>
      <c r="N741" s="562"/>
      <c r="O741" s="569"/>
      <c r="P741" s="570"/>
      <c r="Q741" s="562"/>
      <c r="R741" s="562"/>
      <c r="S741" s="562"/>
      <c r="T741" s="562"/>
      <c r="U741" s="562"/>
      <c r="V741" s="562"/>
      <c r="W741" s="562"/>
      <c r="X741" s="562"/>
      <c r="Y741" s="562"/>
      <c r="Z741" s="562"/>
    </row>
    <row r="742" ht="12.0" customHeight="1">
      <c r="A742" s="562"/>
      <c r="B742" s="562"/>
      <c r="C742" s="562"/>
      <c r="D742" s="562"/>
      <c r="E742" s="562"/>
      <c r="F742" s="562"/>
      <c r="G742" s="562"/>
      <c r="H742" s="562"/>
      <c r="I742" s="562"/>
      <c r="J742" s="562"/>
      <c r="K742" s="562"/>
      <c r="L742" s="562"/>
      <c r="M742" s="562"/>
      <c r="N742" s="562"/>
      <c r="O742" s="569"/>
      <c r="P742" s="570"/>
      <c r="Q742" s="562"/>
      <c r="R742" s="562"/>
      <c r="S742" s="562"/>
      <c r="T742" s="562"/>
      <c r="U742" s="562"/>
      <c r="V742" s="562"/>
      <c r="W742" s="562"/>
      <c r="X742" s="562"/>
      <c r="Y742" s="562"/>
      <c r="Z742" s="562"/>
    </row>
    <row r="743" ht="12.0" customHeight="1">
      <c r="A743" s="562"/>
      <c r="B743" s="562"/>
      <c r="C743" s="562"/>
      <c r="D743" s="562"/>
      <c r="E743" s="562"/>
      <c r="F743" s="562"/>
      <c r="G743" s="562"/>
      <c r="H743" s="562"/>
      <c r="I743" s="562"/>
      <c r="J743" s="562"/>
      <c r="K743" s="562"/>
      <c r="L743" s="562"/>
      <c r="M743" s="562"/>
      <c r="N743" s="562"/>
      <c r="O743" s="569"/>
      <c r="P743" s="570"/>
      <c r="Q743" s="562"/>
      <c r="R743" s="562"/>
      <c r="S743" s="562"/>
      <c r="T743" s="562"/>
      <c r="U743" s="562"/>
      <c r="V743" s="562"/>
      <c r="W743" s="562"/>
      <c r="X743" s="562"/>
      <c r="Y743" s="562"/>
      <c r="Z743" s="562"/>
    </row>
    <row r="744" ht="12.0" customHeight="1">
      <c r="A744" s="562"/>
      <c r="B744" s="562"/>
      <c r="C744" s="562"/>
      <c r="D744" s="562"/>
      <c r="E744" s="562"/>
      <c r="F744" s="562"/>
      <c r="G744" s="562"/>
      <c r="H744" s="562"/>
      <c r="I744" s="562"/>
      <c r="J744" s="562"/>
      <c r="K744" s="562"/>
      <c r="L744" s="562"/>
      <c r="M744" s="562"/>
      <c r="N744" s="562"/>
      <c r="O744" s="569"/>
      <c r="P744" s="570"/>
      <c r="Q744" s="562"/>
      <c r="R744" s="562"/>
      <c r="S744" s="562"/>
      <c r="T744" s="562"/>
      <c r="U744" s="562"/>
      <c r="V744" s="562"/>
      <c r="W744" s="562"/>
      <c r="X744" s="562"/>
      <c r="Y744" s="562"/>
      <c r="Z744" s="562"/>
    </row>
    <row r="745" ht="12.0" customHeight="1">
      <c r="A745" s="562"/>
      <c r="B745" s="562"/>
      <c r="C745" s="562"/>
      <c r="D745" s="562"/>
      <c r="E745" s="562"/>
      <c r="F745" s="562"/>
      <c r="G745" s="562"/>
      <c r="H745" s="562"/>
      <c r="I745" s="562"/>
      <c r="J745" s="562"/>
      <c r="K745" s="562"/>
      <c r="L745" s="562"/>
      <c r="M745" s="562"/>
      <c r="N745" s="562"/>
      <c r="O745" s="569"/>
      <c r="P745" s="570"/>
      <c r="Q745" s="562"/>
      <c r="R745" s="562"/>
      <c r="S745" s="562"/>
      <c r="T745" s="562"/>
      <c r="U745" s="562"/>
      <c r="V745" s="562"/>
      <c r="W745" s="562"/>
      <c r="X745" s="562"/>
      <c r="Y745" s="562"/>
      <c r="Z745" s="562"/>
    </row>
    <row r="746" ht="12.0" customHeight="1">
      <c r="A746" s="562"/>
      <c r="B746" s="562"/>
      <c r="C746" s="562"/>
      <c r="D746" s="562"/>
      <c r="E746" s="562"/>
      <c r="F746" s="562"/>
      <c r="G746" s="562"/>
      <c r="H746" s="562"/>
      <c r="I746" s="562"/>
      <c r="J746" s="562"/>
      <c r="K746" s="562"/>
      <c r="L746" s="562"/>
      <c r="M746" s="562"/>
      <c r="N746" s="562"/>
      <c r="O746" s="569"/>
      <c r="P746" s="570"/>
      <c r="Q746" s="562"/>
      <c r="R746" s="562"/>
      <c r="S746" s="562"/>
      <c r="T746" s="562"/>
      <c r="U746" s="562"/>
      <c r="V746" s="562"/>
      <c r="W746" s="562"/>
      <c r="X746" s="562"/>
      <c r="Y746" s="562"/>
      <c r="Z746" s="562"/>
    </row>
    <row r="747" ht="12.0" customHeight="1">
      <c r="A747" s="562"/>
      <c r="B747" s="562"/>
      <c r="C747" s="562"/>
      <c r="D747" s="562"/>
      <c r="E747" s="562"/>
      <c r="F747" s="562"/>
      <c r="G747" s="562"/>
      <c r="H747" s="562"/>
      <c r="I747" s="562"/>
      <c r="J747" s="562"/>
      <c r="K747" s="562"/>
      <c r="L747" s="562"/>
      <c r="M747" s="562"/>
      <c r="N747" s="562"/>
      <c r="O747" s="569"/>
      <c r="P747" s="570"/>
      <c r="Q747" s="562"/>
      <c r="R747" s="562"/>
      <c r="S747" s="562"/>
      <c r="T747" s="562"/>
      <c r="U747" s="562"/>
      <c r="V747" s="562"/>
      <c r="W747" s="562"/>
      <c r="X747" s="562"/>
      <c r="Y747" s="562"/>
      <c r="Z747" s="562"/>
    </row>
    <row r="748" ht="12.0" customHeight="1">
      <c r="A748" s="562"/>
      <c r="B748" s="562"/>
      <c r="C748" s="562"/>
      <c r="D748" s="562"/>
      <c r="E748" s="562"/>
      <c r="F748" s="562"/>
      <c r="G748" s="562"/>
      <c r="H748" s="562"/>
      <c r="I748" s="562"/>
      <c r="J748" s="562"/>
      <c r="K748" s="562"/>
      <c r="L748" s="562"/>
      <c r="M748" s="562"/>
      <c r="N748" s="562"/>
      <c r="O748" s="569"/>
      <c r="P748" s="570"/>
      <c r="Q748" s="562"/>
      <c r="R748" s="562"/>
      <c r="S748" s="562"/>
      <c r="T748" s="562"/>
      <c r="U748" s="562"/>
      <c r="V748" s="562"/>
      <c r="W748" s="562"/>
      <c r="X748" s="562"/>
      <c r="Y748" s="562"/>
      <c r="Z748" s="562"/>
    </row>
    <row r="749" ht="12.0" customHeight="1">
      <c r="A749" s="562"/>
      <c r="B749" s="562"/>
      <c r="C749" s="562"/>
      <c r="D749" s="562"/>
      <c r="E749" s="562"/>
      <c r="F749" s="562"/>
      <c r="G749" s="562"/>
      <c r="H749" s="562"/>
      <c r="I749" s="562"/>
      <c r="J749" s="562"/>
      <c r="K749" s="562"/>
      <c r="L749" s="562"/>
      <c r="M749" s="562"/>
      <c r="N749" s="562"/>
      <c r="O749" s="569"/>
      <c r="P749" s="570"/>
      <c r="Q749" s="562"/>
      <c r="R749" s="562"/>
      <c r="S749" s="562"/>
      <c r="T749" s="562"/>
      <c r="U749" s="562"/>
      <c r="V749" s="562"/>
      <c r="W749" s="562"/>
      <c r="X749" s="562"/>
      <c r="Y749" s="562"/>
      <c r="Z749" s="562"/>
    </row>
    <row r="750" ht="12.0" customHeight="1">
      <c r="A750" s="562"/>
      <c r="B750" s="562"/>
      <c r="C750" s="562"/>
      <c r="D750" s="562"/>
      <c r="E750" s="562"/>
      <c r="F750" s="562"/>
      <c r="G750" s="562"/>
      <c r="H750" s="562"/>
      <c r="I750" s="562"/>
      <c r="J750" s="562"/>
      <c r="K750" s="562"/>
      <c r="L750" s="562"/>
      <c r="M750" s="562"/>
      <c r="N750" s="562"/>
      <c r="O750" s="569"/>
      <c r="P750" s="570"/>
      <c r="Q750" s="562"/>
      <c r="R750" s="562"/>
      <c r="S750" s="562"/>
      <c r="T750" s="562"/>
      <c r="U750" s="562"/>
      <c r="V750" s="562"/>
      <c r="W750" s="562"/>
      <c r="X750" s="562"/>
      <c r="Y750" s="562"/>
      <c r="Z750" s="562"/>
    </row>
    <row r="751" ht="12.0" customHeight="1">
      <c r="A751" s="562"/>
      <c r="B751" s="562"/>
      <c r="C751" s="562"/>
      <c r="D751" s="562"/>
      <c r="E751" s="562"/>
      <c r="F751" s="562"/>
      <c r="G751" s="562"/>
      <c r="H751" s="562"/>
      <c r="I751" s="562"/>
      <c r="J751" s="562"/>
      <c r="K751" s="562"/>
      <c r="L751" s="562"/>
      <c r="M751" s="562"/>
      <c r="N751" s="562"/>
      <c r="O751" s="569"/>
      <c r="P751" s="570"/>
      <c r="Q751" s="562"/>
      <c r="R751" s="562"/>
      <c r="S751" s="562"/>
      <c r="T751" s="562"/>
      <c r="U751" s="562"/>
      <c r="V751" s="562"/>
      <c r="W751" s="562"/>
      <c r="X751" s="562"/>
      <c r="Y751" s="562"/>
      <c r="Z751" s="562"/>
    </row>
    <row r="752" ht="12.0" customHeight="1">
      <c r="A752" s="562"/>
      <c r="B752" s="562"/>
      <c r="C752" s="562"/>
      <c r="D752" s="562"/>
      <c r="E752" s="562"/>
      <c r="F752" s="562"/>
      <c r="G752" s="562"/>
      <c r="H752" s="562"/>
      <c r="I752" s="562"/>
      <c r="J752" s="562"/>
      <c r="K752" s="562"/>
      <c r="L752" s="562"/>
      <c r="M752" s="562"/>
      <c r="N752" s="562"/>
      <c r="O752" s="569"/>
      <c r="P752" s="570"/>
      <c r="Q752" s="562"/>
      <c r="R752" s="562"/>
      <c r="S752" s="562"/>
      <c r="T752" s="562"/>
      <c r="U752" s="562"/>
      <c r="V752" s="562"/>
      <c r="W752" s="562"/>
      <c r="X752" s="562"/>
      <c r="Y752" s="562"/>
      <c r="Z752" s="562"/>
    </row>
    <row r="753" ht="12.0" customHeight="1">
      <c r="A753" s="562"/>
      <c r="B753" s="562"/>
      <c r="C753" s="562"/>
      <c r="D753" s="562"/>
      <c r="E753" s="562"/>
      <c r="F753" s="562"/>
      <c r="G753" s="562"/>
      <c r="H753" s="562"/>
      <c r="I753" s="562"/>
      <c r="J753" s="562"/>
      <c r="K753" s="562"/>
      <c r="L753" s="562"/>
      <c r="M753" s="562"/>
      <c r="N753" s="562"/>
      <c r="O753" s="569"/>
      <c r="P753" s="570"/>
      <c r="Q753" s="562"/>
      <c r="R753" s="562"/>
      <c r="S753" s="562"/>
      <c r="T753" s="562"/>
      <c r="U753" s="562"/>
      <c r="V753" s="562"/>
      <c r="W753" s="562"/>
      <c r="X753" s="562"/>
      <c r="Y753" s="562"/>
      <c r="Z753" s="562"/>
    </row>
    <row r="754" ht="12.0" customHeight="1">
      <c r="A754" s="562"/>
      <c r="B754" s="562"/>
      <c r="C754" s="562"/>
      <c r="D754" s="562"/>
      <c r="E754" s="562"/>
      <c r="F754" s="562"/>
      <c r="G754" s="562"/>
      <c r="H754" s="562"/>
      <c r="I754" s="562"/>
      <c r="J754" s="562"/>
      <c r="K754" s="562"/>
      <c r="L754" s="562"/>
      <c r="M754" s="562"/>
      <c r="N754" s="562"/>
      <c r="O754" s="569"/>
      <c r="P754" s="570"/>
      <c r="Q754" s="562"/>
      <c r="R754" s="562"/>
      <c r="S754" s="562"/>
      <c r="T754" s="562"/>
      <c r="U754" s="562"/>
      <c r="V754" s="562"/>
      <c r="W754" s="562"/>
      <c r="X754" s="562"/>
      <c r="Y754" s="562"/>
      <c r="Z754" s="562"/>
    </row>
    <row r="755" ht="12.0" customHeight="1">
      <c r="A755" s="562"/>
      <c r="B755" s="562"/>
      <c r="C755" s="562"/>
      <c r="D755" s="562"/>
      <c r="E755" s="562"/>
      <c r="F755" s="562"/>
      <c r="G755" s="562"/>
      <c r="H755" s="562"/>
      <c r="I755" s="562"/>
      <c r="J755" s="562"/>
      <c r="K755" s="562"/>
      <c r="L755" s="562"/>
      <c r="M755" s="562"/>
      <c r="N755" s="562"/>
      <c r="O755" s="569"/>
      <c r="P755" s="570"/>
      <c r="Q755" s="562"/>
      <c r="R755" s="562"/>
      <c r="S755" s="562"/>
      <c r="T755" s="562"/>
      <c r="U755" s="562"/>
      <c r="V755" s="562"/>
      <c r="W755" s="562"/>
      <c r="X755" s="562"/>
      <c r="Y755" s="562"/>
      <c r="Z755" s="562"/>
    </row>
    <row r="756" ht="12.0" customHeight="1">
      <c r="A756" s="562"/>
      <c r="B756" s="562"/>
      <c r="C756" s="562"/>
      <c r="D756" s="562"/>
      <c r="E756" s="562"/>
      <c r="F756" s="562"/>
      <c r="G756" s="562"/>
      <c r="H756" s="562"/>
      <c r="I756" s="562"/>
      <c r="J756" s="562"/>
      <c r="K756" s="562"/>
      <c r="L756" s="562"/>
      <c r="M756" s="562"/>
      <c r="N756" s="562"/>
      <c r="O756" s="569"/>
      <c r="P756" s="570"/>
      <c r="Q756" s="562"/>
      <c r="R756" s="562"/>
      <c r="S756" s="562"/>
      <c r="T756" s="562"/>
      <c r="U756" s="562"/>
      <c r="V756" s="562"/>
      <c r="W756" s="562"/>
      <c r="X756" s="562"/>
      <c r="Y756" s="562"/>
      <c r="Z756" s="562"/>
    </row>
    <row r="757" ht="12.0" customHeight="1">
      <c r="A757" s="562"/>
      <c r="B757" s="562"/>
      <c r="C757" s="562"/>
      <c r="D757" s="562"/>
      <c r="E757" s="562"/>
      <c r="F757" s="562"/>
      <c r="G757" s="562"/>
      <c r="H757" s="562"/>
      <c r="I757" s="562"/>
      <c r="J757" s="562"/>
      <c r="K757" s="562"/>
      <c r="L757" s="562"/>
      <c r="M757" s="562"/>
      <c r="N757" s="562"/>
      <c r="O757" s="569"/>
      <c r="P757" s="570"/>
      <c r="Q757" s="562"/>
      <c r="R757" s="562"/>
      <c r="S757" s="562"/>
      <c r="T757" s="562"/>
      <c r="U757" s="562"/>
      <c r="V757" s="562"/>
      <c r="W757" s="562"/>
      <c r="X757" s="562"/>
      <c r="Y757" s="562"/>
      <c r="Z757" s="562"/>
    </row>
    <row r="758" ht="12.0" customHeight="1">
      <c r="A758" s="562"/>
      <c r="B758" s="562"/>
      <c r="C758" s="562"/>
      <c r="D758" s="562"/>
      <c r="E758" s="562"/>
      <c r="F758" s="562"/>
      <c r="G758" s="562"/>
      <c r="H758" s="562"/>
      <c r="I758" s="562"/>
      <c r="J758" s="562"/>
      <c r="K758" s="562"/>
      <c r="L758" s="562"/>
      <c r="M758" s="562"/>
      <c r="N758" s="562"/>
      <c r="O758" s="569"/>
      <c r="P758" s="570"/>
      <c r="Q758" s="562"/>
      <c r="R758" s="562"/>
      <c r="S758" s="562"/>
      <c r="T758" s="562"/>
      <c r="U758" s="562"/>
      <c r="V758" s="562"/>
      <c r="W758" s="562"/>
      <c r="X758" s="562"/>
      <c r="Y758" s="562"/>
      <c r="Z758" s="562"/>
    </row>
    <row r="759" ht="12.0" customHeight="1">
      <c r="A759" s="562"/>
      <c r="B759" s="562"/>
      <c r="C759" s="562"/>
      <c r="D759" s="562"/>
      <c r="E759" s="562"/>
      <c r="F759" s="562"/>
      <c r="G759" s="562"/>
      <c r="H759" s="562"/>
      <c r="I759" s="562"/>
      <c r="J759" s="562"/>
      <c r="K759" s="562"/>
      <c r="L759" s="562"/>
      <c r="M759" s="562"/>
      <c r="N759" s="562"/>
      <c r="O759" s="569"/>
      <c r="P759" s="570"/>
      <c r="Q759" s="562"/>
      <c r="R759" s="562"/>
      <c r="S759" s="562"/>
      <c r="T759" s="562"/>
      <c r="U759" s="562"/>
      <c r="V759" s="562"/>
      <c r="W759" s="562"/>
      <c r="X759" s="562"/>
      <c r="Y759" s="562"/>
      <c r="Z759" s="562"/>
    </row>
    <row r="760" ht="12.0" customHeight="1">
      <c r="A760" s="562"/>
      <c r="B760" s="562"/>
      <c r="C760" s="562"/>
      <c r="D760" s="562"/>
      <c r="E760" s="562"/>
      <c r="F760" s="562"/>
      <c r="G760" s="562"/>
      <c r="H760" s="562"/>
      <c r="I760" s="562"/>
      <c r="J760" s="562"/>
      <c r="K760" s="562"/>
      <c r="L760" s="562"/>
      <c r="M760" s="562"/>
      <c r="N760" s="562"/>
      <c r="O760" s="569"/>
      <c r="P760" s="570"/>
      <c r="Q760" s="562"/>
      <c r="R760" s="562"/>
      <c r="S760" s="562"/>
      <c r="T760" s="562"/>
      <c r="U760" s="562"/>
      <c r="V760" s="562"/>
      <c r="W760" s="562"/>
      <c r="X760" s="562"/>
      <c r="Y760" s="562"/>
      <c r="Z760" s="562"/>
    </row>
    <row r="761" ht="12.0" customHeight="1">
      <c r="A761" s="562"/>
      <c r="B761" s="562"/>
      <c r="C761" s="562"/>
      <c r="D761" s="562"/>
      <c r="E761" s="562"/>
      <c r="F761" s="562"/>
      <c r="G761" s="562"/>
      <c r="H761" s="562"/>
      <c r="I761" s="562"/>
      <c r="J761" s="562"/>
      <c r="K761" s="562"/>
      <c r="L761" s="562"/>
      <c r="M761" s="562"/>
      <c r="N761" s="562"/>
      <c r="O761" s="569"/>
      <c r="P761" s="570"/>
      <c r="Q761" s="562"/>
      <c r="R761" s="562"/>
      <c r="S761" s="562"/>
      <c r="T761" s="562"/>
      <c r="U761" s="562"/>
      <c r="V761" s="562"/>
      <c r="W761" s="562"/>
      <c r="X761" s="562"/>
      <c r="Y761" s="562"/>
      <c r="Z761" s="562"/>
    </row>
    <row r="762" ht="12.0" customHeight="1">
      <c r="A762" s="562"/>
      <c r="B762" s="562"/>
      <c r="C762" s="562"/>
      <c r="D762" s="562"/>
      <c r="E762" s="562"/>
      <c r="F762" s="562"/>
      <c r="G762" s="562"/>
      <c r="H762" s="562"/>
      <c r="I762" s="562"/>
      <c r="J762" s="562"/>
      <c r="K762" s="562"/>
      <c r="L762" s="562"/>
      <c r="M762" s="562"/>
      <c r="N762" s="562"/>
      <c r="O762" s="569"/>
      <c r="P762" s="570"/>
      <c r="Q762" s="562"/>
      <c r="R762" s="562"/>
      <c r="S762" s="562"/>
      <c r="T762" s="562"/>
      <c r="U762" s="562"/>
      <c r="V762" s="562"/>
      <c r="W762" s="562"/>
      <c r="X762" s="562"/>
      <c r="Y762" s="562"/>
      <c r="Z762" s="562"/>
    </row>
    <row r="763" ht="12.0" customHeight="1">
      <c r="A763" s="562"/>
      <c r="B763" s="562"/>
      <c r="C763" s="562"/>
      <c r="D763" s="562"/>
      <c r="E763" s="562"/>
      <c r="F763" s="562"/>
      <c r="G763" s="562"/>
      <c r="H763" s="562"/>
      <c r="I763" s="562"/>
      <c r="J763" s="562"/>
      <c r="K763" s="562"/>
      <c r="L763" s="562"/>
      <c r="M763" s="562"/>
      <c r="N763" s="562"/>
      <c r="O763" s="569"/>
      <c r="P763" s="570"/>
      <c r="Q763" s="562"/>
      <c r="R763" s="562"/>
      <c r="S763" s="562"/>
      <c r="T763" s="562"/>
      <c r="U763" s="562"/>
      <c r="V763" s="562"/>
      <c r="W763" s="562"/>
      <c r="X763" s="562"/>
      <c r="Y763" s="562"/>
      <c r="Z763" s="562"/>
    </row>
    <row r="764" ht="12.0" customHeight="1">
      <c r="A764" s="562"/>
      <c r="B764" s="562"/>
      <c r="C764" s="562"/>
      <c r="D764" s="562"/>
      <c r="E764" s="562"/>
      <c r="F764" s="562"/>
      <c r="G764" s="562"/>
      <c r="H764" s="562"/>
      <c r="I764" s="562"/>
      <c r="J764" s="562"/>
      <c r="K764" s="562"/>
      <c r="L764" s="562"/>
      <c r="M764" s="562"/>
      <c r="N764" s="562"/>
      <c r="O764" s="569"/>
      <c r="P764" s="570"/>
      <c r="Q764" s="562"/>
      <c r="R764" s="562"/>
      <c r="S764" s="562"/>
      <c r="T764" s="562"/>
      <c r="U764" s="562"/>
      <c r="V764" s="562"/>
      <c r="W764" s="562"/>
      <c r="X764" s="562"/>
      <c r="Y764" s="562"/>
      <c r="Z764" s="562"/>
    </row>
    <row r="765" ht="12.0" customHeight="1">
      <c r="A765" s="562"/>
      <c r="B765" s="562"/>
      <c r="C765" s="562"/>
      <c r="D765" s="562"/>
      <c r="E765" s="562"/>
      <c r="F765" s="562"/>
      <c r="G765" s="562"/>
      <c r="H765" s="562"/>
      <c r="I765" s="562"/>
      <c r="J765" s="562"/>
      <c r="K765" s="562"/>
      <c r="L765" s="562"/>
      <c r="M765" s="562"/>
      <c r="N765" s="562"/>
      <c r="O765" s="569"/>
      <c r="P765" s="570"/>
      <c r="Q765" s="562"/>
      <c r="R765" s="562"/>
      <c r="S765" s="562"/>
      <c r="T765" s="562"/>
      <c r="U765" s="562"/>
      <c r="V765" s="562"/>
      <c r="W765" s="562"/>
      <c r="X765" s="562"/>
      <c r="Y765" s="562"/>
      <c r="Z765" s="562"/>
    </row>
    <row r="766" ht="12.0" customHeight="1">
      <c r="A766" s="562"/>
      <c r="B766" s="562"/>
      <c r="C766" s="562"/>
      <c r="D766" s="562"/>
      <c r="E766" s="562"/>
      <c r="F766" s="562"/>
      <c r="G766" s="562"/>
      <c r="H766" s="562"/>
      <c r="I766" s="562"/>
      <c r="J766" s="562"/>
      <c r="K766" s="562"/>
      <c r="L766" s="562"/>
      <c r="M766" s="562"/>
      <c r="N766" s="562"/>
      <c r="O766" s="569"/>
      <c r="P766" s="570"/>
      <c r="Q766" s="562"/>
      <c r="R766" s="562"/>
      <c r="S766" s="562"/>
      <c r="T766" s="562"/>
      <c r="U766" s="562"/>
      <c r="V766" s="562"/>
      <c r="W766" s="562"/>
      <c r="X766" s="562"/>
      <c r="Y766" s="562"/>
      <c r="Z766" s="562"/>
    </row>
    <row r="767" ht="12.0" customHeight="1">
      <c r="A767" s="562"/>
      <c r="B767" s="562"/>
      <c r="C767" s="562"/>
      <c r="D767" s="562"/>
      <c r="E767" s="562"/>
      <c r="F767" s="562"/>
      <c r="G767" s="562"/>
      <c r="H767" s="562"/>
      <c r="I767" s="562"/>
      <c r="J767" s="562"/>
      <c r="K767" s="562"/>
      <c r="L767" s="562"/>
      <c r="M767" s="562"/>
      <c r="N767" s="562"/>
      <c r="O767" s="569"/>
      <c r="P767" s="570"/>
      <c r="Q767" s="562"/>
      <c r="R767" s="562"/>
      <c r="S767" s="562"/>
      <c r="T767" s="562"/>
      <c r="U767" s="562"/>
      <c r="V767" s="562"/>
      <c r="W767" s="562"/>
      <c r="X767" s="562"/>
      <c r="Y767" s="562"/>
      <c r="Z767" s="562"/>
    </row>
    <row r="768" ht="12.0" customHeight="1">
      <c r="A768" s="562"/>
      <c r="B768" s="562"/>
      <c r="C768" s="562"/>
      <c r="D768" s="562"/>
      <c r="E768" s="562"/>
      <c r="F768" s="562"/>
      <c r="G768" s="562"/>
      <c r="H768" s="562"/>
      <c r="I768" s="562"/>
      <c r="J768" s="562"/>
      <c r="K768" s="562"/>
      <c r="L768" s="562"/>
      <c r="M768" s="562"/>
      <c r="N768" s="562"/>
      <c r="O768" s="569"/>
      <c r="P768" s="570"/>
      <c r="Q768" s="562"/>
      <c r="R768" s="562"/>
      <c r="S768" s="562"/>
      <c r="T768" s="562"/>
      <c r="U768" s="562"/>
      <c r="V768" s="562"/>
      <c r="W768" s="562"/>
      <c r="X768" s="562"/>
      <c r="Y768" s="562"/>
      <c r="Z768" s="562"/>
    </row>
    <row r="769" ht="12.0" customHeight="1">
      <c r="A769" s="562"/>
      <c r="B769" s="562"/>
      <c r="C769" s="562"/>
      <c r="D769" s="562"/>
      <c r="E769" s="562"/>
      <c r="F769" s="562"/>
      <c r="G769" s="562"/>
      <c r="H769" s="562"/>
      <c r="I769" s="562"/>
      <c r="J769" s="562"/>
      <c r="K769" s="562"/>
      <c r="L769" s="562"/>
      <c r="M769" s="562"/>
      <c r="N769" s="562"/>
      <c r="O769" s="569"/>
      <c r="P769" s="570"/>
      <c r="Q769" s="562"/>
      <c r="R769" s="562"/>
      <c r="S769" s="562"/>
      <c r="T769" s="562"/>
      <c r="U769" s="562"/>
      <c r="V769" s="562"/>
      <c r="W769" s="562"/>
      <c r="X769" s="562"/>
      <c r="Y769" s="562"/>
      <c r="Z769" s="562"/>
    </row>
    <row r="770" ht="12.0" customHeight="1">
      <c r="A770" s="562"/>
      <c r="B770" s="562"/>
      <c r="C770" s="562"/>
      <c r="D770" s="562"/>
      <c r="E770" s="562"/>
      <c r="F770" s="562"/>
      <c r="G770" s="562"/>
      <c r="H770" s="562"/>
      <c r="I770" s="562"/>
      <c r="J770" s="562"/>
      <c r="K770" s="562"/>
      <c r="L770" s="562"/>
      <c r="M770" s="562"/>
      <c r="N770" s="562"/>
      <c r="O770" s="569"/>
      <c r="P770" s="570"/>
      <c r="Q770" s="562"/>
      <c r="R770" s="562"/>
      <c r="S770" s="562"/>
      <c r="T770" s="562"/>
      <c r="U770" s="562"/>
      <c r="V770" s="562"/>
      <c r="W770" s="562"/>
      <c r="X770" s="562"/>
      <c r="Y770" s="562"/>
      <c r="Z770" s="562"/>
    </row>
    <row r="771" ht="12.0" customHeight="1">
      <c r="A771" s="562"/>
      <c r="B771" s="562"/>
      <c r="C771" s="562"/>
      <c r="D771" s="562"/>
      <c r="E771" s="562"/>
      <c r="F771" s="562"/>
      <c r="G771" s="562"/>
      <c r="H771" s="562"/>
      <c r="I771" s="562"/>
      <c r="J771" s="562"/>
      <c r="K771" s="562"/>
      <c r="L771" s="562"/>
      <c r="M771" s="562"/>
      <c r="N771" s="562"/>
      <c r="O771" s="569"/>
      <c r="P771" s="570"/>
      <c r="Q771" s="562"/>
      <c r="R771" s="562"/>
      <c r="S771" s="562"/>
      <c r="T771" s="562"/>
      <c r="U771" s="562"/>
      <c r="V771" s="562"/>
      <c r="W771" s="562"/>
      <c r="X771" s="562"/>
      <c r="Y771" s="562"/>
      <c r="Z771" s="562"/>
    </row>
    <row r="772" ht="12.0" customHeight="1">
      <c r="A772" s="562"/>
      <c r="B772" s="562"/>
      <c r="C772" s="562"/>
      <c r="D772" s="562"/>
      <c r="E772" s="562"/>
      <c r="F772" s="562"/>
      <c r="G772" s="562"/>
      <c r="H772" s="562"/>
      <c r="I772" s="562"/>
      <c r="J772" s="562"/>
      <c r="K772" s="562"/>
      <c r="L772" s="562"/>
      <c r="M772" s="562"/>
      <c r="N772" s="562"/>
      <c r="O772" s="569"/>
      <c r="P772" s="570"/>
      <c r="Q772" s="562"/>
      <c r="R772" s="562"/>
      <c r="S772" s="562"/>
      <c r="T772" s="562"/>
      <c r="U772" s="562"/>
      <c r="V772" s="562"/>
      <c r="W772" s="562"/>
      <c r="X772" s="562"/>
      <c r="Y772" s="562"/>
      <c r="Z772" s="562"/>
    </row>
    <row r="773" ht="12.0" customHeight="1">
      <c r="A773" s="562"/>
      <c r="B773" s="562"/>
      <c r="C773" s="562"/>
      <c r="D773" s="562"/>
      <c r="E773" s="562"/>
      <c r="F773" s="562"/>
      <c r="G773" s="562"/>
      <c r="H773" s="562"/>
      <c r="I773" s="562"/>
      <c r="J773" s="562"/>
      <c r="K773" s="562"/>
      <c r="L773" s="562"/>
      <c r="M773" s="562"/>
      <c r="N773" s="562"/>
      <c r="O773" s="569"/>
      <c r="P773" s="570"/>
      <c r="Q773" s="562"/>
      <c r="R773" s="562"/>
      <c r="S773" s="562"/>
      <c r="T773" s="562"/>
      <c r="U773" s="562"/>
      <c r="V773" s="562"/>
      <c r="W773" s="562"/>
      <c r="X773" s="562"/>
      <c r="Y773" s="562"/>
      <c r="Z773" s="562"/>
    </row>
    <row r="774" ht="12.0" customHeight="1">
      <c r="A774" s="562"/>
      <c r="B774" s="562"/>
      <c r="C774" s="562"/>
      <c r="D774" s="562"/>
      <c r="E774" s="562"/>
      <c r="F774" s="562"/>
      <c r="G774" s="562"/>
      <c r="H774" s="562"/>
      <c r="I774" s="562"/>
      <c r="J774" s="562"/>
      <c r="K774" s="562"/>
      <c r="L774" s="562"/>
      <c r="M774" s="562"/>
      <c r="N774" s="562"/>
      <c r="O774" s="569"/>
      <c r="P774" s="570"/>
      <c r="Q774" s="562"/>
      <c r="R774" s="562"/>
      <c r="S774" s="562"/>
      <c r="T774" s="562"/>
      <c r="U774" s="562"/>
      <c r="V774" s="562"/>
      <c r="W774" s="562"/>
      <c r="X774" s="562"/>
      <c r="Y774" s="562"/>
      <c r="Z774" s="562"/>
    </row>
    <row r="775" ht="12.0" customHeight="1">
      <c r="A775" s="562"/>
      <c r="B775" s="562"/>
      <c r="C775" s="562"/>
      <c r="D775" s="562"/>
      <c r="E775" s="562"/>
      <c r="F775" s="562"/>
      <c r="G775" s="562"/>
      <c r="H775" s="562"/>
      <c r="I775" s="562"/>
      <c r="J775" s="562"/>
      <c r="K775" s="562"/>
      <c r="L775" s="562"/>
      <c r="M775" s="562"/>
      <c r="N775" s="562"/>
      <c r="O775" s="569"/>
      <c r="P775" s="570"/>
      <c r="Q775" s="562"/>
      <c r="R775" s="562"/>
      <c r="S775" s="562"/>
      <c r="T775" s="562"/>
      <c r="U775" s="562"/>
      <c r="V775" s="562"/>
      <c r="W775" s="562"/>
      <c r="X775" s="562"/>
      <c r="Y775" s="562"/>
      <c r="Z775" s="562"/>
    </row>
    <row r="776" ht="12.0" customHeight="1">
      <c r="A776" s="562"/>
      <c r="B776" s="562"/>
      <c r="C776" s="562"/>
      <c r="D776" s="562"/>
      <c r="E776" s="562"/>
      <c r="F776" s="562"/>
      <c r="G776" s="562"/>
      <c r="H776" s="562"/>
      <c r="I776" s="562"/>
      <c r="J776" s="562"/>
      <c r="K776" s="562"/>
      <c r="L776" s="562"/>
      <c r="M776" s="562"/>
      <c r="N776" s="562"/>
      <c r="O776" s="569"/>
      <c r="P776" s="570"/>
      <c r="Q776" s="562"/>
      <c r="R776" s="562"/>
      <c r="S776" s="562"/>
      <c r="T776" s="562"/>
      <c r="U776" s="562"/>
      <c r="V776" s="562"/>
      <c r="W776" s="562"/>
      <c r="X776" s="562"/>
      <c r="Y776" s="562"/>
      <c r="Z776" s="562"/>
    </row>
    <row r="777" ht="12.0" customHeight="1">
      <c r="A777" s="562"/>
      <c r="B777" s="562"/>
      <c r="C777" s="562"/>
      <c r="D777" s="562"/>
      <c r="E777" s="562"/>
      <c r="F777" s="562"/>
      <c r="G777" s="562"/>
      <c r="H777" s="562"/>
      <c r="I777" s="562"/>
      <c r="J777" s="562"/>
      <c r="K777" s="562"/>
      <c r="L777" s="562"/>
      <c r="M777" s="562"/>
      <c r="N777" s="562"/>
      <c r="O777" s="569"/>
      <c r="P777" s="570"/>
      <c r="Q777" s="562"/>
      <c r="R777" s="562"/>
      <c r="S777" s="562"/>
      <c r="T777" s="562"/>
      <c r="U777" s="562"/>
      <c r="V777" s="562"/>
      <c r="W777" s="562"/>
      <c r="X777" s="562"/>
      <c r="Y777" s="562"/>
      <c r="Z777" s="562"/>
    </row>
    <row r="778" ht="12.0" customHeight="1">
      <c r="A778" s="562"/>
      <c r="B778" s="562"/>
      <c r="C778" s="562"/>
      <c r="D778" s="562"/>
      <c r="E778" s="562"/>
      <c r="F778" s="562"/>
      <c r="G778" s="562"/>
      <c r="H778" s="562"/>
      <c r="I778" s="562"/>
      <c r="J778" s="562"/>
      <c r="K778" s="562"/>
      <c r="L778" s="562"/>
      <c r="M778" s="562"/>
      <c r="N778" s="562"/>
      <c r="O778" s="569"/>
      <c r="P778" s="570"/>
      <c r="Q778" s="562"/>
      <c r="R778" s="562"/>
      <c r="S778" s="562"/>
      <c r="T778" s="562"/>
      <c r="U778" s="562"/>
      <c r="V778" s="562"/>
      <c r="W778" s="562"/>
      <c r="X778" s="562"/>
      <c r="Y778" s="562"/>
      <c r="Z778" s="562"/>
    </row>
    <row r="779" ht="12.0" customHeight="1">
      <c r="A779" s="562"/>
      <c r="B779" s="562"/>
      <c r="C779" s="562"/>
      <c r="D779" s="562"/>
      <c r="E779" s="562"/>
      <c r="F779" s="562"/>
      <c r="G779" s="562"/>
      <c r="H779" s="562"/>
      <c r="I779" s="562"/>
      <c r="J779" s="562"/>
      <c r="K779" s="562"/>
      <c r="L779" s="562"/>
      <c r="M779" s="562"/>
      <c r="N779" s="562"/>
      <c r="O779" s="569"/>
      <c r="P779" s="570"/>
      <c r="Q779" s="562"/>
      <c r="R779" s="562"/>
      <c r="S779" s="562"/>
      <c r="T779" s="562"/>
      <c r="U779" s="562"/>
      <c r="V779" s="562"/>
      <c r="W779" s="562"/>
      <c r="X779" s="562"/>
      <c r="Y779" s="562"/>
      <c r="Z779" s="562"/>
    </row>
    <row r="780" ht="12.0" customHeight="1">
      <c r="A780" s="562"/>
      <c r="B780" s="562"/>
      <c r="C780" s="562"/>
      <c r="D780" s="562"/>
      <c r="E780" s="562"/>
      <c r="F780" s="562"/>
      <c r="G780" s="562"/>
      <c r="H780" s="562"/>
      <c r="I780" s="562"/>
      <c r="J780" s="562"/>
      <c r="K780" s="562"/>
      <c r="L780" s="562"/>
      <c r="M780" s="562"/>
      <c r="N780" s="562"/>
      <c r="O780" s="569"/>
      <c r="P780" s="570"/>
      <c r="Q780" s="562"/>
      <c r="R780" s="562"/>
      <c r="S780" s="562"/>
      <c r="T780" s="562"/>
      <c r="U780" s="562"/>
      <c r="V780" s="562"/>
      <c r="W780" s="562"/>
      <c r="X780" s="562"/>
      <c r="Y780" s="562"/>
      <c r="Z780" s="562"/>
    </row>
    <row r="781" ht="12.0" customHeight="1">
      <c r="A781" s="562"/>
      <c r="B781" s="562"/>
      <c r="C781" s="562"/>
      <c r="D781" s="562"/>
      <c r="E781" s="562"/>
      <c r="F781" s="562"/>
      <c r="G781" s="562"/>
      <c r="H781" s="562"/>
      <c r="I781" s="562"/>
      <c r="J781" s="562"/>
      <c r="K781" s="562"/>
      <c r="L781" s="562"/>
      <c r="M781" s="562"/>
      <c r="N781" s="562"/>
      <c r="O781" s="569"/>
      <c r="P781" s="570"/>
      <c r="Q781" s="562"/>
      <c r="R781" s="562"/>
      <c r="S781" s="562"/>
      <c r="T781" s="562"/>
      <c r="U781" s="562"/>
      <c r="V781" s="562"/>
      <c r="W781" s="562"/>
      <c r="X781" s="562"/>
      <c r="Y781" s="562"/>
      <c r="Z781" s="562"/>
    </row>
    <row r="782" ht="12.0" customHeight="1">
      <c r="A782" s="562"/>
      <c r="B782" s="562"/>
      <c r="C782" s="562"/>
      <c r="D782" s="562"/>
      <c r="E782" s="562"/>
      <c r="F782" s="562"/>
      <c r="G782" s="562"/>
      <c r="H782" s="562"/>
      <c r="I782" s="562"/>
      <c r="J782" s="562"/>
      <c r="K782" s="562"/>
      <c r="L782" s="562"/>
      <c r="M782" s="562"/>
      <c r="N782" s="562"/>
      <c r="O782" s="569"/>
      <c r="P782" s="570"/>
      <c r="Q782" s="562"/>
      <c r="R782" s="562"/>
      <c r="S782" s="562"/>
      <c r="T782" s="562"/>
      <c r="U782" s="562"/>
      <c r="V782" s="562"/>
      <c r="W782" s="562"/>
      <c r="X782" s="562"/>
      <c r="Y782" s="562"/>
      <c r="Z782" s="562"/>
    </row>
    <row r="783" ht="12.0" customHeight="1">
      <c r="A783" s="562"/>
      <c r="B783" s="562"/>
      <c r="C783" s="562"/>
      <c r="D783" s="562"/>
      <c r="E783" s="562"/>
      <c r="F783" s="562"/>
      <c r="G783" s="562"/>
      <c r="H783" s="562"/>
      <c r="I783" s="562"/>
      <c r="J783" s="562"/>
      <c r="K783" s="562"/>
      <c r="L783" s="562"/>
      <c r="M783" s="562"/>
      <c r="N783" s="562"/>
      <c r="O783" s="569"/>
      <c r="P783" s="570"/>
      <c r="Q783" s="562"/>
      <c r="R783" s="562"/>
      <c r="S783" s="562"/>
      <c r="T783" s="562"/>
      <c r="U783" s="562"/>
      <c r="V783" s="562"/>
      <c r="W783" s="562"/>
      <c r="X783" s="562"/>
      <c r="Y783" s="562"/>
      <c r="Z783" s="562"/>
    </row>
    <row r="784" ht="12.0" customHeight="1">
      <c r="A784" s="562"/>
      <c r="B784" s="562"/>
      <c r="C784" s="562"/>
      <c r="D784" s="562"/>
      <c r="E784" s="562"/>
      <c r="F784" s="562"/>
      <c r="G784" s="562"/>
      <c r="H784" s="562"/>
      <c r="I784" s="562"/>
      <c r="J784" s="562"/>
      <c r="K784" s="562"/>
      <c r="L784" s="562"/>
      <c r="M784" s="562"/>
      <c r="N784" s="562"/>
      <c r="O784" s="569"/>
      <c r="P784" s="570"/>
      <c r="Q784" s="562"/>
      <c r="R784" s="562"/>
      <c r="S784" s="562"/>
      <c r="T784" s="562"/>
      <c r="U784" s="562"/>
      <c r="V784" s="562"/>
      <c r="W784" s="562"/>
      <c r="X784" s="562"/>
      <c r="Y784" s="562"/>
      <c r="Z784" s="562"/>
    </row>
    <row r="785" ht="12.0" customHeight="1">
      <c r="A785" s="562"/>
      <c r="B785" s="562"/>
      <c r="C785" s="562"/>
      <c r="D785" s="562"/>
      <c r="E785" s="562"/>
      <c r="F785" s="562"/>
      <c r="G785" s="562"/>
      <c r="H785" s="562"/>
      <c r="I785" s="562"/>
      <c r="J785" s="562"/>
      <c r="K785" s="562"/>
      <c r="L785" s="562"/>
      <c r="M785" s="562"/>
      <c r="N785" s="562"/>
      <c r="O785" s="569"/>
      <c r="P785" s="570"/>
      <c r="Q785" s="562"/>
      <c r="R785" s="562"/>
      <c r="S785" s="562"/>
      <c r="T785" s="562"/>
      <c r="U785" s="562"/>
      <c r="V785" s="562"/>
      <c r="W785" s="562"/>
      <c r="X785" s="562"/>
      <c r="Y785" s="562"/>
      <c r="Z785" s="562"/>
    </row>
    <row r="786" ht="12.0" customHeight="1">
      <c r="A786" s="562"/>
      <c r="B786" s="562"/>
      <c r="C786" s="562"/>
      <c r="D786" s="562"/>
      <c r="E786" s="562"/>
      <c r="F786" s="562"/>
      <c r="G786" s="562"/>
      <c r="H786" s="562"/>
      <c r="I786" s="562"/>
      <c r="J786" s="562"/>
      <c r="K786" s="562"/>
      <c r="L786" s="562"/>
      <c r="M786" s="562"/>
      <c r="N786" s="562"/>
      <c r="O786" s="569"/>
      <c r="P786" s="570"/>
      <c r="Q786" s="562"/>
      <c r="R786" s="562"/>
      <c r="S786" s="562"/>
      <c r="T786" s="562"/>
      <c r="U786" s="562"/>
      <c r="V786" s="562"/>
      <c r="W786" s="562"/>
      <c r="X786" s="562"/>
      <c r="Y786" s="562"/>
      <c r="Z786" s="562"/>
    </row>
    <row r="787" ht="12.0" customHeight="1">
      <c r="A787" s="562"/>
      <c r="B787" s="562"/>
      <c r="C787" s="562"/>
      <c r="D787" s="562"/>
      <c r="E787" s="562"/>
      <c r="F787" s="562"/>
      <c r="G787" s="562"/>
      <c r="H787" s="562"/>
      <c r="I787" s="562"/>
      <c r="J787" s="562"/>
      <c r="K787" s="562"/>
      <c r="L787" s="562"/>
      <c r="M787" s="562"/>
      <c r="N787" s="562"/>
      <c r="O787" s="569"/>
      <c r="P787" s="570"/>
      <c r="Q787" s="562"/>
      <c r="R787" s="562"/>
      <c r="S787" s="562"/>
      <c r="T787" s="562"/>
      <c r="U787" s="562"/>
      <c r="V787" s="562"/>
      <c r="W787" s="562"/>
      <c r="X787" s="562"/>
      <c r="Y787" s="562"/>
      <c r="Z787" s="562"/>
    </row>
    <row r="788" ht="12.0" customHeight="1">
      <c r="A788" s="562"/>
      <c r="B788" s="562"/>
      <c r="C788" s="562"/>
      <c r="D788" s="562"/>
      <c r="E788" s="562"/>
      <c r="F788" s="562"/>
      <c r="G788" s="562"/>
      <c r="H788" s="562"/>
      <c r="I788" s="562"/>
      <c r="J788" s="562"/>
      <c r="K788" s="562"/>
      <c r="L788" s="562"/>
      <c r="M788" s="562"/>
      <c r="N788" s="562"/>
      <c r="O788" s="569"/>
      <c r="P788" s="570"/>
      <c r="Q788" s="562"/>
      <c r="R788" s="562"/>
      <c r="S788" s="562"/>
      <c r="T788" s="562"/>
      <c r="U788" s="562"/>
      <c r="V788" s="562"/>
      <c r="W788" s="562"/>
      <c r="X788" s="562"/>
      <c r="Y788" s="562"/>
      <c r="Z788" s="562"/>
    </row>
    <row r="789" ht="12.0" customHeight="1">
      <c r="A789" s="562"/>
      <c r="B789" s="562"/>
      <c r="C789" s="562"/>
      <c r="D789" s="562"/>
      <c r="E789" s="562"/>
      <c r="F789" s="562"/>
      <c r="G789" s="562"/>
      <c r="H789" s="562"/>
      <c r="I789" s="562"/>
      <c r="J789" s="562"/>
      <c r="K789" s="562"/>
      <c r="L789" s="562"/>
      <c r="M789" s="562"/>
      <c r="N789" s="562"/>
      <c r="O789" s="569"/>
      <c r="P789" s="570"/>
      <c r="Q789" s="562"/>
      <c r="R789" s="562"/>
      <c r="S789" s="562"/>
      <c r="T789" s="562"/>
      <c r="U789" s="562"/>
      <c r="V789" s="562"/>
      <c r="W789" s="562"/>
      <c r="X789" s="562"/>
      <c r="Y789" s="562"/>
      <c r="Z789" s="562"/>
    </row>
    <row r="790" ht="12.0" customHeight="1">
      <c r="A790" s="562"/>
      <c r="B790" s="562"/>
      <c r="C790" s="562"/>
      <c r="D790" s="562"/>
      <c r="E790" s="562"/>
      <c r="F790" s="562"/>
      <c r="G790" s="562"/>
      <c r="H790" s="562"/>
      <c r="I790" s="562"/>
      <c r="J790" s="562"/>
      <c r="K790" s="562"/>
      <c r="L790" s="562"/>
      <c r="M790" s="562"/>
      <c r="N790" s="562"/>
      <c r="O790" s="569"/>
      <c r="P790" s="570"/>
      <c r="Q790" s="562"/>
      <c r="R790" s="562"/>
      <c r="S790" s="562"/>
      <c r="T790" s="562"/>
      <c r="U790" s="562"/>
      <c r="V790" s="562"/>
      <c r="W790" s="562"/>
      <c r="X790" s="562"/>
      <c r="Y790" s="562"/>
      <c r="Z790" s="562"/>
    </row>
    <row r="791" ht="12.0" customHeight="1">
      <c r="A791" s="562"/>
      <c r="B791" s="562"/>
      <c r="C791" s="562"/>
      <c r="D791" s="562"/>
      <c r="E791" s="562"/>
      <c r="F791" s="562"/>
      <c r="G791" s="562"/>
      <c r="H791" s="562"/>
      <c r="I791" s="562"/>
      <c r="J791" s="562"/>
      <c r="K791" s="562"/>
      <c r="L791" s="562"/>
      <c r="M791" s="562"/>
      <c r="N791" s="562"/>
      <c r="O791" s="569"/>
      <c r="P791" s="570"/>
      <c r="Q791" s="562"/>
      <c r="R791" s="562"/>
      <c r="S791" s="562"/>
      <c r="T791" s="562"/>
      <c r="U791" s="562"/>
      <c r="V791" s="562"/>
      <c r="W791" s="562"/>
      <c r="X791" s="562"/>
      <c r="Y791" s="562"/>
      <c r="Z791" s="562"/>
    </row>
    <row r="792" ht="12.0" customHeight="1">
      <c r="A792" s="562"/>
      <c r="B792" s="562"/>
      <c r="C792" s="562"/>
      <c r="D792" s="562"/>
      <c r="E792" s="562"/>
      <c r="F792" s="562"/>
      <c r="G792" s="562"/>
      <c r="H792" s="562"/>
      <c r="I792" s="562"/>
      <c r="J792" s="562"/>
      <c r="K792" s="562"/>
      <c r="L792" s="562"/>
      <c r="M792" s="562"/>
      <c r="N792" s="562"/>
      <c r="O792" s="569"/>
      <c r="P792" s="570"/>
      <c r="Q792" s="562"/>
      <c r="R792" s="562"/>
      <c r="S792" s="562"/>
      <c r="T792" s="562"/>
      <c r="U792" s="562"/>
      <c r="V792" s="562"/>
      <c r="W792" s="562"/>
      <c r="X792" s="562"/>
      <c r="Y792" s="562"/>
      <c r="Z792" s="562"/>
    </row>
    <row r="793" ht="12.0" customHeight="1">
      <c r="A793" s="562"/>
      <c r="B793" s="562"/>
      <c r="C793" s="562"/>
      <c r="D793" s="562"/>
      <c r="E793" s="562"/>
      <c r="F793" s="562"/>
      <c r="G793" s="562"/>
      <c r="H793" s="562"/>
      <c r="I793" s="562"/>
      <c r="J793" s="562"/>
      <c r="K793" s="562"/>
      <c r="L793" s="562"/>
      <c r="M793" s="562"/>
      <c r="N793" s="562"/>
      <c r="O793" s="569"/>
      <c r="P793" s="570"/>
      <c r="Q793" s="562"/>
      <c r="R793" s="562"/>
      <c r="S793" s="562"/>
      <c r="T793" s="562"/>
      <c r="U793" s="562"/>
      <c r="V793" s="562"/>
      <c r="W793" s="562"/>
      <c r="X793" s="562"/>
      <c r="Y793" s="562"/>
      <c r="Z793" s="562"/>
    </row>
    <row r="794" ht="12.0" customHeight="1">
      <c r="A794" s="562"/>
      <c r="B794" s="562"/>
      <c r="C794" s="562"/>
      <c r="D794" s="562"/>
      <c r="E794" s="562"/>
      <c r="F794" s="562"/>
      <c r="G794" s="562"/>
      <c r="H794" s="562"/>
      <c r="I794" s="562"/>
      <c r="J794" s="562"/>
      <c r="K794" s="562"/>
      <c r="L794" s="562"/>
      <c r="M794" s="562"/>
      <c r="N794" s="562"/>
      <c r="O794" s="569"/>
      <c r="P794" s="570"/>
      <c r="Q794" s="562"/>
      <c r="R794" s="562"/>
      <c r="S794" s="562"/>
      <c r="T794" s="562"/>
      <c r="U794" s="562"/>
      <c r="V794" s="562"/>
      <c r="W794" s="562"/>
      <c r="X794" s="562"/>
      <c r="Y794" s="562"/>
      <c r="Z794" s="562"/>
    </row>
    <row r="795" ht="12.0" customHeight="1">
      <c r="A795" s="562"/>
      <c r="B795" s="562"/>
      <c r="C795" s="562"/>
      <c r="D795" s="562"/>
      <c r="E795" s="562"/>
      <c r="F795" s="562"/>
      <c r="G795" s="562"/>
      <c r="H795" s="562"/>
      <c r="I795" s="562"/>
      <c r="J795" s="562"/>
      <c r="K795" s="562"/>
      <c r="L795" s="562"/>
      <c r="M795" s="562"/>
      <c r="N795" s="562"/>
      <c r="O795" s="569"/>
      <c r="P795" s="570"/>
      <c r="Q795" s="562"/>
      <c r="R795" s="562"/>
      <c r="S795" s="562"/>
      <c r="T795" s="562"/>
      <c r="U795" s="562"/>
      <c r="V795" s="562"/>
      <c r="W795" s="562"/>
      <c r="X795" s="562"/>
      <c r="Y795" s="562"/>
      <c r="Z795" s="562"/>
    </row>
    <row r="796" ht="12.0" customHeight="1">
      <c r="A796" s="562"/>
      <c r="B796" s="562"/>
      <c r="C796" s="562"/>
      <c r="D796" s="562"/>
      <c r="E796" s="562"/>
      <c r="F796" s="562"/>
      <c r="G796" s="562"/>
      <c r="H796" s="562"/>
      <c r="I796" s="562"/>
      <c r="J796" s="562"/>
      <c r="K796" s="562"/>
      <c r="L796" s="562"/>
      <c r="M796" s="562"/>
      <c r="N796" s="562"/>
      <c r="O796" s="569"/>
      <c r="P796" s="570"/>
      <c r="Q796" s="562"/>
      <c r="R796" s="562"/>
      <c r="S796" s="562"/>
      <c r="T796" s="562"/>
      <c r="U796" s="562"/>
      <c r="V796" s="562"/>
      <c r="W796" s="562"/>
      <c r="X796" s="562"/>
      <c r="Y796" s="562"/>
      <c r="Z796" s="562"/>
    </row>
    <row r="797" ht="12.0" customHeight="1">
      <c r="A797" s="562"/>
      <c r="B797" s="562"/>
      <c r="C797" s="562"/>
      <c r="D797" s="562"/>
      <c r="E797" s="562"/>
      <c r="F797" s="562"/>
      <c r="G797" s="562"/>
      <c r="H797" s="562"/>
      <c r="I797" s="562"/>
      <c r="J797" s="562"/>
      <c r="K797" s="562"/>
      <c r="L797" s="562"/>
      <c r="M797" s="562"/>
      <c r="N797" s="562"/>
      <c r="O797" s="569"/>
      <c r="P797" s="570"/>
      <c r="Q797" s="562"/>
      <c r="R797" s="562"/>
      <c r="S797" s="562"/>
      <c r="T797" s="562"/>
      <c r="U797" s="562"/>
      <c r="V797" s="562"/>
      <c r="W797" s="562"/>
      <c r="X797" s="562"/>
      <c r="Y797" s="562"/>
      <c r="Z797" s="562"/>
    </row>
    <row r="798" ht="12.0" customHeight="1">
      <c r="A798" s="562"/>
      <c r="B798" s="562"/>
      <c r="C798" s="562"/>
      <c r="D798" s="562"/>
      <c r="E798" s="562"/>
      <c r="F798" s="562"/>
      <c r="G798" s="562"/>
      <c r="H798" s="562"/>
      <c r="I798" s="562"/>
      <c r="J798" s="562"/>
      <c r="K798" s="562"/>
      <c r="L798" s="562"/>
      <c r="M798" s="562"/>
      <c r="N798" s="562"/>
      <c r="O798" s="569"/>
      <c r="P798" s="570"/>
      <c r="Q798" s="562"/>
      <c r="R798" s="562"/>
      <c r="S798" s="562"/>
      <c r="T798" s="562"/>
      <c r="U798" s="562"/>
      <c r="V798" s="562"/>
      <c r="W798" s="562"/>
      <c r="X798" s="562"/>
      <c r="Y798" s="562"/>
      <c r="Z798" s="562"/>
    </row>
    <row r="799" ht="12.0" customHeight="1">
      <c r="A799" s="562"/>
      <c r="B799" s="562"/>
      <c r="C799" s="562"/>
      <c r="D799" s="562"/>
      <c r="E799" s="562"/>
      <c r="F799" s="562"/>
      <c r="G799" s="562"/>
      <c r="H799" s="562"/>
      <c r="I799" s="562"/>
      <c r="J799" s="562"/>
      <c r="K799" s="562"/>
      <c r="L799" s="562"/>
      <c r="M799" s="562"/>
      <c r="N799" s="562"/>
      <c r="O799" s="569"/>
      <c r="P799" s="570"/>
      <c r="Q799" s="562"/>
      <c r="R799" s="562"/>
      <c r="S799" s="562"/>
      <c r="T799" s="562"/>
      <c r="U799" s="562"/>
      <c r="V799" s="562"/>
      <c r="W799" s="562"/>
      <c r="X799" s="562"/>
      <c r="Y799" s="562"/>
      <c r="Z799" s="562"/>
    </row>
    <row r="800" ht="12.0" customHeight="1">
      <c r="A800" s="562"/>
      <c r="B800" s="562"/>
      <c r="C800" s="562"/>
      <c r="D800" s="562"/>
      <c r="E800" s="562"/>
      <c r="F800" s="562"/>
      <c r="G800" s="562"/>
      <c r="H800" s="562"/>
      <c r="I800" s="562"/>
      <c r="J800" s="562"/>
      <c r="K800" s="562"/>
      <c r="L800" s="562"/>
      <c r="M800" s="562"/>
      <c r="N800" s="562"/>
      <c r="O800" s="569"/>
      <c r="P800" s="570"/>
      <c r="Q800" s="562"/>
      <c r="R800" s="562"/>
      <c r="S800" s="562"/>
      <c r="T800" s="562"/>
      <c r="U800" s="562"/>
      <c r="V800" s="562"/>
      <c r="W800" s="562"/>
      <c r="X800" s="562"/>
      <c r="Y800" s="562"/>
      <c r="Z800" s="562"/>
    </row>
    <row r="801" ht="12.0" customHeight="1">
      <c r="A801" s="562"/>
      <c r="B801" s="562"/>
      <c r="C801" s="562"/>
      <c r="D801" s="562"/>
      <c r="E801" s="562"/>
      <c r="F801" s="562"/>
      <c r="G801" s="562"/>
      <c r="H801" s="562"/>
      <c r="I801" s="562"/>
      <c r="J801" s="562"/>
      <c r="K801" s="562"/>
      <c r="L801" s="562"/>
      <c r="M801" s="562"/>
      <c r="N801" s="562"/>
      <c r="O801" s="569"/>
      <c r="P801" s="570"/>
      <c r="Q801" s="562"/>
      <c r="R801" s="562"/>
      <c r="S801" s="562"/>
      <c r="T801" s="562"/>
      <c r="U801" s="562"/>
      <c r="V801" s="562"/>
      <c r="W801" s="562"/>
      <c r="X801" s="562"/>
      <c r="Y801" s="562"/>
      <c r="Z801" s="562"/>
    </row>
    <row r="802" ht="12.0" customHeight="1">
      <c r="A802" s="562"/>
      <c r="B802" s="562"/>
      <c r="C802" s="562"/>
      <c r="D802" s="562"/>
      <c r="E802" s="562"/>
      <c r="F802" s="562"/>
      <c r="G802" s="562"/>
      <c r="H802" s="562"/>
      <c r="I802" s="562"/>
      <c r="J802" s="562"/>
      <c r="K802" s="562"/>
      <c r="L802" s="562"/>
      <c r="M802" s="562"/>
      <c r="N802" s="562"/>
      <c r="O802" s="569"/>
      <c r="P802" s="570"/>
      <c r="Q802" s="562"/>
      <c r="R802" s="562"/>
      <c r="S802" s="562"/>
      <c r="T802" s="562"/>
      <c r="U802" s="562"/>
      <c r="V802" s="562"/>
      <c r="W802" s="562"/>
      <c r="X802" s="562"/>
      <c r="Y802" s="562"/>
      <c r="Z802" s="562"/>
    </row>
    <row r="803" ht="12.0" customHeight="1">
      <c r="A803" s="562"/>
      <c r="B803" s="562"/>
      <c r="C803" s="562"/>
      <c r="D803" s="562"/>
      <c r="E803" s="562"/>
      <c r="F803" s="562"/>
      <c r="G803" s="562"/>
      <c r="H803" s="562"/>
      <c r="I803" s="562"/>
      <c r="J803" s="562"/>
      <c r="K803" s="562"/>
      <c r="L803" s="562"/>
      <c r="M803" s="562"/>
      <c r="N803" s="562"/>
      <c r="O803" s="569"/>
      <c r="P803" s="570"/>
      <c r="Q803" s="562"/>
      <c r="R803" s="562"/>
      <c r="S803" s="562"/>
      <c r="T803" s="562"/>
      <c r="U803" s="562"/>
      <c r="V803" s="562"/>
      <c r="W803" s="562"/>
      <c r="X803" s="562"/>
      <c r="Y803" s="562"/>
      <c r="Z803" s="562"/>
    </row>
    <row r="804" ht="12.0" customHeight="1">
      <c r="A804" s="562"/>
      <c r="B804" s="562"/>
      <c r="C804" s="562"/>
      <c r="D804" s="562"/>
      <c r="E804" s="562"/>
      <c r="F804" s="562"/>
      <c r="G804" s="562"/>
      <c r="H804" s="562"/>
      <c r="I804" s="562"/>
      <c r="J804" s="562"/>
      <c r="K804" s="562"/>
      <c r="L804" s="562"/>
      <c r="M804" s="562"/>
      <c r="N804" s="562"/>
      <c r="O804" s="569"/>
      <c r="P804" s="570"/>
      <c r="Q804" s="562"/>
      <c r="R804" s="562"/>
      <c r="S804" s="562"/>
      <c r="T804" s="562"/>
      <c r="U804" s="562"/>
      <c r="V804" s="562"/>
      <c r="W804" s="562"/>
      <c r="X804" s="562"/>
      <c r="Y804" s="562"/>
      <c r="Z804" s="562"/>
    </row>
    <row r="805" ht="12.0" customHeight="1">
      <c r="A805" s="562"/>
      <c r="B805" s="562"/>
      <c r="C805" s="562"/>
      <c r="D805" s="562"/>
      <c r="E805" s="562"/>
      <c r="F805" s="562"/>
      <c r="G805" s="562"/>
      <c r="H805" s="562"/>
      <c r="I805" s="562"/>
      <c r="J805" s="562"/>
      <c r="K805" s="562"/>
      <c r="L805" s="562"/>
      <c r="M805" s="562"/>
      <c r="N805" s="562"/>
      <c r="O805" s="569"/>
      <c r="P805" s="570"/>
      <c r="Q805" s="562"/>
      <c r="R805" s="562"/>
      <c r="S805" s="562"/>
      <c r="T805" s="562"/>
      <c r="U805" s="562"/>
      <c r="V805" s="562"/>
      <c r="W805" s="562"/>
      <c r="X805" s="562"/>
      <c r="Y805" s="562"/>
      <c r="Z805" s="562"/>
    </row>
    <row r="806" ht="12.0" customHeight="1">
      <c r="A806" s="562"/>
      <c r="B806" s="562"/>
      <c r="C806" s="562"/>
      <c r="D806" s="562"/>
      <c r="E806" s="562"/>
      <c r="F806" s="562"/>
      <c r="G806" s="562"/>
      <c r="H806" s="562"/>
      <c r="I806" s="562"/>
      <c r="J806" s="562"/>
      <c r="K806" s="562"/>
      <c r="L806" s="562"/>
      <c r="M806" s="562"/>
      <c r="N806" s="562"/>
      <c r="O806" s="569"/>
      <c r="P806" s="570"/>
      <c r="Q806" s="562"/>
      <c r="R806" s="562"/>
      <c r="S806" s="562"/>
      <c r="T806" s="562"/>
      <c r="U806" s="562"/>
      <c r="V806" s="562"/>
      <c r="W806" s="562"/>
      <c r="X806" s="562"/>
      <c r="Y806" s="562"/>
      <c r="Z806" s="562"/>
    </row>
    <row r="807" ht="12.0" customHeight="1">
      <c r="A807" s="562"/>
      <c r="B807" s="562"/>
      <c r="C807" s="562"/>
      <c r="D807" s="562"/>
      <c r="E807" s="562"/>
      <c r="F807" s="562"/>
      <c r="G807" s="562"/>
      <c r="H807" s="562"/>
      <c r="I807" s="562"/>
      <c r="J807" s="562"/>
      <c r="K807" s="562"/>
      <c r="L807" s="562"/>
      <c r="M807" s="562"/>
      <c r="N807" s="562"/>
      <c r="O807" s="569"/>
      <c r="P807" s="570"/>
      <c r="Q807" s="562"/>
      <c r="R807" s="562"/>
      <c r="S807" s="562"/>
      <c r="T807" s="562"/>
      <c r="U807" s="562"/>
      <c r="V807" s="562"/>
      <c r="W807" s="562"/>
      <c r="X807" s="562"/>
      <c r="Y807" s="562"/>
      <c r="Z807" s="562"/>
    </row>
    <row r="808" ht="12.0" customHeight="1">
      <c r="A808" s="562"/>
      <c r="B808" s="562"/>
      <c r="C808" s="562"/>
      <c r="D808" s="562"/>
      <c r="E808" s="562"/>
      <c r="F808" s="562"/>
      <c r="G808" s="562"/>
      <c r="H808" s="562"/>
      <c r="I808" s="562"/>
      <c r="J808" s="562"/>
      <c r="K808" s="562"/>
      <c r="L808" s="562"/>
      <c r="M808" s="562"/>
      <c r="N808" s="562"/>
      <c r="O808" s="569"/>
      <c r="P808" s="570"/>
      <c r="Q808" s="562"/>
      <c r="R808" s="562"/>
      <c r="S808" s="562"/>
      <c r="T808" s="562"/>
      <c r="U808" s="562"/>
      <c r="V808" s="562"/>
      <c r="W808" s="562"/>
      <c r="X808" s="562"/>
      <c r="Y808" s="562"/>
      <c r="Z808" s="562"/>
    </row>
    <row r="809" ht="12.0" customHeight="1">
      <c r="A809" s="562"/>
      <c r="B809" s="562"/>
      <c r="C809" s="562"/>
      <c r="D809" s="562"/>
      <c r="E809" s="562"/>
      <c r="F809" s="562"/>
      <c r="G809" s="562"/>
      <c r="H809" s="562"/>
      <c r="I809" s="562"/>
      <c r="J809" s="562"/>
      <c r="K809" s="562"/>
      <c r="L809" s="562"/>
      <c r="M809" s="562"/>
      <c r="N809" s="562"/>
      <c r="O809" s="569"/>
      <c r="P809" s="570"/>
      <c r="Q809" s="562"/>
      <c r="R809" s="562"/>
      <c r="S809" s="562"/>
      <c r="T809" s="562"/>
      <c r="U809" s="562"/>
      <c r="V809" s="562"/>
      <c r="W809" s="562"/>
      <c r="X809" s="562"/>
      <c r="Y809" s="562"/>
      <c r="Z809" s="562"/>
    </row>
    <row r="810" ht="12.0" customHeight="1">
      <c r="A810" s="562"/>
      <c r="B810" s="562"/>
      <c r="C810" s="562"/>
      <c r="D810" s="562"/>
      <c r="E810" s="562"/>
      <c r="F810" s="562"/>
      <c r="G810" s="562"/>
      <c r="H810" s="562"/>
      <c r="I810" s="562"/>
      <c r="J810" s="562"/>
      <c r="K810" s="562"/>
      <c r="L810" s="562"/>
      <c r="M810" s="562"/>
      <c r="N810" s="562"/>
      <c r="O810" s="569"/>
      <c r="P810" s="570"/>
      <c r="Q810" s="562"/>
      <c r="R810" s="562"/>
      <c r="S810" s="562"/>
      <c r="T810" s="562"/>
      <c r="U810" s="562"/>
      <c r="V810" s="562"/>
      <c r="W810" s="562"/>
      <c r="X810" s="562"/>
      <c r="Y810" s="562"/>
      <c r="Z810" s="562"/>
    </row>
    <row r="811" ht="12.0" customHeight="1">
      <c r="A811" s="562"/>
      <c r="B811" s="562"/>
      <c r="C811" s="562"/>
      <c r="D811" s="562"/>
      <c r="E811" s="562"/>
      <c r="F811" s="562"/>
      <c r="G811" s="562"/>
      <c r="H811" s="562"/>
      <c r="I811" s="562"/>
      <c r="J811" s="562"/>
      <c r="K811" s="562"/>
      <c r="L811" s="562"/>
      <c r="M811" s="562"/>
      <c r="N811" s="562"/>
      <c r="O811" s="569"/>
      <c r="P811" s="570"/>
      <c r="Q811" s="562"/>
      <c r="R811" s="562"/>
      <c r="S811" s="562"/>
      <c r="T811" s="562"/>
      <c r="U811" s="562"/>
      <c r="V811" s="562"/>
      <c r="W811" s="562"/>
      <c r="X811" s="562"/>
      <c r="Y811" s="562"/>
      <c r="Z811" s="562"/>
    </row>
    <row r="812" ht="12.0" customHeight="1">
      <c r="A812" s="562"/>
      <c r="B812" s="562"/>
      <c r="C812" s="562"/>
      <c r="D812" s="562"/>
      <c r="E812" s="562"/>
      <c r="F812" s="562"/>
      <c r="G812" s="562"/>
      <c r="H812" s="562"/>
      <c r="I812" s="562"/>
      <c r="J812" s="562"/>
      <c r="K812" s="562"/>
      <c r="L812" s="562"/>
      <c r="M812" s="562"/>
      <c r="N812" s="562"/>
      <c r="O812" s="569"/>
      <c r="P812" s="570"/>
      <c r="Q812" s="562"/>
      <c r="R812" s="562"/>
      <c r="S812" s="562"/>
      <c r="T812" s="562"/>
      <c r="U812" s="562"/>
      <c r="V812" s="562"/>
      <c r="W812" s="562"/>
      <c r="X812" s="562"/>
      <c r="Y812" s="562"/>
      <c r="Z812" s="562"/>
    </row>
    <row r="813" ht="12.0" customHeight="1">
      <c r="A813" s="562"/>
      <c r="B813" s="562"/>
      <c r="C813" s="562"/>
      <c r="D813" s="562"/>
      <c r="E813" s="562"/>
      <c r="F813" s="562"/>
      <c r="G813" s="562"/>
      <c r="H813" s="562"/>
      <c r="I813" s="562"/>
      <c r="J813" s="562"/>
      <c r="K813" s="562"/>
      <c r="L813" s="562"/>
      <c r="M813" s="562"/>
      <c r="N813" s="562"/>
      <c r="O813" s="569"/>
      <c r="P813" s="570"/>
      <c r="Q813" s="562"/>
      <c r="R813" s="562"/>
      <c r="S813" s="562"/>
      <c r="T813" s="562"/>
      <c r="U813" s="562"/>
      <c r="V813" s="562"/>
      <c r="W813" s="562"/>
      <c r="X813" s="562"/>
      <c r="Y813" s="562"/>
      <c r="Z813" s="562"/>
    </row>
    <row r="814" ht="12.0" customHeight="1">
      <c r="A814" s="562"/>
      <c r="B814" s="562"/>
      <c r="C814" s="562"/>
      <c r="D814" s="562"/>
      <c r="E814" s="562"/>
      <c r="F814" s="562"/>
      <c r="G814" s="562"/>
      <c r="H814" s="562"/>
      <c r="I814" s="562"/>
      <c r="J814" s="562"/>
      <c r="K814" s="562"/>
      <c r="L814" s="562"/>
      <c r="M814" s="562"/>
      <c r="N814" s="562"/>
      <c r="O814" s="569"/>
      <c r="P814" s="570"/>
      <c r="Q814" s="562"/>
      <c r="R814" s="562"/>
      <c r="S814" s="562"/>
      <c r="T814" s="562"/>
      <c r="U814" s="562"/>
      <c r="V814" s="562"/>
      <c r="W814" s="562"/>
      <c r="X814" s="562"/>
      <c r="Y814" s="562"/>
      <c r="Z814" s="562"/>
    </row>
    <row r="815" ht="12.0" customHeight="1">
      <c r="A815" s="562"/>
      <c r="B815" s="562"/>
      <c r="C815" s="562"/>
      <c r="D815" s="562"/>
      <c r="E815" s="562"/>
      <c r="F815" s="562"/>
      <c r="G815" s="562"/>
      <c r="H815" s="562"/>
      <c r="I815" s="562"/>
      <c r="J815" s="562"/>
      <c r="K815" s="562"/>
      <c r="L815" s="562"/>
      <c r="M815" s="562"/>
      <c r="N815" s="562"/>
      <c r="O815" s="569"/>
      <c r="P815" s="570"/>
      <c r="Q815" s="562"/>
      <c r="R815" s="562"/>
      <c r="S815" s="562"/>
      <c r="T815" s="562"/>
      <c r="U815" s="562"/>
      <c r="V815" s="562"/>
      <c r="W815" s="562"/>
      <c r="X815" s="562"/>
      <c r="Y815" s="562"/>
      <c r="Z815" s="562"/>
    </row>
    <row r="816" ht="12.0" customHeight="1">
      <c r="A816" s="562"/>
      <c r="B816" s="562"/>
      <c r="C816" s="562"/>
      <c r="D816" s="562"/>
      <c r="E816" s="562"/>
      <c r="F816" s="562"/>
      <c r="G816" s="562"/>
      <c r="H816" s="562"/>
      <c r="I816" s="562"/>
      <c r="J816" s="562"/>
      <c r="K816" s="562"/>
      <c r="L816" s="562"/>
      <c r="M816" s="562"/>
      <c r="N816" s="562"/>
      <c r="O816" s="569"/>
      <c r="P816" s="570"/>
      <c r="Q816" s="562"/>
      <c r="R816" s="562"/>
      <c r="S816" s="562"/>
      <c r="T816" s="562"/>
      <c r="U816" s="562"/>
      <c r="V816" s="562"/>
      <c r="W816" s="562"/>
      <c r="X816" s="562"/>
      <c r="Y816" s="562"/>
      <c r="Z816" s="562"/>
    </row>
    <row r="817" ht="12.0" customHeight="1">
      <c r="A817" s="562"/>
      <c r="B817" s="562"/>
      <c r="C817" s="562"/>
      <c r="D817" s="562"/>
      <c r="E817" s="562"/>
      <c r="F817" s="562"/>
      <c r="G817" s="562"/>
      <c r="H817" s="562"/>
      <c r="I817" s="562"/>
      <c r="J817" s="562"/>
      <c r="K817" s="562"/>
      <c r="L817" s="562"/>
      <c r="M817" s="562"/>
      <c r="N817" s="562"/>
      <c r="O817" s="569"/>
      <c r="P817" s="570"/>
      <c r="Q817" s="562"/>
      <c r="R817" s="562"/>
      <c r="S817" s="562"/>
      <c r="T817" s="562"/>
      <c r="U817" s="562"/>
      <c r="V817" s="562"/>
      <c r="W817" s="562"/>
      <c r="X817" s="562"/>
      <c r="Y817" s="562"/>
      <c r="Z817" s="562"/>
    </row>
    <row r="818" ht="12.0" customHeight="1">
      <c r="A818" s="562"/>
      <c r="B818" s="562"/>
      <c r="C818" s="562"/>
      <c r="D818" s="562"/>
      <c r="E818" s="562"/>
      <c r="F818" s="562"/>
      <c r="G818" s="562"/>
      <c r="H818" s="562"/>
      <c r="I818" s="562"/>
      <c r="J818" s="562"/>
      <c r="K818" s="562"/>
      <c r="L818" s="562"/>
      <c r="M818" s="562"/>
      <c r="N818" s="562"/>
      <c r="O818" s="569"/>
      <c r="P818" s="570"/>
      <c r="Q818" s="562"/>
      <c r="R818" s="562"/>
      <c r="S818" s="562"/>
      <c r="T818" s="562"/>
      <c r="U818" s="562"/>
      <c r="V818" s="562"/>
      <c r="W818" s="562"/>
      <c r="X818" s="562"/>
      <c r="Y818" s="562"/>
      <c r="Z818" s="562"/>
    </row>
    <row r="819" ht="12.0" customHeight="1">
      <c r="A819" s="562"/>
      <c r="B819" s="562"/>
      <c r="C819" s="562"/>
      <c r="D819" s="562"/>
      <c r="E819" s="562"/>
      <c r="F819" s="562"/>
      <c r="G819" s="562"/>
      <c r="H819" s="562"/>
      <c r="I819" s="562"/>
      <c r="J819" s="562"/>
      <c r="K819" s="562"/>
      <c r="L819" s="562"/>
      <c r="M819" s="562"/>
      <c r="N819" s="562"/>
      <c r="O819" s="569"/>
      <c r="P819" s="570"/>
      <c r="Q819" s="562"/>
      <c r="R819" s="562"/>
      <c r="S819" s="562"/>
      <c r="T819" s="562"/>
      <c r="U819" s="562"/>
      <c r="V819" s="562"/>
      <c r="W819" s="562"/>
      <c r="X819" s="562"/>
      <c r="Y819" s="562"/>
      <c r="Z819" s="562"/>
    </row>
    <row r="820" ht="12.0" customHeight="1">
      <c r="A820" s="562"/>
      <c r="B820" s="562"/>
      <c r="C820" s="562"/>
      <c r="D820" s="562"/>
      <c r="E820" s="562"/>
      <c r="F820" s="562"/>
      <c r="G820" s="562"/>
      <c r="H820" s="562"/>
      <c r="I820" s="562"/>
      <c r="J820" s="562"/>
      <c r="K820" s="562"/>
      <c r="L820" s="562"/>
      <c r="M820" s="562"/>
      <c r="N820" s="562"/>
      <c r="O820" s="569"/>
      <c r="P820" s="570"/>
      <c r="Q820" s="562"/>
      <c r="R820" s="562"/>
      <c r="S820" s="562"/>
      <c r="T820" s="562"/>
      <c r="U820" s="562"/>
      <c r="V820" s="562"/>
      <c r="W820" s="562"/>
      <c r="X820" s="562"/>
      <c r="Y820" s="562"/>
      <c r="Z820" s="562"/>
    </row>
    <row r="821" ht="12.0" customHeight="1">
      <c r="A821" s="562"/>
      <c r="B821" s="562"/>
      <c r="C821" s="562"/>
      <c r="D821" s="562"/>
      <c r="E821" s="562"/>
      <c r="F821" s="562"/>
      <c r="G821" s="562"/>
      <c r="H821" s="562"/>
      <c r="I821" s="562"/>
      <c r="J821" s="562"/>
      <c r="K821" s="562"/>
      <c r="L821" s="562"/>
      <c r="M821" s="562"/>
      <c r="N821" s="562"/>
      <c r="O821" s="569"/>
      <c r="P821" s="570"/>
      <c r="Q821" s="562"/>
      <c r="R821" s="562"/>
      <c r="S821" s="562"/>
      <c r="T821" s="562"/>
      <c r="U821" s="562"/>
      <c r="V821" s="562"/>
      <c r="W821" s="562"/>
      <c r="X821" s="562"/>
      <c r="Y821" s="562"/>
      <c r="Z821" s="562"/>
    </row>
    <row r="822" ht="12.0" customHeight="1">
      <c r="A822" s="562"/>
      <c r="B822" s="562"/>
      <c r="C822" s="562"/>
      <c r="D822" s="562"/>
      <c r="E822" s="562"/>
      <c r="F822" s="562"/>
      <c r="G822" s="562"/>
      <c r="H822" s="562"/>
      <c r="I822" s="562"/>
      <c r="J822" s="562"/>
      <c r="K822" s="562"/>
      <c r="L822" s="562"/>
      <c r="M822" s="562"/>
      <c r="N822" s="562"/>
      <c r="O822" s="569"/>
      <c r="P822" s="570"/>
      <c r="Q822" s="562"/>
      <c r="R822" s="562"/>
      <c r="S822" s="562"/>
      <c r="T822" s="562"/>
      <c r="U822" s="562"/>
      <c r="V822" s="562"/>
      <c r="W822" s="562"/>
      <c r="X822" s="562"/>
      <c r="Y822" s="562"/>
      <c r="Z822" s="562"/>
    </row>
    <row r="823" ht="12.0" customHeight="1">
      <c r="A823" s="562"/>
      <c r="B823" s="562"/>
      <c r="C823" s="562"/>
      <c r="D823" s="562"/>
      <c r="E823" s="562"/>
      <c r="F823" s="562"/>
      <c r="G823" s="562"/>
      <c r="H823" s="562"/>
      <c r="I823" s="562"/>
      <c r="J823" s="562"/>
      <c r="K823" s="562"/>
      <c r="L823" s="562"/>
      <c r="M823" s="562"/>
      <c r="N823" s="562"/>
      <c r="O823" s="569"/>
      <c r="P823" s="570"/>
      <c r="Q823" s="562"/>
      <c r="R823" s="562"/>
      <c r="S823" s="562"/>
      <c r="T823" s="562"/>
      <c r="U823" s="562"/>
      <c r="V823" s="562"/>
      <c r="W823" s="562"/>
      <c r="X823" s="562"/>
      <c r="Y823" s="562"/>
      <c r="Z823" s="562"/>
    </row>
    <row r="824" ht="12.0" customHeight="1">
      <c r="A824" s="562"/>
      <c r="B824" s="562"/>
      <c r="C824" s="562"/>
      <c r="D824" s="562"/>
      <c r="E824" s="562"/>
      <c r="F824" s="562"/>
      <c r="G824" s="562"/>
      <c r="H824" s="562"/>
      <c r="I824" s="562"/>
      <c r="J824" s="562"/>
      <c r="K824" s="562"/>
      <c r="L824" s="562"/>
      <c r="M824" s="562"/>
      <c r="N824" s="562"/>
      <c r="O824" s="569"/>
      <c r="P824" s="570"/>
      <c r="Q824" s="562"/>
      <c r="R824" s="562"/>
      <c r="S824" s="562"/>
      <c r="T824" s="562"/>
      <c r="U824" s="562"/>
      <c r="V824" s="562"/>
      <c r="W824" s="562"/>
      <c r="X824" s="562"/>
      <c r="Y824" s="562"/>
      <c r="Z824" s="562"/>
    </row>
    <row r="825" ht="12.0" customHeight="1">
      <c r="A825" s="562"/>
      <c r="B825" s="562"/>
      <c r="C825" s="562"/>
      <c r="D825" s="562"/>
      <c r="E825" s="562"/>
      <c r="F825" s="562"/>
      <c r="G825" s="562"/>
      <c r="H825" s="562"/>
      <c r="I825" s="562"/>
      <c r="J825" s="562"/>
      <c r="K825" s="562"/>
      <c r="L825" s="562"/>
      <c r="M825" s="562"/>
      <c r="N825" s="562"/>
      <c r="O825" s="569"/>
      <c r="P825" s="570"/>
      <c r="Q825" s="562"/>
      <c r="R825" s="562"/>
      <c r="S825" s="562"/>
      <c r="T825" s="562"/>
      <c r="U825" s="562"/>
      <c r="V825" s="562"/>
      <c r="W825" s="562"/>
      <c r="X825" s="562"/>
      <c r="Y825" s="562"/>
      <c r="Z825" s="562"/>
    </row>
    <row r="826" ht="12.0" customHeight="1">
      <c r="A826" s="562"/>
      <c r="B826" s="562"/>
      <c r="C826" s="562"/>
      <c r="D826" s="562"/>
      <c r="E826" s="562"/>
      <c r="F826" s="562"/>
      <c r="G826" s="562"/>
      <c r="H826" s="562"/>
      <c r="I826" s="562"/>
      <c r="J826" s="562"/>
      <c r="K826" s="562"/>
      <c r="L826" s="562"/>
      <c r="M826" s="562"/>
      <c r="N826" s="562"/>
      <c r="O826" s="569"/>
      <c r="P826" s="570"/>
      <c r="Q826" s="562"/>
      <c r="R826" s="562"/>
      <c r="S826" s="562"/>
      <c r="T826" s="562"/>
      <c r="U826" s="562"/>
      <c r="V826" s="562"/>
      <c r="W826" s="562"/>
      <c r="X826" s="562"/>
      <c r="Y826" s="562"/>
      <c r="Z826" s="562"/>
    </row>
    <row r="827" ht="12.0" customHeight="1">
      <c r="A827" s="562"/>
      <c r="B827" s="562"/>
      <c r="C827" s="562"/>
      <c r="D827" s="562"/>
      <c r="E827" s="562"/>
      <c r="F827" s="562"/>
      <c r="G827" s="562"/>
      <c r="H827" s="562"/>
      <c r="I827" s="562"/>
      <c r="J827" s="562"/>
      <c r="K827" s="562"/>
      <c r="L827" s="562"/>
      <c r="M827" s="562"/>
      <c r="N827" s="562"/>
      <c r="O827" s="569"/>
      <c r="P827" s="570"/>
      <c r="Q827" s="562"/>
      <c r="R827" s="562"/>
      <c r="S827" s="562"/>
      <c r="T827" s="562"/>
      <c r="U827" s="562"/>
      <c r="V827" s="562"/>
      <c r="W827" s="562"/>
      <c r="X827" s="562"/>
      <c r="Y827" s="562"/>
      <c r="Z827" s="562"/>
    </row>
    <row r="828" ht="12.0" customHeight="1">
      <c r="A828" s="562"/>
      <c r="B828" s="562"/>
      <c r="C828" s="562"/>
      <c r="D828" s="562"/>
      <c r="E828" s="562"/>
      <c r="F828" s="562"/>
      <c r="G828" s="562"/>
      <c r="H828" s="562"/>
      <c r="I828" s="562"/>
      <c r="J828" s="562"/>
      <c r="K828" s="562"/>
      <c r="L828" s="562"/>
      <c r="M828" s="562"/>
      <c r="N828" s="562"/>
      <c r="O828" s="569"/>
      <c r="P828" s="570"/>
      <c r="Q828" s="562"/>
      <c r="R828" s="562"/>
      <c r="S828" s="562"/>
      <c r="T828" s="562"/>
      <c r="U828" s="562"/>
      <c r="V828" s="562"/>
      <c r="W828" s="562"/>
      <c r="X828" s="562"/>
      <c r="Y828" s="562"/>
      <c r="Z828" s="562"/>
    </row>
    <row r="829" ht="12.0" customHeight="1">
      <c r="A829" s="562"/>
      <c r="B829" s="562"/>
      <c r="C829" s="562"/>
      <c r="D829" s="562"/>
      <c r="E829" s="562"/>
      <c r="F829" s="562"/>
      <c r="G829" s="562"/>
      <c r="H829" s="562"/>
      <c r="I829" s="562"/>
      <c r="J829" s="562"/>
      <c r="K829" s="562"/>
      <c r="L829" s="562"/>
      <c r="M829" s="562"/>
      <c r="N829" s="562"/>
      <c r="O829" s="569"/>
      <c r="P829" s="570"/>
      <c r="Q829" s="562"/>
      <c r="R829" s="562"/>
      <c r="S829" s="562"/>
      <c r="T829" s="562"/>
      <c r="U829" s="562"/>
      <c r="V829" s="562"/>
      <c r="W829" s="562"/>
      <c r="X829" s="562"/>
      <c r="Y829" s="562"/>
      <c r="Z829" s="562"/>
    </row>
    <row r="830" ht="12.0" customHeight="1">
      <c r="A830" s="562"/>
      <c r="B830" s="562"/>
      <c r="C830" s="562"/>
      <c r="D830" s="562"/>
      <c r="E830" s="562"/>
      <c r="F830" s="562"/>
      <c r="G830" s="562"/>
      <c r="H830" s="562"/>
      <c r="I830" s="562"/>
      <c r="J830" s="562"/>
      <c r="K830" s="562"/>
      <c r="L830" s="562"/>
      <c r="M830" s="562"/>
      <c r="N830" s="562"/>
      <c r="O830" s="569"/>
      <c r="P830" s="570"/>
      <c r="Q830" s="562"/>
      <c r="R830" s="562"/>
      <c r="S830" s="562"/>
      <c r="T830" s="562"/>
      <c r="U830" s="562"/>
      <c r="V830" s="562"/>
      <c r="W830" s="562"/>
      <c r="X830" s="562"/>
      <c r="Y830" s="562"/>
      <c r="Z830" s="562"/>
    </row>
    <row r="831" ht="12.0" customHeight="1">
      <c r="A831" s="562"/>
      <c r="B831" s="562"/>
      <c r="C831" s="562"/>
      <c r="D831" s="562"/>
      <c r="E831" s="562"/>
      <c r="F831" s="562"/>
      <c r="G831" s="562"/>
      <c r="H831" s="562"/>
      <c r="I831" s="562"/>
      <c r="J831" s="562"/>
      <c r="K831" s="562"/>
      <c r="L831" s="562"/>
      <c r="M831" s="562"/>
      <c r="N831" s="562"/>
      <c r="O831" s="569"/>
      <c r="P831" s="570"/>
      <c r="Q831" s="562"/>
      <c r="R831" s="562"/>
      <c r="S831" s="562"/>
      <c r="T831" s="562"/>
      <c r="U831" s="562"/>
      <c r="V831" s="562"/>
      <c r="W831" s="562"/>
      <c r="X831" s="562"/>
      <c r="Y831" s="562"/>
      <c r="Z831" s="562"/>
    </row>
    <row r="832" ht="12.0" customHeight="1">
      <c r="A832" s="562"/>
      <c r="B832" s="562"/>
      <c r="C832" s="562"/>
      <c r="D832" s="562"/>
      <c r="E832" s="562"/>
      <c r="F832" s="562"/>
      <c r="G832" s="562"/>
      <c r="H832" s="562"/>
      <c r="I832" s="562"/>
      <c r="J832" s="562"/>
      <c r="K832" s="562"/>
      <c r="L832" s="562"/>
      <c r="M832" s="562"/>
      <c r="N832" s="562"/>
      <c r="O832" s="569"/>
      <c r="P832" s="570"/>
      <c r="Q832" s="562"/>
      <c r="R832" s="562"/>
      <c r="S832" s="562"/>
      <c r="T832" s="562"/>
      <c r="U832" s="562"/>
      <c r="V832" s="562"/>
      <c r="W832" s="562"/>
      <c r="X832" s="562"/>
      <c r="Y832" s="562"/>
      <c r="Z832" s="562"/>
    </row>
    <row r="833" ht="12.0" customHeight="1">
      <c r="A833" s="562"/>
      <c r="B833" s="562"/>
      <c r="C833" s="562"/>
      <c r="D833" s="562"/>
      <c r="E833" s="562"/>
      <c r="F833" s="562"/>
      <c r="G833" s="562"/>
      <c r="H833" s="562"/>
      <c r="I833" s="562"/>
      <c r="J833" s="562"/>
      <c r="K833" s="562"/>
      <c r="L833" s="562"/>
      <c r="M833" s="562"/>
      <c r="N833" s="562"/>
      <c r="O833" s="569"/>
      <c r="P833" s="570"/>
      <c r="Q833" s="562"/>
      <c r="R833" s="562"/>
      <c r="S833" s="562"/>
      <c r="T833" s="562"/>
      <c r="U833" s="562"/>
      <c r="V833" s="562"/>
      <c r="W833" s="562"/>
      <c r="X833" s="562"/>
      <c r="Y833" s="562"/>
      <c r="Z833" s="562"/>
    </row>
    <row r="834" ht="12.0" customHeight="1">
      <c r="A834" s="562"/>
      <c r="B834" s="562"/>
      <c r="C834" s="562"/>
      <c r="D834" s="562"/>
      <c r="E834" s="562"/>
      <c r="F834" s="562"/>
      <c r="G834" s="562"/>
      <c r="H834" s="562"/>
      <c r="I834" s="562"/>
      <c r="J834" s="562"/>
      <c r="K834" s="562"/>
      <c r="L834" s="562"/>
      <c r="M834" s="562"/>
      <c r="N834" s="562"/>
      <c r="O834" s="569"/>
      <c r="P834" s="570"/>
      <c r="Q834" s="562"/>
      <c r="R834" s="562"/>
      <c r="S834" s="562"/>
      <c r="T834" s="562"/>
      <c r="U834" s="562"/>
      <c r="V834" s="562"/>
      <c r="W834" s="562"/>
      <c r="X834" s="562"/>
      <c r="Y834" s="562"/>
      <c r="Z834" s="562"/>
    </row>
    <row r="835" ht="12.0" customHeight="1">
      <c r="A835" s="562"/>
      <c r="B835" s="562"/>
      <c r="C835" s="562"/>
      <c r="D835" s="562"/>
      <c r="E835" s="562"/>
      <c r="F835" s="562"/>
      <c r="G835" s="562"/>
      <c r="H835" s="562"/>
      <c r="I835" s="562"/>
      <c r="J835" s="562"/>
      <c r="K835" s="562"/>
      <c r="L835" s="562"/>
      <c r="M835" s="562"/>
      <c r="N835" s="562"/>
      <c r="O835" s="569"/>
      <c r="P835" s="570"/>
      <c r="Q835" s="562"/>
      <c r="R835" s="562"/>
      <c r="S835" s="562"/>
      <c r="T835" s="562"/>
      <c r="U835" s="562"/>
      <c r="V835" s="562"/>
      <c r="W835" s="562"/>
      <c r="X835" s="562"/>
      <c r="Y835" s="562"/>
      <c r="Z835" s="562"/>
    </row>
    <row r="836" ht="12.0" customHeight="1">
      <c r="A836" s="562"/>
      <c r="B836" s="562"/>
      <c r="C836" s="562"/>
      <c r="D836" s="562"/>
      <c r="E836" s="562"/>
      <c r="F836" s="562"/>
      <c r="G836" s="562"/>
      <c r="H836" s="562"/>
      <c r="I836" s="562"/>
      <c r="J836" s="562"/>
      <c r="K836" s="562"/>
      <c r="L836" s="562"/>
      <c r="M836" s="562"/>
      <c r="N836" s="562"/>
      <c r="O836" s="569"/>
      <c r="P836" s="570"/>
      <c r="Q836" s="562"/>
      <c r="R836" s="562"/>
      <c r="S836" s="562"/>
      <c r="T836" s="562"/>
      <c r="U836" s="562"/>
      <c r="V836" s="562"/>
      <c r="W836" s="562"/>
      <c r="X836" s="562"/>
      <c r="Y836" s="562"/>
      <c r="Z836" s="562"/>
    </row>
    <row r="837" ht="12.0" customHeight="1">
      <c r="A837" s="562"/>
      <c r="B837" s="562"/>
      <c r="C837" s="562"/>
      <c r="D837" s="562"/>
      <c r="E837" s="562"/>
      <c r="F837" s="562"/>
      <c r="G837" s="562"/>
      <c r="H837" s="562"/>
      <c r="I837" s="562"/>
      <c r="J837" s="562"/>
      <c r="K837" s="562"/>
      <c r="L837" s="562"/>
      <c r="M837" s="562"/>
      <c r="N837" s="562"/>
      <c r="O837" s="569"/>
      <c r="P837" s="570"/>
      <c r="Q837" s="562"/>
      <c r="R837" s="562"/>
      <c r="S837" s="562"/>
      <c r="T837" s="562"/>
      <c r="U837" s="562"/>
      <c r="V837" s="562"/>
      <c r="W837" s="562"/>
      <c r="X837" s="562"/>
      <c r="Y837" s="562"/>
      <c r="Z837" s="562"/>
    </row>
    <row r="838" ht="12.0" customHeight="1">
      <c r="A838" s="562"/>
      <c r="B838" s="562"/>
      <c r="C838" s="562"/>
      <c r="D838" s="562"/>
      <c r="E838" s="562"/>
      <c r="F838" s="562"/>
      <c r="G838" s="562"/>
      <c r="H838" s="562"/>
      <c r="I838" s="562"/>
      <c r="J838" s="562"/>
      <c r="K838" s="562"/>
      <c r="L838" s="562"/>
      <c r="M838" s="562"/>
      <c r="N838" s="562"/>
      <c r="O838" s="569"/>
      <c r="P838" s="570"/>
      <c r="Q838" s="562"/>
      <c r="R838" s="562"/>
      <c r="S838" s="562"/>
      <c r="T838" s="562"/>
      <c r="U838" s="562"/>
      <c r="V838" s="562"/>
      <c r="W838" s="562"/>
      <c r="X838" s="562"/>
      <c r="Y838" s="562"/>
      <c r="Z838" s="562"/>
    </row>
    <row r="839" ht="12.0" customHeight="1">
      <c r="A839" s="562"/>
      <c r="B839" s="562"/>
      <c r="C839" s="562"/>
      <c r="D839" s="562"/>
      <c r="E839" s="562"/>
      <c r="F839" s="562"/>
      <c r="G839" s="562"/>
      <c r="H839" s="562"/>
      <c r="I839" s="562"/>
      <c r="J839" s="562"/>
      <c r="K839" s="562"/>
      <c r="L839" s="562"/>
      <c r="M839" s="562"/>
      <c r="N839" s="562"/>
      <c r="O839" s="569"/>
      <c r="P839" s="570"/>
      <c r="Q839" s="562"/>
      <c r="R839" s="562"/>
      <c r="S839" s="562"/>
      <c r="T839" s="562"/>
      <c r="U839" s="562"/>
      <c r="V839" s="562"/>
      <c r="W839" s="562"/>
      <c r="X839" s="562"/>
      <c r="Y839" s="562"/>
      <c r="Z839" s="562"/>
    </row>
    <row r="840" ht="12.0" customHeight="1">
      <c r="A840" s="562"/>
      <c r="B840" s="562"/>
      <c r="C840" s="562"/>
      <c r="D840" s="562"/>
      <c r="E840" s="562"/>
      <c r="F840" s="562"/>
      <c r="G840" s="562"/>
      <c r="H840" s="562"/>
      <c r="I840" s="562"/>
      <c r="J840" s="562"/>
      <c r="K840" s="562"/>
      <c r="L840" s="562"/>
      <c r="M840" s="562"/>
      <c r="N840" s="562"/>
      <c r="O840" s="569"/>
      <c r="P840" s="570"/>
      <c r="Q840" s="562"/>
      <c r="R840" s="562"/>
      <c r="S840" s="562"/>
      <c r="T840" s="562"/>
      <c r="U840" s="562"/>
      <c r="V840" s="562"/>
      <c r="W840" s="562"/>
      <c r="X840" s="562"/>
      <c r="Y840" s="562"/>
      <c r="Z840" s="562"/>
    </row>
    <row r="841" ht="12.0" customHeight="1">
      <c r="A841" s="562"/>
      <c r="B841" s="562"/>
      <c r="C841" s="562"/>
      <c r="D841" s="562"/>
      <c r="E841" s="562"/>
      <c r="F841" s="562"/>
      <c r="G841" s="562"/>
      <c r="H841" s="562"/>
      <c r="I841" s="562"/>
      <c r="J841" s="562"/>
      <c r="K841" s="562"/>
      <c r="L841" s="562"/>
      <c r="M841" s="562"/>
      <c r="N841" s="562"/>
      <c r="O841" s="569"/>
      <c r="P841" s="570"/>
      <c r="Q841" s="562"/>
      <c r="R841" s="562"/>
      <c r="S841" s="562"/>
      <c r="T841" s="562"/>
      <c r="U841" s="562"/>
      <c r="V841" s="562"/>
      <c r="W841" s="562"/>
      <c r="X841" s="562"/>
      <c r="Y841" s="562"/>
      <c r="Z841" s="562"/>
    </row>
    <row r="842" ht="12.0" customHeight="1">
      <c r="A842" s="562"/>
      <c r="B842" s="562"/>
      <c r="C842" s="562"/>
      <c r="D842" s="562"/>
      <c r="E842" s="562"/>
      <c r="F842" s="562"/>
      <c r="G842" s="562"/>
      <c r="H842" s="562"/>
      <c r="I842" s="562"/>
      <c r="J842" s="562"/>
      <c r="K842" s="562"/>
      <c r="L842" s="562"/>
      <c r="M842" s="562"/>
      <c r="N842" s="562"/>
      <c r="O842" s="569"/>
      <c r="P842" s="570"/>
      <c r="Q842" s="562"/>
      <c r="R842" s="562"/>
      <c r="S842" s="562"/>
      <c r="T842" s="562"/>
      <c r="U842" s="562"/>
      <c r="V842" s="562"/>
      <c r="W842" s="562"/>
      <c r="X842" s="562"/>
      <c r="Y842" s="562"/>
      <c r="Z842" s="562"/>
    </row>
    <row r="843" ht="12.0" customHeight="1">
      <c r="A843" s="562"/>
      <c r="B843" s="562"/>
      <c r="C843" s="562"/>
      <c r="D843" s="562"/>
      <c r="E843" s="562"/>
      <c r="F843" s="562"/>
      <c r="G843" s="562"/>
      <c r="H843" s="562"/>
      <c r="I843" s="562"/>
      <c r="J843" s="562"/>
      <c r="K843" s="562"/>
      <c r="L843" s="562"/>
      <c r="M843" s="562"/>
      <c r="N843" s="562"/>
      <c r="O843" s="569"/>
      <c r="P843" s="570"/>
      <c r="Q843" s="562"/>
      <c r="R843" s="562"/>
      <c r="S843" s="562"/>
      <c r="T843" s="562"/>
      <c r="U843" s="562"/>
      <c r="V843" s="562"/>
      <c r="W843" s="562"/>
      <c r="X843" s="562"/>
      <c r="Y843" s="562"/>
      <c r="Z843" s="562"/>
    </row>
    <row r="844" ht="12.0" customHeight="1">
      <c r="A844" s="562"/>
      <c r="B844" s="562"/>
      <c r="C844" s="562"/>
      <c r="D844" s="562"/>
      <c r="E844" s="562"/>
      <c r="F844" s="562"/>
      <c r="G844" s="562"/>
      <c r="H844" s="562"/>
      <c r="I844" s="562"/>
      <c r="J844" s="562"/>
      <c r="K844" s="562"/>
      <c r="L844" s="562"/>
      <c r="M844" s="562"/>
      <c r="N844" s="562"/>
      <c r="O844" s="569"/>
      <c r="P844" s="570"/>
      <c r="Q844" s="562"/>
      <c r="R844" s="562"/>
      <c r="S844" s="562"/>
      <c r="T844" s="562"/>
      <c r="U844" s="562"/>
      <c r="V844" s="562"/>
      <c r="W844" s="562"/>
      <c r="X844" s="562"/>
      <c r="Y844" s="562"/>
      <c r="Z844" s="562"/>
    </row>
    <row r="845" ht="12.0" customHeight="1">
      <c r="A845" s="562"/>
      <c r="B845" s="562"/>
      <c r="C845" s="562"/>
      <c r="D845" s="562"/>
      <c r="E845" s="562"/>
      <c r="F845" s="562"/>
      <c r="G845" s="562"/>
      <c r="H845" s="562"/>
      <c r="I845" s="562"/>
      <c r="J845" s="562"/>
      <c r="K845" s="562"/>
      <c r="L845" s="562"/>
      <c r="M845" s="562"/>
      <c r="N845" s="562"/>
      <c r="O845" s="569"/>
      <c r="P845" s="570"/>
      <c r="Q845" s="562"/>
      <c r="R845" s="562"/>
      <c r="S845" s="562"/>
      <c r="T845" s="562"/>
      <c r="U845" s="562"/>
      <c r="V845" s="562"/>
      <c r="W845" s="562"/>
      <c r="X845" s="562"/>
      <c r="Y845" s="562"/>
      <c r="Z845" s="562"/>
    </row>
    <row r="846" ht="12.0" customHeight="1">
      <c r="A846" s="562"/>
      <c r="B846" s="562"/>
      <c r="C846" s="562"/>
      <c r="D846" s="562"/>
      <c r="E846" s="562"/>
      <c r="F846" s="562"/>
      <c r="G846" s="562"/>
      <c r="H846" s="562"/>
      <c r="I846" s="562"/>
      <c r="J846" s="562"/>
      <c r="K846" s="562"/>
      <c r="L846" s="562"/>
      <c r="M846" s="562"/>
      <c r="N846" s="562"/>
      <c r="O846" s="569"/>
      <c r="P846" s="570"/>
      <c r="Q846" s="562"/>
      <c r="R846" s="562"/>
      <c r="S846" s="562"/>
      <c r="T846" s="562"/>
      <c r="U846" s="562"/>
      <c r="V846" s="562"/>
      <c r="W846" s="562"/>
      <c r="X846" s="562"/>
      <c r="Y846" s="562"/>
      <c r="Z846" s="562"/>
    </row>
    <row r="847" ht="12.0" customHeight="1">
      <c r="A847" s="562"/>
      <c r="B847" s="562"/>
      <c r="C847" s="562"/>
      <c r="D847" s="562"/>
      <c r="E847" s="562"/>
      <c r="F847" s="562"/>
      <c r="G847" s="562"/>
      <c r="H847" s="562"/>
      <c r="I847" s="562"/>
      <c r="J847" s="562"/>
      <c r="K847" s="562"/>
      <c r="L847" s="562"/>
      <c r="M847" s="562"/>
      <c r="N847" s="562"/>
      <c r="O847" s="569"/>
      <c r="P847" s="570"/>
      <c r="Q847" s="562"/>
      <c r="R847" s="562"/>
      <c r="S847" s="562"/>
      <c r="T847" s="562"/>
      <c r="U847" s="562"/>
      <c r="V847" s="562"/>
      <c r="W847" s="562"/>
      <c r="X847" s="562"/>
      <c r="Y847" s="562"/>
      <c r="Z847" s="562"/>
    </row>
    <row r="848" ht="12.0" customHeight="1">
      <c r="A848" s="562"/>
      <c r="B848" s="562"/>
      <c r="C848" s="562"/>
      <c r="D848" s="562"/>
      <c r="E848" s="562"/>
      <c r="F848" s="562"/>
      <c r="G848" s="562"/>
      <c r="H848" s="562"/>
      <c r="I848" s="562"/>
      <c r="J848" s="562"/>
      <c r="K848" s="562"/>
      <c r="L848" s="562"/>
      <c r="M848" s="562"/>
      <c r="N848" s="562"/>
      <c r="O848" s="569"/>
      <c r="P848" s="570"/>
      <c r="Q848" s="562"/>
      <c r="R848" s="562"/>
      <c r="S848" s="562"/>
      <c r="T848" s="562"/>
      <c r="U848" s="562"/>
      <c r="V848" s="562"/>
      <c r="W848" s="562"/>
      <c r="X848" s="562"/>
      <c r="Y848" s="562"/>
      <c r="Z848" s="562"/>
    </row>
    <row r="849" ht="12.0" customHeight="1">
      <c r="A849" s="562"/>
      <c r="B849" s="562"/>
      <c r="C849" s="562"/>
      <c r="D849" s="562"/>
      <c r="E849" s="562"/>
      <c r="F849" s="562"/>
      <c r="G849" s="562"/>
      <c r="H849" s="562"/>
      <c r="I849" s="562"/>
      <c r="J849" s="562"/>
      <c r="K849" s="562"/>
      <c r="L849" s="562"/>
      <c r="M849" s="562"/>
      <c r="N849" s="562"/>
      <c r="O849" s="569"/>
      <c r="P849" s="570"/>
      <c r="Q849" s="562"/>
      <c r="R849" s="562"/>
      <c r="S849" s="562"/>
      <c r="T849" s="562"/>
      <c r="U849" s="562"/>
      <c r="V849" s="562"/>
      <c r="W849" s="562"/>
      <c r="X849" s="562"/>
      <c r="Y849" s="562"/>
      <c r="Z849" s="562"/>
    </row>
    <row r="850" ht="12.0" customHeight="1">
      <c r="A850" s="562"/>
      <c r="B850" s="562"/>
      <c r="C850" s="562"/>
      <c r="D850" s="562"/>
      <c r="E850" s="562"/>
      <c r="F850" s="562"/>
      <c r="G850" s="562"/>
      <c r="H850" s="562"/>
      <c r="I850" s="562"/>
      <c r="J850" s="562"/>
      <c r="K850" s="562"/>
      <c r="L850" s="562"/>
      <c r="M850" s="562"/>
      <c r="N850" s="562"/>
      <c r="O850" s="569"/>
      <c r="P850" s="570"/>
      <c r="Q850" s="562"/>
      <c r="R850" s="562"/>
      <c r="S850" s="562"/>
      <c r="T850" s="562"/>
      <c r="U850" s="562"/>
      <c r="V850" s="562"/>
      <c r="W850" s="562"/>
      <c r="X850" s="562"/>
      <c r="Y850" s="562"/>
      <c r="Z850" s="562"/>
    </row>
    <row r="851" ht="12.0" customHeight="1">
      <c r="A851" s="562"/>
      <c r="B851" s="562"/>
      <c r="C851" s="562"/>
      <c r="D851" s="562"/>
      <c r="E851" s="562"/>
      <c r="F851" s="562"/>
      <c r="G851" s="562"/>
      <c r="H851" s="562"/>
      <c r="I851" s="562"/>
      <c r="J851" s="562"/>
      <c r="K851" s="562"/>
      <c r="L851" s="562"/>
      <c r="M851" s="562"/>
      <c r="N851" s="562"/>
      <c r="O851" s="569"/>
      <c r="P851" s="570"/>
      <c r="Q851" s="562"/>
      <c r="R851" s="562"/>
      <c r="S851" s="562"/>
      <c r="T851" s="562"/>
      <c r="U851" s="562"/>
      <c r="V851" s="562"/>
      <c r="W851" s="562"/>
      <c r="X851" s="562"/>
      <c r="Y851" s="562"/>
      <c r="Z851" s="562"/>
    </row>
    <row r="852" ht="12.0" customHeight="1">
      <c r="A852" s="562"/>
      <c r="B852" s="562"/>
      <c r="C852" s="562"/>
      <c r="D852" s="562"/>
      <c r="E852" s="562"/>
      <c r="F852" s="562"/>
      <c r="G852" s="562"/>
      <c r="H852" s="562"/>
      <c r="I852" s="562"/>
      <c r="J852" s="562"/>
      <c r="K852" s="562"/>
      <c r="L852" s="562"/>
      <c r="M852" s="562"/>
      <c r="N852" s="562"/>
      <c r="O852" s="569"/>
      <c r="P852" s="570"/>
      <c r="Q852" s="562"/>
      <c r="R852" s="562"/>
      <c r="S852" s="562"/>
      <c r="T852" s="562"/>
      <c r="U852" s="562"/>
      <c r="V852" s="562"/>
      <c r="W852" s="562"/>
      <c r="X852" s="562"/>
      <c r="Y852" s="562"/>
      <c r="Z852" s="562"/>
    </row>
    <row r="853" ht="12.0" customHeight="1">
      <c r="A853" s="562"/>
      <c r="B853" s="562"/>
      <c r="C853" s="562"/>
      <c r="D853" s="562"/>
      <c r="E853" s="562"/>
      <c r="F853" s="562"/>
      <c r="G853" s="562"/>
      <c r="H853" s="562"/>
      <c r="I853" s="562"/>
      <c r="J853" s="562"/>
      <c r="K853" s="562"/>
      <c r="L853" s="562"/>
      <c r="M853" s="562"/>
      <c r="N853" s="562"/>
      <c r="O853" s="569"/>
      <c r="P853" s="570"/>
      <c r="Q853" s="562"/>
      <c r="R853" s="562"/>
      <c r="S853" s="562"/>
      <c r="T853" s="562"/>
      <c r="U853" s="562"/>
      <c r="V853" s="562"/>
      <c r="W853" s="562"/>
      <c r="X853" s="562"/>
      <c r="Y853" s="562"/>
      <c r="Z853" s="562"/>
    </row>
    <row r="854" ht="12.0" customHeight="1">
      <c r="A854" s="562"/>
      <c r="B854" s="562"/>
      <c r="C854" s="562"/>
      <c r="D854" s="562"/>
      <c r="E854" s="562"/>
      <c r="F854" s="562"/>
      <c r="G854" s="562"/>
      <c r="H854" s="562"/>
      <c r="I854" s="562"/>
      <c r="J854" s="562"/>
      <c r="K854" s="562"/>
      <c r="L854" s="562"/>
      <c r="M854" s="562"/>
      <c r="N854" s="562"/>
      <c r="O854" s="569"/>
      <c r="P854" s="570"/>
      <c r="Q854" s="562"/>
      <c r="R854" s="562"/>
      <c r="S854" s="562"/>
      <c r="T854" s="562"/>
      <c r="U854" s="562"/>
      <c r="V854" s="562"/>
      <c r="W854" s="562"/>
      <c r="X854" s="562"/>
      <c r="Y854" s="562"/>
      <c r="Z854" s="562"/>
    </row>
    <row r="855" ht="12.0" customHeight="1">
      <c r="A855" s="562"/>
      <c r="B855" s="562"/>
      <c r="C855" s="562"/>
      <c r="D855" s="562"/>
      <c r="E855" s="562"/>
      <c r="F855" s="562"/>
      <c r="G855" s="562"/>
      <c r="H855" s="562"/>
      <c r="I855" s="562"/>
      <c r="J855" s="562"/>
      <c r="K855" s="562"/>
      <c r="L855" s="562"/>
      <c r="M855" s="562"/>
      <c r="N855" s="562"/>
      <c r="O855" s="569"/>
      <c r="P855" s="570"/>
      <c r="Q855" s="562"/>
      <c r="R855" s="562"/>
      <c r="S855" s="562"/>
      <c r="T855" s="562"/>
      <c r="U855" s="562"/>
      <c r="V855" s="562"/>
      <c r="W855" s="562"/>
      <c r="X855" s="562"/>
      <c r="Y855" s="562"/>
      <c r="Z855" s="562"/>
    </row>
    <row r="856" ht="12.0" customHeight="1">
      <c r="A856" s="562"/>
      <c r="B856" s="562"/>
      <c r="C856" s="562"/>
      <c r="D856" s="562"/>
      <c r="E856" s="562"/>
      <c r="F856" s="562"/>
      <c r="G856" s="562"/>
      <c r="H856" s="562"/>
      <c r="I856" s="562"/>
      <c r="J856" s="562"/>
      <c r="K856" s="562"/>
      <c r="L856" s="562"/>
      <c r="M856" s="562"/>
      <c r="N856" s="562"/>
      <c r="O856" s="569"/>
      <c r="P856" s="570"/>
      <c r="Q856" s="562"/>
      <c r="R856" s="562"/>
      <c r="S856" s="562"/>
      <c r="T856" s="562"/>
      <c r="U856" s="562"/>
      <c r="V856" s="562"/>
      <c r="W856" s="562"/>
      <c r="X856" s="562"/>
      <c r="Y856" s="562"/>
      <c r="Z856" s="562"/>
    </row>
    <row r="857" ht="12.0" customHeight="1">
      <c r="A857" s="562"/>
      <c r="B857" s="562"/>
      <c r="C857" s="562"/>
      <c r="D857" s="562"/>
      <c r="E857" s="562"/>
      <c r="F857" s="562"/>
      <c r="G857" s="562"/>
      <c r="H857" s="562"/>
      <c r="I857" s="562"/>
      <c r="J857" s="562"/>
      <c r="K857" s="562"/>
      <c r="L857" s="562"/>
      <c r="M857" s="562"/>
      <c r="N857" s="562"/>
      <c r="O857" s="569"/>
      <c r="P857" s="570"/>
      <c r="Q857" s="562"/>
      <c r="R857" s="562"/>
      <c r="S857" s="562"/>
      <c r="T857" s="562"/>
      <c r="U857" s="562"/>
      <c r="V857" s="562"/>
      <c r="W857" s="562"/>
      <c r="X857" s="562"/>
      <c r="Y857" s="562"/>
      <c r="Z857" s="562"/>
    </row>
    <row r="858" ht="12.0" customHeight="1">
      <c r="A858" s="562"/>
      <c r="B858" s="562"/>
      <c r="C858" s="562"/>
      <c r="D858" s="562"/>
      <c r="E858" s="562"/>
      <c r="F858" s="562"/>
      <c r="G858" s="562"/>
      <c r="H858" s="562"/>
      <c r="I858" s="562"/>
      <c r="J858" s="562"/>
      <c r="K858" s="562"/>
      <c r="L858" s="562"/>
      <c r="M858" s="562"/>
      <c r="N858" s="562"/>
      <c r="O858" s="569"/>
      <c r="P858" s="570"/>
      <c r="Q858" s="562"/>
      <c r="R858" s="562"/>
      <c r="S858" s="562"/>
      <c r="T858" s="562"/>
      <c r="U858" s="562"/>
      <c r="V858" s="562"/>
      <c r="W858" s="562"/>
      <c r="X858" s="562"/>
      <c r="Y858" s="562"/>
      <c r="Z858" s="562"/>
    </row>
    <row r="859" ht="12.0" customHeight="1">
      <c r="A859" s="562"/>
      <c r="B859" s="562"/>
      <c r="C859" s="562"/>
      <c r="D859" s="562"/>
      <c r="E859" s="562"/>
      <c r="F859" s="562"/>
      <c r="G859" s="562"/>
      <c r="H859" s="562"/>
      <c r="I859" s="562"/>
      <c r="J859" s="562"/>
      <c r="K859" s="562"/>
      <c r="L859" s="562"/>
      <c r="M859" s="562"/>
      <c r="N859" s="562"/>
      <c r="O859" s="569"/>
      <c r="P859" s="570"/>
      <c r="Q859" s="562"/>
      <c r="R859" s="562"/>
      <c r="S859" s="562"/>
      <c r="T859" s="562"/>
      <c r="U859" s="562"/>
      <c r="V859" s="562"/>
      <c r="W859" s="562"/>
      <c r="X859" s="562"/>
      <c r="Y859" s="562"/>
      <c r="Z859" s="562"/>
    </row>
    <row r="860" ht="12.0" customHeight="1">
      <c r="A860" s="562"/>
      <c r="B860" s="562"/>
      <c r="C860" s="562"/>
      <c r="D860" s="562"/>
      <c r="E860" s="562"/>
      <c r="F860" s="562"/>
      <c r="G860" s="562"/>
      <c r="H860" s="562"/>
      <c r="I860" s="562"/>
      <c r="J860" s="562"/>
      <c r="K860" s="562"/>
      <c r="L860" s="562"/>
      <c r="M860" s="562"/>
      <c r="N860" s="562"/>
      <c r="O860" s="569"/>
      <c r="P860" s="570"/>
      <c r="Q860" s="562"/>
      <c r="R860" s="562"/>
      <c r="S860" s="562"/>
      <c r="T860" s="562"/>
      <c r="U860" s="562"/>
      <c r="V860" s="562"/>
      <c r="W860" s="562"/>
      <c r="X860" s="562"/>
      <c r="Y860" s="562"/>
      <c r="Z860" s="562"/>
    </row>
    <row r="861" ht="12.0" customHeight="1">
      <c r="A861" s="562"/>
      <c r="B861" s="562"/>
      <c r="C861" s="562"/>
      <c r="D861" s="562"/>
      <c r="E861" s="562"/>
      <c r="F861" s="562"/>
      <c r="G861" s="562"/>
      <c r="H861" s="562"/>
      <c r="I861" s="562"/>
      <c r="J861" s="562"/>
      <c r="K861" s="562"/>
      <c r="L861" s="562"/>
      <c r="M861" s="562"/>
      <c r="N861" s="562"/>
      <c r="O861" s="569"/>
      <c r="P861" s="570"/>
      <c r="Q861" s="562"/>
      <c r="R861" s="562"/>
      <c r="S861" s="562"/>
      <c r="T861" s="562"/>
      <c r="U861" s="562"/>
      <c r="V861" s="562"/>
      <c r="W861" s="562"/>
      <c r="X861" s="562"/>
      <c r="Y861" s="562"/>
      <c r="Z861" s="562"/>
    </row>
    <row r="862" ht="12.0" customHeight="1">
      <c r="A862" s="562"/>
      <c r="B862" s="562"/>
      <c r="C862" s="562"/>
      <c r="D862" s="562"/>
      <c r="E862" s="562"/>
      <c r="F862" s="562"/>
      <c r="G862" s="562"/>
      <c r="H862" s="562"/>
      <c r="I862" s="562"/>
      <c r="J862" s="562"/>
      <c r="K862" s="562"/>
      <c r="L862" s="562"/>
      <c r="M862" s="562"/>
      <c r="N862" s="562"/>
      <c r="O862" s="569"/>
      <c r="P862" s="570"/>
      <c r="Q862" s="562"/>
      <c r="R862" s="562"/>
      <c r="S862" s="562"/>
      <c r="T862" s="562"/>
      <c r="U862" s="562"/>
      <c r="V862" s="562"/>
      <c r="W862" s="562"/>
      <c r="X862" s="562"/>
      <c r="Y862" s="562"/>
      <c r="Z862" s="562"/>
    </row>
    <row r="863" ht="12.0" customHeight="1">
      <c r="A863" s="562"/>
      <c r="B863" s="562"/>
      <c r="C863" s="562"/>
      <c r="D863" s="562"/>
      <c r="E863" s="562"/>
      <c r="F863" s="562"/>
      <c r="G863" s="562"/>
      <c r="H863" s="562"/>
      <c r="I863" s="562"/>
      <c r="J863" s="562"/>
      <c r="K863" s="562"/>
      <c r="L863" s="562"/>
      <c r="M863" s="562"/>
      <c r="N863" s="562"/>
      <c r="O863" s="569"/>
      <c r="P863" s="570"/>
      <c r="Q863" s="562"/>
      <c r="R863" s="562"/>
      <c r="S863" s="562"/>
      <c r="T863" s="562"/>
      <c r="U863" s="562"/>
      <c r="V863" s="562"/>
      <c r="W863" s="562"/>
      <c r="X863" s="562"/>
      <c r="Y863" s="562"/>
      <c r="Z863" s="562"/>
    </row>
    <row r="864" ht="12.0" customHeight="1">
      <c r="A864" s="562"/>
      <c r="B864" s="562"/>
      <c r="C864" s="562"/>
      <c r="D864" s="562"/>
      <c r="E864" s="562"/>
      <c r="F864" s="562"/>
      <c r="G864" s="562"/>
      <c r="H864" s="562"/>
      <c r="I864" s="562"/>
      <c r="J864" s="562"/>
      <c r="K864" s="562"/>
      <c r="L864" s="562"/>
      <c r="M864" s="562"/>
      <c r="N864" s="562"/>
      <c r="O864" s="569"/>
      <c r="P864" s="570"/>
      <c r="Q864" s="562"/>
      <c r="R864" s="562"/>
      <c r="S864" s="562"/>
      <c r="T864" s="562"/>
      <c r="U864" s="562"/>
      <c r="V864" s="562"/>
      <c r="W864" s="562"/>
      <c r="X864" s="562"/>
      <c r="Y864" s="562"/>
      <c r="Z864" s="562"/>
    </row>
    <row r="865" ht="12.0" customHeight="1">
      <c r="A865" s="562"/>
      <c r="B865" s="562"/>
      <c r="C865" s="562"/>
      <c r="D865" s="562"/>
      <c r="E865" s="562"/>
      <c r="F865" s="562"/>
      <c r="G865" s="562"/>
      <c r="H865" s="562"/>
      <c r="I865" s="562"/>
      <c r="J865" s="562"/>
      <c r="K865" s="562"/>
      <c r="L865" s="562"/>
      <c r="M865" s="562"/>
      <c r="N865" s="562"/>
      <c r="O865" s="569"/>
      <c r="P865" s="570"/>
      <c r="Q865" s="562"/>
      <c r="R865" s="562"/>
      <c r="S865" s="562"/>
      <c r="T865" s="562"/>
      <c r="U865" s="562"/>
      <c r="V865" s="562"/>
      <c r="W865" s="562"/>
      <c r="X865" s="562"/>
      <c r="Y865" s="562"/>
      <c r="Z865" s="562"/>
    </row>
    <row r="866" ht="12.0" customHeight="1">
      <c r="A866" s="562"/>
      <c r="B866" s="562"/>
      <c r="C866" s="562"/>
      <c r="D866" s="562"/>
      <c r="E866" s="562"/>
      <c r="F866" s="562"/>
      <c r="G866" s="562"/>
      <c r="H866" s="562"/>
      <c r="I866" s="562"/>
      <c r="J866" s="562"/>
      <c r="K866" s="562"/>
      <c r="L866" s="562"/>
      <c r="M866" s="562"/>
      <c r="N866" s="562"/>
      <c r="O866" s="569"/>
      <c r="P866" s="570"/>
      <c r="Q866" s="562"/>
      <c r="R866" s="562"/>
      <c r="S866" s="562"/>
      <c r="T866" s="562"/>
      <c r="U866" s="562"/>
      <c r="V866" s="562"/>
      <c r="W866" s="562"/>
      <c r="X866" s="562"/>
      <c r="Y866" s="562"/>
      <c r="Z866" s="562"/>
    </row>
    <row r="867" ht="12.0" customHeight="1">
      <c r="A867" s="562"/>
      <c r="B867" s="562"/>
      <c r="C867" s="562"/>
      <c r="D867" s="562"/>
      <c r="E867" s="562"/>
      <c r="F867" s="562"/>
      <c r="G867" s="562"/>
      <c r="H867" s="562"/>
      <c r="I867" s="562"/>
      <c r="J867" s="562"/>
      <c r="K867" s="562"/>
      <c r="L867" s="562"/>
      <c r="M867" s="562"/>
      <c r="N867" s="562"/>
      <c r="O867" s="569"/>
      <c r="P867" s="570"/>
      <c r="Q867" s="562"/>
      <c r="R867" s="562"/>
      <c r="S867" s="562"/>
      <c r="T867" s="562"/>
      <c r="U867" s="562"/>
      <c r="V867" s="562"/>
      <c r="W867" s="562"/>
      <c r="X867" s="562"/>
      <c r="Y867" s="562"/>
      <c r="Z867" s="562"/>
    </row>
    <row r="868" ht="12.0" customHeight="1">
      <c r="A868" s="562"/>
      <c r="B868" s="562"/>
      <c r="C868" s="562"/>
      <c r="D868" s="562"/>
      <c r="E868" s="562"/>
      <c r="F868" s="562"/>
      <c r="G868" s="562"/>
      <c r="H868" s="562"/>
      <c r="I868" s="562"/>
      <c r="J868" s="562"/>
      <c r="K868" s="562"/>
      <c r="L868" s="562"/>
      <c r="M868" s="562"/>
      <c r="N868" s="562"/>
      <c r="O868" s="569"/>
      <c r="P868" s="570"/>
      <c r="Q868" s="562"/>
      <c r="R868" s="562"/>
      <c r="S868" s="562"/>
      <c r="T868" s="562"/>
      <c r="U868" s="562"/>
      <c r="V868" s="562"/>
      <c r="W868" s="562"/>
      <c r="X868" s="562"/>
      <c r="Y868" s="562"/>
      <c r="Z868" s="562"/>
    </row>
    <row r="869" ht="12.0" customHeight="1">
      <c r="A869" s="562"/>
      <c r="B869" s="562"/>
      <c r="C869" s="562"/>
      <c r="D869" s="562"/>
      <c r="E869" s="562"/>
      <c r="F869" s="562"/>
      <c r="G869" s="562"/>
      <c r="H869" s="562"/>
      <c r="I869" s="562"/>
      <c r="J869" s="562"/>
      <c r="K869" s="562"/>
      <c r="L869" s="562"/>
      <c r="M869" s="562"/>
      <c r="N869" s="562"/>
      <c r="O869" s="569"/>
      <c r="P869" s="570"/>
      <c r="Q869" s="562"/>
      <c r="R869" s="562"/>
      <c r="S869" s="562"/>
      <c r="T869" s="562"/>
      <c r="U869" s="562"/>
      <c r="V869" s="562"/>
      <c r="W869" s="562"/>
      <c r="X869" s="562"/>
      <c r="Y869" s="562"/>
      <c r="Z869" s="562"/>
    </row>
    <row r="870" ht="12.0" customHeight="1">
      <c r="A870" s="562"/>
      <c r="B870" s="562"/>
      <c r="C870" s="562"/>
      <c r="D870" s="562"/>
      <c r="E870" s="562"/>
      <c r="F870" s="562"/>
      <c r="G870" s="562"/>
      <c r="H870" s="562"/>
      <c r="I870" s="562"/>
      <c r="J870" s="562"/>
      <c r="K870" s="562"/>
      <c r="L870" s="562"/>
      <c r="M870" s="562"/>
      <c r="N870" s="562"/>
      <c r="O870" s="569"/>
      <c r="P870" s="570"/>
      <c r="Q870" s="562"/>
      <c r="R870" s="562"/>
      <c r="S870" s="562"/>
      <c r="T870" s="562"/>
      <c r="U870" s="562"/>
      <c r="V870" s="562"/>
      <c r="W870" s="562"/>
      <c r="X870" s="562"/>
      <c r="Y870" s="562"/>
      <c r="Z870" s="562"/>
    </row>
    <row r="871" ht="12.0" customHeight="1">
      <c r="A871" s="562"/>
      <c r="B871" s="562"/>
      <c r="C871" s="562"/>
      <c r="D871" s="562"/>
      <c r="E871" s="562"/>
      <c r="F871" s="562"/>
      <c r="G871" s="562"/>
      <c r="H871" s="562"/>
      <c r="I871" s="562"/>
      <c r="J871" s="562"/>
      <c r="K871" s="562"/>
      <c r="L871" s="562"/>
      <c r="M871" s="562"/>
      <c r="N871" s="562"/>
      <c r="O871" s="569"/>
      <c r="P871" s="570"/>
      <c r="Q871" s="562"/>
      <c r="R871" s="562"/>
      <c r="S871" s="562"/>
      <c r="T871" s="562"/>
      <c r="U871" s="562"/>
      <c r="V871" s="562"/>
      <c r="W871" s="562"/>
      <c r="X871" s="562"/>
      <c r="Y871" s="562"/>
      <c r="Z871" s="562"/>
    </row>
    <row r="872" ht="12.0" customHeight="1">
      <c r="A872" s="562"/>
      <c r="B872" s="562"/>
      <c r="C872" s="562"/>
      <c r="D872" s="562"/>
      <c r="E872" s="562"/>
      <c r="F872" s="562"/>
      <c r="G872" s="562"/>
      <c r="H872" s="562"/>
      <c r="I872" s="562"/>
      <c r="J872" s="562"/>
      <c r="K872" s="562"/>
      <c r="L872" s="562"/>
      <c r="M872" s="562"/>
      <c r="N872" s="562"/>
      <c r="O872" s="569"/>
      <c r="P872" s="570"/>
      <c r="Q872" s="562"/>
      <c r="R872" s="562"/>
      <c r="S872" s="562"/>
      <c r="T872" s="562"/>
      <c r="U872" s="562"/>
      <c r="V872" s="562"/>
      <c r="W872" s="562"/>
      <c r="X872" s="562"/>
      <c r="Y872" s="562"/>
      <c r="Z872" s="562"/>
    </row>
    <row r="873" ht="12.0" customHeight="1">
      <c r="A873" s="562"/>
      <c r="B873" s="562"/>
      <c r="C873" s="562"/>
      <c r="D873" s="562"/>
      <c r="E873" s="562"/>
      <c r="F873" s="562"/>
      <c r="G873" s="562"/>
      <c r="H873" s="562"/>
      <c r="I873" s="562"/>
      <c r="J873" s="562"/>
      <c r="K873" s="562"/>
      <c r="L873" s="562"/>
      <c r="M873" s="562"/>
      <c r="N873" s="562"/>
      <c r="O873" s="569"/>
      <c r="P873" s="570"/>
      <c r="Q873" s="562"/>
      <c r="R873" s="562"/>
      <c r="S873" s="562"/>
      <c r="T873" s="562"/>
      <c r="U873" s="562"/>
      <c r="V873" s="562"/>
      <c r="W873" s="562"/>
      <c r="X873" s="562"/>
      <c r="Y873" s="562"/>
      <c r="Z873" s="562"/>
    </row>
    <row r="874" ht="12.0" customHeight="1">
      <c r="A874" s="562"/>
      <c r="B874" s="562"/>
      <c r="C874" s="562"/>
      <c r="D874" s="562"/>
      <c r="E874" s="562"/>
      <c r="F874" s="562"/>
      <c r="G874" s="562"/>
      <c r="H874" s="562"/>
      <c r="I874" s="562"/>
      <c r="J874" s="562"/>
      <c r="K874" s="562"/>
      <c r="L874" s="562"/>
      <c r="M874" s="562"/>
      <c r="N874" s="562"/>
      <c r="O874" s="569"/>
      <c r="P874" s="570"/>
      <c r="Q874" s="562"/>
      <c r="R874" s="562"/>
      <c r="S874" s="562"/>
      <c r="T874" s="562"/>
      <c r="U874" s="562"/>
      <c r="V874" s="562"/>
      <c r="W874" s="562"/>
      <c r="X874" s="562"/>
      <c r="Y874" s="562"/>
      <c r="Z874" s="562"/>
    </row>
    <row r="875" ht="12.0" customHeight="1">
      <c r="A875" s="562"/>
      <c r="B875" s="562"/>
      <c r="C875" s="562"/>
      <c r="D875" s="562"/>
      <c r="E875" s="562"/>
      <c r="F875" s="562"/>
      <c r="G875" s="562"/>
      <c r="H875" s="562"/>
      <c r="I875" s="562"/>
      <c r="J875" s="562"/>
      <c r="K875" s="562"/>
      <c r="L875" s="562"/>
      <c r="M875" s="562"/>
      <c r="N875" s="562"/>
      <c r="O875" s="569"/>
      <c r="P875" s="570"/>
      <c r="Q875" s="562"/>
      <c r="R875" s="562"/>
      <c r="S875" s="562"/>
      <c r="T875" s="562"/>
      <c r="U875" s="562"/>
      <c r="V875" s="562"/>
      <c r="W875" s="562"/>
      <c r="X875" s="562"/>
      <c r="Y875" s="562"/>
      <c r="Z875" s="562"/>
    </row>
    <row r="876" ht="12.0" customHeight="1">
      <c r="A876" s="562"/>
      <c r="B876" s="562"/>
      <c r="C876" s="562"/>
      <c r="D876" s="562"/>
      <c r="E876" s="562"/>
      <c r="F876" s="562"/>
      <c r="G876" s="562"/>
      <c r="H876" s="562"/>
      <c r="I876" s="562"/>
      <c r="J876" s="562"/>
      <c r="K876" s="562"/>
      <c r="L876" s="562"/>
      <c r="M876" s="562"/>
      <c r="N876" s="562"/>
      <c r="O876" s="569"/>
      <c r="P876" s="570"/>
      <c r="Q876" s="562"/>
      <c r="R876" s="562"/>
      <c r="S876" s="562"/>
      <c r="T876" s="562"/>
      <c r="U876" s="562"/>
      <c r="V876" s="562"/>
      <c r="W876" s="562"/>
      <c r="X876" s="562"/>
      <c r="Y876" s="562"/>
      <c r="Z876" s="562"/>
    </row>
    <row r="877" ht="12.0" customHeight="1">
      <c r="A877" s="562"/>
      <c r="B877" s="562"/>
      <c r="C877" s="562"/>
      <c r="D877" s="562"/>
      <c r="E877" s="562"/>
      <c r="F877" s="562"/>
      <c r="G877" s="562"/>
      <c r="H877" s="562"/>
      <c r="I877" s="562"/>
      <c r="J877" s="562"/>
      <c r="K877" s="562"/>
      <c r="L877" s="562"/>
      <c r="M877" s="562"/>
      <c r="N877" s="562"/>
      <c r="O877" s="569"/>
      <c r="P877" s="570"/>
      <c r="Q877" s="562"/>
      <c r="R877" s="562"/>
      <c r="S877" s="562"/>
      <c r="T877" s="562"/>
      <c r="U877" s="562"/>
      <c r="V877" s="562"/>
      <c r="W877" s="562"/>
      <c r="X877" s="562"/>
      <c r="Y877" s="562"/>
      <c r="Z877" s="562"/>
    </row>
    <row r="878" ht="12.0" customHeight="1">
      <c r="A878" s="562"/>
      <c r="B878" s="562"/>
      <c r="C878" s="562"/>
      <c r="D878" s="562"/>
      <c r="E878" s="562"/>
      <c r="F878" s="562"/>
      <c r="G878" s="562"/>
      <c r="H878" s="562"/>
      <c r="I878" s="562"/>
      <c r="J878" s="562"/>
      <c r="K878" s="562"/>
      <c r="L878" s="562"/>
      <c r="M878" s="562"/>
      <c r="N878" s="562"/>
      <c r="O878" s="569"/>
      <c r="P878" s="570"/>
      <c r="Q878" s="562"/>
      <c r="R878" s="562"/>
      <c r="S878" s="562"/>
      <c r="T878" s="562"/>
      <c r="U878" s="562"/>
      <c r="V878" s="562"/>
      <c r="W878" s="562"/>
      <c r="X878" s="562"/>
      <c r="Y878" s="562"/>
      <c r="Z878" s="562"/>
    </row>
    <row r="879" ht="12.0" customHeight="1">
      <c r="A879" s="562"/>
      <c r="B879" s="562"/>
      <c r="C879" s="562"/>
      <c r="D879" s="562"/>
      <c r="E879" s="562"/>
      <c r="F879" s="562"/>
      <c r="G879" s="562"/>
      <c r="H879" s="562"/>
      <c r="I879" s="562"/>
      <c r="J879" s="562"/>
      <c r="K879" s="562"/>
      <c r="L879" s="562"/>
      <c r="M879" s="562"/>
      <c r="N879" s="562"/>
      <c r="O879" s="569"/>
      <c r="P879" s="570"/>
      <c r="Q879" s="562"/>
      <c r="R879" s="562"/>
      <c r="S879" s="562"/>
      <c r="T879" s="562"/>
      <c r="U879" s="562"/>
      <c r="V879" s="562"/>
      <c r="W879" s="562"/>
      <c r="X879" s="562"/>
      <c r="Y879" s="562"/>
      <c r="Z879" s="562"/>
    </row>
    <row r="880" ht="12.0" customHeight="1">
      <c r="A880" s="562"/>
      <c r="B880" s="562"/>
      <c r="C880" s="562"/>
      <c r="D880" s="562"/>
      <c r="E880" s="562"/>
      <c r="F880" s="562"/>
      <c r="G880" s="562"/>
      <c r="H880" s="562"/>
      <c r="I880" s="562"/>
      <c r="J880" s="562"/>
      <c r="K880" s="562"/>
      <c r="L880" s="562"/>
      <c r="M880" s="562"/>
      <c r="N880" s="562"/>
      <c r="O880" s="569"/>
      <c r="P880" s="570"/>
      <c r="Q880" s="562"/>
      <c r="R880" s="562"/>
      <c r="S880" s="562"/>
      <c r="T880" s="562"/>
      <c r="U880" s="562"/>
      <c r="V880" s="562"/>
      <c r="W880" s="562"/>
      <c r="X880" s="562"/>
      <c r="Y880" s="562"/>
      <c r="Z880" s="562"/>
    </row>
    <row r="881" ht="12.0" customHeight="1">
      <c r="A881" s="562"/>
      <c r="B881" s="562"/>
      <c r="C881" s="562"/>
      <c r="D881" s="562"/>
      <c r="E881" s="562"/>
      <c r="F881" s="562"/>
      <c r="G881" s="562"/>
      <c r="H881" s="562"/>
      <c r="I881" s="562"/>
      <c r="J881" s="562"/>
      <c r="K881" s="562"/>
      <c r="L881" s="562"/>
      <c r="M881" s="562"/>
      <c r="N881" s="562"/>
      <c r="O881" s="569"/>
      <c r="P881" s="570"/>
      <c r="Q881" s="562"/>
      <c r="R881" s="562"/>
      <c r="S881" s="562"/>
      <c r="T881" s="562"/>
      <c r="U881" s="562"/>
      <c r="V881" s="562"/>
      <c r="W881" s="562"/>
      <c r="X881" s="562"/>
      <c r="Y881" s="562"/>
      <c r="Z881" s="562"/>
    </row>
    <row r="882" ht="12.0" customHeight="1">
      <c r="A882" s="562"/>
      <c r="B882" s="562"/>
      <c r="C882" s="562"/>
      <c r="D882" s="562"/>
      <c r="E882" s="562"/>
      <c r="F882" s="562"/>
      <c r="G882" s="562"/>
      <c r="H882" s="562"/>
      <c r="I882" s="562"/>
      <c r="J882" s="562"/>
      <c r="K882" s="562"/>
      <c r="L882" s="562"/>
      <c r="M882" s="562"/>
      <c r="N882" s="562"/>
      <c r="O882" s="569"/>
      <c r="P882" s="570"/>
      <c r="Q882" s="562"/>
      <c r="R882" s="562"/>
      <c r="S882" s="562"/>
      <c r="T882" s="562"/>
      <c r="U882" s="562"/>
      <c r="V882" s="562"/>
      <c r="W882" s="562"/>
      <c r="X882" s="562"/>
      <c r="Y882" s="562"/>
      <c r="Z882" s="562"/>
    </row>
    <row r="883" ht="12.0" customHeight="1">
      <c r="A883" s="562"/>
      <c r="B883" s="562"/>
      <c r="C883" s="562"/>
      <c r="D883" s="562"/>
      <c r="E883" s="562"/>
      <c r="F883" s="562"/>
      <c r="G883" s="562"/>
      <c r="H883" s="562"/>
      <c r="I883" s="562"/>
      <c r="J883" s="562"/>
      <c r="K883" s="562"/>
      <c r="L883" s="562"/>
      <c r="M883" s="562"/>
      <c r="N883" s="562"/>
      <c r="O883" s="569"/>
      <c r="P883" s="570"/>
      <c r="Q883" s="562"/>
      <c r="R883" s="562"/>
      <c r="S883" s="562"/>
      <c r="T883" s="562"/>
      <c r="U883" s="562"/>
      <c r="V883" s="562"/>
      <c r="W883" s="562"/>
      <c r="X883" s="562"/>
      <c r="Y883" s="562"/>
      <c r="Z883" s="562"/>
    </row>
    <row r="884" ht="12.0" customHeight="1">
      <c r="A884" s="562"/>
      <c r="B884" s="562"/>
      <c r="C884" s="562"/>
      <c r="D884" s="562"/>
      <c r="E884" s="562"/>
      <c r="F884" s="562"/>
      <c r="G884" s="562"/>
      <c r="H884" s="562"/>
      <c r="I884" s="562"/>
      <c r="J884" s="562"/>
      <c r="K884" s="562"/>
      <c r="L884" s="562"/>
      <c r="M884" s="562"/>
      <c r="N884" s="562"/>
      <c r="O884" s="569"/>
      <c r="P884" s="570"/>
      <c r="Q884" s="562"/>
      <c r="R884" s="562"/>
      <c r="S884" s="562"/>
      <c r="T884" s="562"/>
      <c r="U884" s="562"/>
      <c r="V884" s="562"/>
      <c r="W884" s="562"/>
      <c r="X884" s="562"/>
      <c r="Y884" s="562"/>
      <c r="Z884" s="562"/>
    </row>
    <row r="885" ht="12.0" customHeight="1">
      <c r="A885" s="562"/>
      <c r="B885" s="562"/>
      <c r="C885" s="562"/>
      <c r="D885" s="562"/>
      <c r="E885" s="562"/>
      <c r="F885" s="562"/>
      <c r="G885" s="562"/>
      <c r="H885" s="562"/>
      <c r="I885" s="562"/>
      <c r="J885" s="562"/>
      <c r="K885" s="562"/>
      <c r="L885" s="562"/>
      <c r="M885" s="562"/>
      <c r="N885" s="562"/>
      <c r="O885" s="569"/>
      <c r="P885" s="570"/>
      <c r="Q885" s="562"/>
      <c r="R885" s="562"/>
      <c r="S885" s="562"/>
      <c r="T885" s="562"/>
      <c r="U885" s="562"/>
      <c r="V885" s="562"/>
      <c r="W885" s="562"/>
      <c r="X885" s="562"/>
      <c r="Y885" s="562"/>
      <c r="Z885" s="562"/>
    </row>
    <row r="886" ht="12.0" customHeight="1">
      <c r="A886" s="562"/>
      <c r="B886" s="562"/>
      <c r="C886" s="562"/>
      <c r="D886" s="562"/>
      <c r="E886" s="562"/>
      <c r="F886" s="562"/>
      <c r="G886" s="562"/>
      <c r="H886" s="562"/>
      <c r="I886" s="562"/>
      <c r="J886" s="562"/>
      <c r="K886" s="562"/>
      <c r="L886" s="562"/>
      <c r="M886" s="562"/>
      <c r="N886" s="562"/>
      <c r="O886" s="569"/>
      <c r="P886" s="570"/>
      <c r="Q886" s="562"/>
      <c r="R886" s="562"/>
      <c r="S886" s="562"/>
      <c r="T886" s="562"/>
      <c r="U886" s="562"/>
      <c r="V886" s="562"/>
      <c r="W886" s="562"/>
      <c r="X886" s="562"/>
      <c r="Y886" s="562"/>
      <c r="Z886" s="562"/>
    </row>
    <row r="887" ht="12.0" customHeight="1">
      <c r="A887" s="562"/>
      <c r="B887" s="562"/>
      <c r="C887" s="562"/>
      <c r="D887" s="562"/>
      <c r="E887" s="562"/>
      <c r="F887" s="562"/>
      <c r="G887" s="562"/>
      <c r="H887" s="562"/>
      <c r="I887" s="562"/>
      <c r="J887" s="562"/>
      <c r="K887" s="562"/>
      <c r="L887" s="562"/>
      <c r="M887" s="562"/>
      <c r="N887" s="562"/>
      <c r="O887" s="569"/>
      <c r="P887" s="570"/>
      <c r="Q887" s="562"/>
      <c r="R887" s="562"/>
      <c r="S887" s="562"/>
      <c r="T887" s="562"/>
      <c r="U887" s="562"/>
      <c r="V887" s="562"/>
      <c r="W887" s="562"/>
      <c r="X887" s="562"/>
      <c r="Y887" s="562"/>
      <c r="Z887" s="562"/>
    </row>
    <row r="888" ht="12.0" customHeight="1">
      <c r="A888" s="562"/>
      <c r="B888" s="562"/>
      <c r="C888" s="562"/>
      <c r="D888" s="562"/>
      <c r="E888" s="562"/>
      <c r="F888" s="562"/>
      <c r="G888" s="562"/>
      <c r="H888" s="562"/>
      <c r="I888" s="562"/>
      <c r="J888" s="562"/>
      <c r="K888" s="562"/>
      <c r="L888" s="562"/>
      <c r="M888" s="562"/>
      <c r="N888" s="562"/>
      <c r="O888" s="569"/>
      <c r="P888" s="570"/>
      <c r="Q888" s="562"/>
      <c r="R888" s="562"/>
      <c r="S888" s="562"/>
      <c r="T888" s="562"/>
      <c r="U888" s="562"/>
      <c r="V888" s="562"/>
      <c r="W888" s="562"/>
      <c r="X888" s="562"/>
      <c r="Y888" s="562"/>
      <c r="Z888" s="562"/>
    </row>
    <row r="889" ht="12.0" customHeight="1">
      <c r="A889" s="562"/>
      <c r="B889" s="562"/>
      <c r="C889" s="562"/>
      <c r="D889" s="562"/>
      <c r="E889" s="562"/>
      <c r="F889" s="562"/>
      <c r="G889" s="562"/>
      <c r="H889" s="562"/>
      <c r="I889" s="562"/>
      <c r="J889" s="562"/>
      <c r="K889" s="562"/>
      <c r="L889" s="562"/>
      <c r="M889" s="562"/>
      <c r="N889" s="562"/>
      <c r="O889" s="569"/>
      <c r="P889" s="570"/>
      <c r="Q889" s="562"/>
      <c r="R889" s="562"/>
      <c r="S889" s="562"/>
      <c r="T889" s="562"/>
      <c r="U889" s="562"/>
      <c r="V889" s="562"/>
      <c r="W889" s="562"/>
      <c r="X889" s="562"/>
      <c r="Y889" s="562"/>
      <c r="Z889" s="562"/>
    </row>
    <row r="890" ht="12.0" customHeight="1">
      <c r="A890" s="562"/>
      <c r="B890" s="562"/>
      <c r="C890" s="562"/>
      <c r="D890" s="562"/>
      <c r="E890" s="562"/>
      <c r="F890" s="562"/>
      <c r="G890" s="562"/>
      <c r="H890" s="562"/>
      <c r="I890" s="562"/>
      <c r="J890" s="562"/>
      <c r="K890" s="562"/>
      <c r="L890" s="562"/>
      <c r="M890" s="562"/>
      <c r="N890" s="562"/>
      <c r="O890" s="569"/>
      <c r="P890" s="570"/>
      <c r="Q890" s="562"/>
      <c r="R890" s="562"/>
      <c r="S890" s="562"/>
      <c r="T890" s="562"/>
      <c r="U890" s="562"/>
      <c r="V890" s="562"/>
      <c r="W890" s="562"/>
      <c r="X890" s="562"/>
      <c r="Y890" s="562"/>
      <c r="Z890" s="562"/>
    </row>
    <row r="891" ht="12.0" customHeight="1">
      <c r="A891" s="562"/>
      <c r="B891" s="562"/>
      <c r="C891" s="562"/>
      <c r="D891" s="562"/>
      <c r="E891" s="562"/>
      <c r="F891" s="562"/>
      <c r="G891" s="562"/>
      <c r="H891" s="562"/>
      <c r="I891" s="562"/>
      <c r="J891" s="562"/>
      <c r="K891" s="562"/>
      <c r="L891" s="562"/>
      <c r="M891" s="562"/>
      <c r="N891" s="562"/>
      <c r="O891" s="569"/>
      <c r="P891" s="570"/>
      <c r="Q891" s="562"/>
      <c r="R891" s="562"/>
      <c r="S891" s="562"/>
      <c r="T891" s="562"/>
      <c r="U891" s="562"/>
      <c r="V891" s="562"/>
      <c r="W891" s="562"/>
      <c r="X891" s="562"/>
      <c r="Y891" s="562"/>
      <c r="Z891" s="562"/>
    </row>
    <row r="892" ht="12.0" customHeight="1">
      <c r="A892" s="562"/>
      <c r="B892" s="562"/>
      <c r="C892" s="562"/>
      <c r="D892" s="562"/>
      <c r="E892" s="562"/>
      <c r="F892" s="562"/>
      <c r="G892" s="562"/>
      <c r="H892" s="562"/>
      <c r="I892" s="562"/>
      <c r="J892" s="562"/>
      <c r="K892" s="562"/>
      <c r="L892" s="562"/>
      <c r="M892" s="562"/>
      <c r="N892" s="562"/>
      <c r="O892" s="569"/>
      <c r="P892" s="570"/>
      <c r="Q892" s="562"/>
      <c r="R892" s="562"/>
      <c r="S892" s="562"/>
      <c r="T892" s="562"/>
      <c r="U892" s="562"/>
      <c r="V892" s="562"/>
      <c r="W892" s="562"/>
      <c r="X892" s="562"/>
      <c r="Y892" s="562"/>
      <c r="Z892" s="562"/>
    </row>
    <row r="893" ht="12.0" customHeight="1">
      <c r="A893" s="562"/>
      <c r="B893" s="562"/>
      <c r="C893" s="562"/>
      <c r="D893" s="562"/>
      <c r="E893" s="562"/>
      <c r="F893" s="562"/>
      <c r="G893" s="562"/>
      <c r="H893" s="562"/>
      <c r="I893" s="562"/>
      <c r="J893" s="562"/>
      <c r="K893" s="562"/>
      <c r="L893" s="562"/>
      <c r="M893" s="562"/>
      <c r="N893" s="562"/>
      <c r="O893" s="569"/>
      <c r="P893" s="570"/>
      <c r="Q893" s="562"/>
      <c r="R893" s="562"/>
      <c r="S893" s="562"/>
      <c r="T893" s="562"/>
      <c r="U893" s="562"/>
      <c r="V893" s="562"/>
      <c r="W893" s="562"/>
      <c r="X893" s="562"/>
      <c r="Y893" s="562"/>
      <c r="Z893" s="562"/>
    </row>
    <row r="894" ht="12.0" customHeight="1">
      <c r="A894" s="562"/>
      <c r="B894" s="562"/>
      <c r="C894" s="562"/>
      <c r="D894" s="562"/>
      <c r="E894" s="562"/>
      <c r="F894" s="562"/>
      <c r="G894" s="562"/>
      <c r="H894" s="562"/>
      <c r="I894" s="562"/>
      <c r="J894" s="562"/>
      <c r="K894" s="562"/>
      <c r="L894" s="562"/>
      <c r="M894" s="562"/>
      <c r="N894" s="562"/>
      <c r="O894" s="569"/>
      <c r="P894" s="570"/>
      <c r="Q894" s="562"/>
      <c r="R894" s="562"/>
      <c r="S894" s="562"/>
      <c r="T894" s="562"/>
      <c r="U894" s="562"/>
      <c r="V894" s="562"/>
      <c r="W894" s="562"/>
      <c r="X894" s="562"/>
      <c r="Y894" s="562"/>
      <c r="Z894" s="562"/>
    </row>
    <row r="895" ht="12.0" customHeight="1">
      <c r="A895" s="562"/>
      <c r="B895" s="562"/>
      <c r="C895" s="562"/>
      <c r="D895" s="562"/>
      <c r="E895" s="562"/>
      <c r="F895" s="562"/>
      <c r="G895" s="562"/>
      <c r="H895" s="562"/>
      <c r="I895" s="562"/>
      <c r="J895" s="562"/>
      <c r="K895" s="562"/>
      <c r="L895" s="562"/>
      <c r="M895" s="562"/>
      <c r="N895" s="562"/>
      <c r="O895" s="569"/>
      <c r="P895" s="570"/>
      <c r="Q895" s="562"/>
      <c r="R895" s="562"/>
      <c r="S895" s="562"/>
      <c r="T895" s="562"/>
      <c r="U895" s="562"/>
      <c r="V895" s="562"/>
      <c r="W895" s="562"/>
      <c r="X895" s="562"/>
      <c r="Y895" s="562"/>
      <c r="Z895" s="562"/>
    </row>
    <row r="896" ht="12.0" customHeight="1">
      <c r="A896" s="562"/>
      <c r="B896" s="562"/>
      <c r="C896" s="562"/>
      <c r="D896" s="562"/>
      <c r="E896" s="562"/>
      <c r="F896" s="562"/>
      <c r="G896" s="562"/>
      <c r="H896" s="562"/>
      <c r="I896" s="562"/>
      <c r="J896" s="562"/>
      <c r="K896" s="562"/>
      <c r="L896" s="562"/>
      <c r="M896" s="562"/>
      <c r="N896" s="562"/>
      <c r="O896" s="569"/>
      <c r="P896" s="570"/>
      <c r="Q896" s="562"/>
      <c r="R896" s="562"/>
      <c r="S896" s="562"/>
      <c r="T896" s="562"/>
      <c r="U896" s="562"/>
      <c r="V896" s="562"/>
      <c r="W896" s="562"/>
      <c r="X896" s="562"/>
      <c r="Y896" s="562"/>
      <c r="Z896" s="562"/>
    </row>
    <row r="897" ht="12.0" customHeight="1">
      <c r="A897" s="562"/>
      <c r="B897" s="562"/>
      <c r="C897" s="562"/>
      <c r="D897" s="562"/>
      <c r="E897" s="562"/>
      <c r="F897" s="562"/>
      <c r="G897" s="562"/>
      <c r="H897" s="562"/>
      <c r="I897" s="562"/>
      <c r="J897" s="562"/>
      <c r="K897" s="562"/>
      <c r="L897" s="562"/>
      <c r="M897" s="562"/>
      <c r="N897" s="562"/>
      <c r="O897" s="569"/>
      <c r="P897" s="570"/>
      <c r="Q897" s="562"/>
      <c r="R897" s="562"/>
      <c r="S897" s="562"/>
      <c r="T897" s="562"/>
      <c r="U897" s="562"/>
      <c r="V897" s="562"/>
      <c r="W897" s="562"/>
      <c r="X897" s="562"/>
      <c r="Y897" s="562"/>
      <c r="Z897" s="562"/>
    </row>
    <row r="898" ht="12.0" customHeight="1">
      <c r="A898" s="562"/>
      <c r="B898" s="562"/>
      <c r="C898" s="562"/>
      <c r="D898" s="562"/>
      <c r="E898" s="562"/>
      <c r="F898" s="562"/>
      <c r="G898" s="562"/>
      <c r="H898" s="562"/>
      <c r="I898" s="562"/>
      <c r="J898" s="562"/>
      <c r="K898" s="562"/>
      <c r="L898" s="562"/>
      <c r="M898" s="562"/>
      <c r="N898" s="562"/>
      <c r="O898" s="569"/>
      <c r="P898" s="570"/>
      <c r="Q898" s="562"/>
      <c r="R898" s="562"/>
      <c r="S898" s="562"/>
      <c r="T898" s="562"/>
      <c r="U898" s="562"/>
      <c r="V898" s="562"/>
      <c r="W898" s="562"/>
      <c r="X898" s="562"/>
      <c r="Y898" s="562"/>
      <c r="Z898" s="562"/>
    </row>
    <row r="899" ht="12.0" customHeight="1">
      <c r="A899" s="562"/>
      <c r="B899" s="562"/>
      <c r="C899" s="562"/>
      <c r="D899" s="562"/>
      <c r="E899" s="562"/>
      <c r="F899" s="562"/>
      <c r="G899" s="562"/>
      <c r="H899" s="562"/>
      <c r="I899" s="562"/>
      <c r="J899" s="562"/>
      <c r="K899" s="562"/>
      <c r="L899" s="562"/>
      <c r="M899" s="562"/>
      <c r="N899" s="562"/>
      <c r="O899" s="569"/>
      <c r="P899" s="570"/>
      <c r="Q899" s="562"/>
      <c r="R899" s="562"/>
      <c r="S899" s="562"/>
      <c r="T899" s="562"/>
      <c r="U899" s="562"/>
      <c r="V899" s="562"/>
      <c r="W899" s="562"/>
      <c r="X899" s="562"/>
      <c r="Y899" s="562"/>
      <c r="Z899" s="562"/>
    </row>
    <row r="900" ht="12.0" customHeight="1">
      <c r="A900" s="562"/>
      <c r="B900" s="562"/>
      <c r="C900" s="562"/>
      <c r="D900" s="562"/>
      <c r="E900" s="562"/>
      <c r="F900" s="562"/>
      <c r="G900" s="562"/>
      <c r="H900" s="562"/>
      <c r="I900" s="562"/>
      <c r="J900" s="562"/>
      <c r="K900" s="562"/>
      <c r="L900" s="562"/>
      <c r="M900" s="562"/>
      <c r="N900" s="562"/>
      <c r="O900" s="569"/>
      <c r="P900" s="570"/>
      <c r="Q900" s="562"/>
      <c r="R900" s="562"/>
      <c r="S900" s="562"/>
      <c r="T900" s="562"/>
      <c r="U900" s="562"/>
      <c r="V900" s="562"/>
      <c r="W900" s="562"/>
      <c r="X900" s="562"/>
      <c r="Y900" s="562"/>
      <c r="Z900" s="562"/>
    </row>
    <row r="901" ht="12.0" customHeight="1">
      <c r="A901" s="562"/>
      <c r="B901" s="562"/>
      <c r="C901" s="562"/>
      <c r="D901" s="562"/>
      <c r="E901" s="562"/>
      <c r="F901" s="562"/>
      <c r="G901" s="562"/>
      <c r="H901" s="562"/>
      <c r="I901" s="562"/>
      <c r="J901" s="562"/>
      <c r="K901" s="562"/>
      <c r="L901" s="562"/>
      <c r="M901" s="562"/>
      <c r="N901" s="562"/>
      <c r="O901" s="569"/>
      <c r="P901" s="570"/>
      <c r="Q901" s="562"/>
      <c r="R901" s="562"/>
      <c r="S901" s="562"/>
      <c r="T901" s="562"/>
      <c r="U901" s="562"/>
      <c r="V901" s="562"/>
      <c r="W901" s="562"/>
      <c r="X901" s="562"/>
      <c r="Y901" s="562"/>
      <c r="Z901" s="562"/>
    </row>
    <row r="902" ht="12.0" customHeight="1">
      <c r="A902" s="562"/>
      <c r="B902" s="562"/>
      <c r="C902" s="562"/>
      <c r="D902" s="562"/>
      <c r="E902" s="562"/>
      <c r="F902" s="562"/>
      <c r="G902" s="562"/>
      <c r="H902" s="562"/>
      <c r="I902" s="562"/>
      <c r="J902" s="562"/>
      <c r="K902" s="562"/>
      <c r="L902" s="562"/>
      <c r="M902" s="562"/>
      <c r="N902" s="562"/>
      <c r="O902" s="569"/>
      <c r="P902" s="570"/>
      <c r="Q902" s="562"/>
      <c r="R902" s="562"/>
      <c r="S902" s="562"/>
      <c r="T902" s="562"/>
      <c r="U902" s="562"/>
      <c r="V902" s="562"/>
      <c r="W902" s="562"/>
      <c r="X902" s="562"/>
      <c r="Y902" s="562"/>
      <c r="Z902" s="562"/>
    </row>
    <row r="903" ht="12.0" customHeight="1">
      <c r="A903" s="562"/>
      <c r="B903" s="562"/>
      <c r="C903" s="562"/>
      <c r="D903" s="562"/>
      <c r="E903" s="562"/>
      <c r="F903" s="562"/>
      <c r="G903" s="562"/>
      <c r="H903" s="562"/>
      <c r="I903" s="562"/>
      <c r="J903" s="562"/>
      <c r="K903" s="562"/>
      <c r="L903" s="562"/>
      <c r="M903" s="562"/>
      <c r="N903" s="562"/>
      <c r="O903" s="569"/>
      <c r="P903" s="570"/>
      <c r="Q903" s="562"/>
      <c r="R903" s="562"/>
      <c r="S903" s="562"/>
      <c r="T903" s="562"/>
      <c r="U903" s="562"/>
      <c r="V903" s="562"/>
      <c r="W903" s="562"/>
      <c r="X903" s="562"/>
      <c r="Y903" s="562"/>
      <c r="Z903" s="562"/>
    </row>
    <row r="904" ht="12.0" customHeight="1">
      <c r="A904" s="562"/>
      <c r="B904" s="562"/>
      <c r="C904" s="562"/>
      <c r="D904" s="562"/>
      <c r="E904" s="562"/>
      <c r="F904" s="562"/>
      <c r="G904" s="562"/>
      <c r="H904" s="562"/>
      <c r="I904" s="562"/>
      <c r="J904" s="562"/>
      <c r="K904" s="562"/>
      <c r="L904" s="562"/>
      <c r="M904" s="562"/>
      <c r="N904" s="562"/>
      <c r="O904" s="569"/>
      <c r="P904" s="570"/>
      <c r="Q904" s="562"/>
      <c r="R904" s="562"/>
      <c r="S904" s="562"/>
      <c r="T904" s="562"/>
      <c r="U904" s="562"/>
      <c r="V904" s="562"/>
      <c r="W904" s="562"/>
      <c r="X904" s="562"/>
      <c r="Y904" s="562"/>
      <c r="Z904" s="562"/>
    </row>
    <row r="905" ht="12.0" customHeight="1">
      <c r="A905" s="562"/>
      <c r="B905" s="562"/>
      <c r="C905" s="562"/>
      <c r="D905" s="562"/>
      <c r="E905" s="562"/>
      <c r="F905" s="562"/>
      <c r="G905" s="562"/>
      <c r="H905" s="562"/>
      <c r="I905" s="562"/>
      <c r="J905" s="562"/>
      <c r="K905" s="562"/>
      <c r="L905" s="562"/>
      <c r="M905" s="562"/>
      <c r="N905" s="562"/>
      <c r="O905" s="569"/>
      <c r="P905" s="570"/>
      <c r="Q905" s="562"/>
      <c r="R905" s="562"/>
      <c r="S905" s="562"/>
      <c r="T905" s="562"/>
      <c r="U905" s="562"/>
      <c r="V905" s="562"/>
      <c r="W905" s="562"/>
      <c r="X905" s="562"/>
      <c r="Y905" s="562"/>
      <c r="Z905" s="562"/>
    </row>
    <row r="906" ht="12.0" customHeight="1">
      <c r="A906" s="562"/>
      <c r="B906" s="562"/>
      <c r="C906" s="562"/>
      <c r="D906" s="562"/>
      <c r="E906" s="562"/>
      <c r="F906" s="562"/>
      <c r="G906" s="562"/>
      <c r="H906" s="562"/>
      <c r="I906" s="562"/>
      <c r="J906" s="562"/>
      <c r="K906" s="562"/>
      <c r="L906" s="562"/>
      <c r="M906" s="562"/>
      <c r="N906" s="562"/>
      <c r="O906" s="569"/>
      <c r="P906" s="570"/>
      <c r="Q906" s="562"/>
      <c r="R906" s="562"/>
      <c r="S906" s="562"/>
      <c r="T906" s="562"/>
      <c r="U906" s="562"/>
      <c r="V906" s="562"/>
      <c r="W906" s="562"/>
      <c r="X906" s="562"/>
      <c r="Y906" s="562"/>
      <c r="Z906" s="562"/>
    </row>
    <row r="907" ht="12.0" customHeight="1">
      <c r="A907" s="562"/>
      <c r="B907" s="562"/>
      <c r="C907" s="562"/>
      <c r="D907" s="562"/>
      <c r="E907" s="562"/>
      <c r="F907" s="562"/>
      <c r="G907" s="562"/>
      <c r="H907" s="562"/>
      <c r="I907" s="562"/>
      <c r="J907" s="562"/>
      <c r="K907" s="562"/>
      <c r="L907" s="562"/>
      <c r="M907" s="562"/>
      <c r="N907" s="562"/>
      <c r="O907" s="569"/>
      <c r="P907" s="570"/>
      <c r="Q907" s="562"/>
      <c r="R907" s="562"/>
      <c r="S907" s="562"/>
      <c r="T907" s="562"/>
      <c r="U907" s="562"/>
      <c r="V907" s="562"/>
      <c r="W907" s="562"/>
      <c r="X907" s="562"/>
      <c r="Y907" s="562"/>
      <c r="Z907" s="562"/>
    </row>
    <row r="908" ht="12.0" customHeight="1">
      <c r="A908" s="562"/>
      <c r="B908" s="562"/>
      <c r="C908" s="562"/>
      <c r="D908" s="562"/>
      <c r="E908" s="562"/>
      <c r="F908" s="562"/>
      <c r="G908" s="562"/>
      <c r="H908" s="562"/>
      <c r="I908" s="562"/>
      <c r="J908" s="562"/>
      <c r="K908" s="562"/>
      <c r="L908" s="562"/>
      <c r="M908" s="562"/>
      <c r="N908" s="562"/>
      <c r="O908" s="569"/>
      <c r="P908" s="570"/>
      <c r="Q908" s="562"/>
      <c r="R908" s="562"/>
      <c r="S908" s="562"/>
      <c r="T908" s="562"/>
      <c r="U908" s="562"/>
      <c r="V908" s="562"/>
      <c r="W908" s="562"/>
      <c r="X908" s="562"/>
      <c r="Y908" s="562"/>
      <c r="Z908" s="562"/>
    </row>
    <row r="909" ht="12.0" customHeight="1">
      <c r="A909" s="562"/>
      <c r="B909" s="562"/>
      <c r="C909" s="562"/>
      <c r="D909" s="562"/>
      <c r="E909" s="562"/>
      <c r="F909" s="562"/>
      <c r="G909" s="562"/>
      <c r="H909" s="562"/>
      <c r="I909" s="562"/>
      <c r="J909" s="562"/>
      <c r="K909" s="562"/>
      <c r="L909" s="562"/>
      <c r="M909" s="562"/>
      <c r="N909" s="562"/>
      <c r="O909" s="569"/>
      <c r="P909" s="570"/>
      <c r="Q909" s="562"/>
      <c r="R909" s="562"/>
      <c r="S909" s="562"/>
      <c r="T909" s="562"/>
      <c r="U909" s="562"/>
      <c r="V909" s="562"/>
      <c r="W909" s="562"/>
      <c r="X909" s="562"/>
      <c r="Y909" s="562"/>
      <c r="Z909" s="562"/>
    </row>
    <row r="910" ht="12.0" customHeight="1">
      <c r="A910" s="562"/>
      <c r="B910" s="562"/>
      <c r="C910" s="562"/>
      <c r="D910" s="562"/>
      <c r="E910" s="562"/>
      <c r="F910" s="562"/>
      <c r="G910" s="562"/>
      <c r="H910" s="562"/>
      <c r="I910" s="562"/>
      <c r="J910" s="562"/>
      <c r="K910" s="562"/>
      <c r="L910" s="562"/>
      <c r="M910" s="562"/>
      <c r="N910" s="562"/>
      <c r="O910" s="569"/>
      <c r="P910" s="570"/>
      <c r="Q910" s="562"/>
      <c r="R910" s="562"/>
      <c r="S910" s="562"/>
      <c r="T910" s="562"/>
      <c r="U910" s="562"/>
      <c r="V910" s="562"/>
      <c r="W910" s="562"/>
      <c r="X910" s="562"/>
      <c r="Y910" s="562"/>
      <c r="Z910" s="562"/>
    </row>
    <row r="911" ht="12.0" customHeight="1">
      <c r="A911" s="562"/>
      <c r="B911" s="562"/>
      <c r="C911" s="562"/>
      <c r="D911" s="562"/>
      <c r="E911" s="562"/>
      <c r="F911" s="562"/>
      <c r="G911" s="562"/>
      <c r="H911" s="562"/>
      <c r="I911" s="562"/>
      <c r="J911" s="562"/>
      <c r="K911" s="562"/>
      <c r="L911" s="562"/>
      <c r="M911" s="562"/>
      <c r="N911" s="562"/>
      <c r="O911" s="569"/>
      <c r="P911" s="570"/>
      <c r="Q911" s="562"/>
      <c r="R911" s="562"/>
      <c r="S911" s="562"/>
      <c r="T911" s="562"/>
      <c r="U911" s="562"/>
      <c r="V911" s="562"/>
      <c r="W911" s="562"/>
      <c r="X911" s="562"/>
      <c r="Y911" s="562"/>
      <c r="Z911" s="562"/>
    </row>
    <row r="912" ht="12.0" customHeight="1">
      <c r="A912" s="562"/>
      <c r="B912" s="562"/>
      <c r="C912" s="562"/>
      <c r="D912" s="562"/>
      <c r="E912" s="562"/>
      <c r="F912" s="562"/>
      <c r="G912" s="562"/>
      <c r="H912" s="562"/>
      <c r="I912" s="562"/>
      <c r="J912" s="562"/>
      <c r="K912" s="562"/>
      <c r="L912" s="562"/>
      <c r="M912" s="562"/>
      <c r="N912" s="562"/>
      <c r="O912" s="569"/>
      <c r="P912" s="570"/>
      <c r="Q912" s="562"/>
      <c r="R912" s="562"/>
      <c r="S912" s="562"/>
      <c r="T912" s="562"/>
      <c r="U912" s="562"/>
      <c r="V912" s="562"/>
      <c r="W912" s="562"/>
      <c r="X912" s="562"/>
      <c r="Y912" s="562"/>
      <c r="Z912" s="562"/>
    </row>
    <row r="913" ht="12.0" customHeight="1">
      <c r="A913" s="562"/>
      <c r="B913" s="562"/>
      <c r="C913" s="562"/>
      <c r="D913" s="562"/>
      <c r="E913" s="562"/>
      <c r="F913" s="562"/>
      <c r="G913" s="562"/>
      <c r="H913" s="562"/>
      <c r="I913" s="562"/>
      <c r="J913" s="562"/>
      <c r="K913" s="562"/>
      <c r="L913" s="562"/>
      <c r="M913" s="562"/>
      <c r="N913" s="562"/>
      <c r="O913" s="569"/>
      <c r="P913" s="570"/>
      <c r="Q913" s="562"/>
      <c r="R913" s="562"/>
      <c r="S913" s="562"/>
      <c r="T913" s="562"/>
      <c r="U913" s="562"/>
      <c r="V913" s="562"/>
      <c r="W913" s="562"/>
      <c r="X913" s="562"/>
      <c r="Y913" s="562"/>
      <c r="Z913" s="562"/>
    </row>
    <row r="914" ht="12.0" customHeight="1">
      <c r="A914" s="562"/>
      <c r="B914" s="562"/>
      <c r="C914" s="562"/>
      <c r="D914" s="562"/>
      <c r="E914" s="562"/>
      <c r="F914" s="562"/>
      <c r="G914" s="562"/>
      <c r="H914" s="562"/>
      <c r="I914" s="562"/>
      <c r="J914" s="562"/>
      <c r="K914" s="562"/>
      <c r="L914" s="562"/>
      <c r="M914" s="562"/>
      <c r="N914" s="562"/>
      <c r="O914" s="569"/>
      <c r="P914" s="570"/>
      <c r="Q914" s="562"/>
      <c r="R914" s="562"/>
      <c r="S914" s="562"/>
      <c r="T914" s="562"/>
      <c r="U914" s="562"/>
      <c r="V914" s="562"/>
      <c r="W914" s="562"/>
      <c r="X914" s="562"/>
      <c r="Y914" s="562"/>
      <c r="Z914" s="562"/>
    </row>
    <row r="915" ht="12.0" customHeight="1">
      <c r="A915" s="562"/>
      <c r="B915" s="562"/>
      <c r="C915" s="562"/>
      <c r="D915" s="562"/>
      <c r="E915" s="562"/>
      <c r="F915" s="562"/>
      <c r="G915" s="562"/>
      <c r="H915" s="562"/>
      <c r="I915" s="562"/>
      <c r="J915" s="562"/>
      <c r="K915" s="562"/>
      <c r="L915" s="562"/>
      <c r="M915" s="562"/>
      <c r="N915" s="562"/>
      <c r="O915" s="569"/>
      <c r="P915" s="570"/>
      <c r="Q915" s="562"/>
      <c r="R915" s="562"/>
      <c r="S915" s="562"/>
      <c r="T915" s="562"/>
      <c r="U915" s="562"/>
      <c r="V915" s="562"/>
      <c r="W915" s="562"/>
      <c r="X915" s="562"/>
      <c r="Y915" s="562"/>
      <c r="Z915" s="562"/>
    </row>
    <row r="916" ht="12.0" customHeight="1">
      <c r="A916" s="562"/>
      <c r="B916" s="562"/>
      <c r="C916" s="562"/>
      <c r="D916" s="562"/>
      <c r="E916" s="562"/>
      <c r="F916" s="562"/>
      <c r="G916" s="562"/>
      <c r="H916" s="562"/>
      <c r="I916" s="562"/>
      <c r="J916" s="562"/>
      <c r="K916" s="562"/>
      <c r="L916" s="562"/>
      <c r="M916" s="562"/>
      <c r="N916" s="562"/>
      <c r="O916" s="569"/>
      <c r="P916" s="570"/>
      <c r="Q916" s="562"/>
      <c r="R916" s="562"/>
      <c r="S916" s="562"/>
      <c r="T916" s="562"/>
      <c r="U916" s="562"/>
      <c r="V916" s="562"/>
      <c r="W916" s="562"/>
      <c r="X916" s="562"/>
      <c r="Y916" s="562"/>
      <c r="Z916" s="562"/>
    </row>
    <row r="917" ht="12.0" customHeight="1">
      <c r="A917" s="562"/>
      <c r="B917" s="562"/>
      <c r="C917" s="562"/>
      <c r="D917" s="562"/>
      <c r="E917" s="562"/>
      <c r="F917" s="562"/>
      <c r="G917" s="562"/>
      <c r="H917" s="562"/>
      <c r="I917" s="562"/>
      <c r="J917" s="562"/>
      <c r="K917" s="562"/>
      <c r="L917" s="562"/>
      <c r="M917" s="562"/>
      <c r="N917" s="562"/>
      <c r="O917" s="569"/>
      <c r="P917" s="570"/>
      <c r="Q917" s="562"/>
      <c r="R917" s="562"/>
      <c r="S917" s="562"/>
      <c r="T917" s="562"/>
      <c r="U917" s="562"/>
      <c r="V917" s="562"/>
      <c r="W917" s="562"/>
      <c r="X917" s="562"/>
      <c r="Y917" s="562"/>
      <c r="Z917" s="562"/>
    </row>
    <row r="918" ht="12.0" customHeight="1">
      <c r="A918" s="562"/>
      <c r="B918" s="562"/>
      <c r="C918" s="562"/>
      <c r="D918" s="562"/>
      <c r="E918" s="562"/>
      <c r="F918" s="562"/>
      <c r="G918" s="562"/>
      <c r="H918" s="562"/>
      <c r="I918" s="562"/>
      <c r="J918" s="562"/>
      <c r="K918" s="562"/>
      <c r="L918" s="562"/>
      <c r="M918" s="562"/>
      <c r="N918" s="562"/>
      <c r="O918" s="569"/>
      <c r="P918" s="570"/>
      <c r="Q918" s="562"/>
      <c r="R918" s="562"/>
      <c r="S918" s="562"/>
      <c r="T918" s="562"/>
      <c r="U918" s="562"/>
      <c r="V918" s="562"/>
      <c r="W918" s="562"/>
      <c r="X918" s="562"/>
      <c r="Y918" s="562"/>
      <c r="Z918" s="562"/>
    </row>
    <row r="919" ht="12.0" customHeight="1">
      <c r="A919" s="562"/>
      <c r="B919" s="562"/>
      <c r="C919" s="562"/>
      <c r="D919" s="562"/>
      <c r="E919" s="562"/>
      <c r="F919" s="562"/>
      <c r="G919" s="562"/>
      <c r="H919" s="562"/>
      <c r="I919" s="562"/>
      <c r="J919" s="562"/>
      <c r="K919" s="562"/>
      <c r="L919" s="562"/>
      <c r="M919" s="562"/>
      <c r="N919" s="562"/>
      <c r="O919" s="569"/>
      <c r="P919" s="570"/>
      <c r="Q919" s="562"/>
      <c r="R919" s="562"/>
      <c r="S919" s="562"/>
      <c r="T919" s="562"/>
      <c r="U919" s="562"/>
      <c r="V919" s="562"/>
      <c r="W919" s="562"/>
      <c r="X919" s="562"/>
      <c r="Y919" s="562"/>
      <c r="Z919" s="562"/>
    </row>
    <row r="920" ht="12.0" customHeight="1">
      <c r="A920" s="562"/>
      <c r="B920" s="562"/>
      <c r="C920" s="562"/>
      <c r="D920" s="562"/>
      <c r="E920" s="562"/>
      <c r="F920" s="562"/>
      <c r="G920" s="562"/>
      <c r="H920" s="562"/>
      <c r="I920" s="562"/>
      <c r="J920" s="562"/>
      <c r="K920" s="562"/>
      <c r="L920" s="562"/>
      <c r="M920" s="562"/>
      <c r="N920" s="562"/>
      <c r="O920" s="569"/>
      <c r="P920" s="570"/>
      <c r="Q920" s="562"/>
      <c r="R920" s="562"/>
      <c r="S920" s="562"/>
      <c r="T920" s="562"/>
      <c r="U920" s="562"/>
      <c r="V920" s="562"/>
      <c r="W920" s="562"/>
      <c r="X920" s="562"/>
      <c r="Y920" s="562"/>
      <c r="Z920" s="562"/>
    </row>
    <row r="921" ht="12.0" customHeight="1">
      <c r="A921" s="562"/>
      <c r="B921" s="562"/>
      <c r="C921" s="562"/>
      <c r="D921" s="562"/>
      <c r="E921" s="562"/>
      <c r="F921" s="562"/>
      <c r="G921" s="562"/>
      <c r="H921" s="562"/>
      <c r="I921" s="562"/>
      <c r="J921" s="562"/>
      <c r="K921" s="562"/>
      <c r="L921" s="562"/>
      <c r="M921" s="562"/>
      <c r="N921" s="562"/>
      <c r="O921" s="569"/>
      <c r="P921" s="570"/>
      <c r="Q921" s="562"/>
      <c r="R921" s="562"/>
      <c r="S921" s="562"/>
      <c r="T921" s="562"/>
      <c r="U921" s="562"/>
      <c r="V921" s="562"/>
      <c r="W921" s="562"/>
      <c r="X921" s="562"/>
      <c r="Y921" s="562"/>
      <c r="Z921" s="562"/>
    </row>
    <row r="922" ht="12.0" customHeight="1">
      <c r="A922" s="562"/>
      <c r="B922" s="562"/>
      <c r="C922" s="562"/>
      <c r="D922" s="562"/>
      <c r="E922" s="562"/>
      <c r="F922" s="562"/>
      <c r="G922" s="562"/>
      <c r="H922" s="562"/>
      <c r="I922" s="562"/>
      <c r="J922" s="562"/>
      <c r="K922" s="562"/>
      <c r="L922" s="562"/>
      <c r="M922" s="562"/>
      <c r="N922" s="562"/>
      <c r="O922" s="569"/>
      <c r="P922" s="570"/>
      <c r="Q922" s="562"/>
      <c r="R922" s="562"/>
      <c r="S922" s="562"/>
      <c r="T922" s="562"/>
      <c r="U922" s="562"/>
      <c r="V922" s="562"/>
      <c r="W922" s="562"/>
      <c r="X922" s="562"/>
      <c r="Y922" s="562"/>
      <c r="Z922" s="562"/>
    </row>
    <row r="923" ht="12.0" customHeight="1">
      <c r="A923" s="562"/>
      <c r="B923" s="562"/>
      <c r="C923" s="562"/>
      <c r="D923" s="562"/>
      <c r="E923" s="562"/>
      <c r="F923" s="562"/>
      <c r="G923" s="562"/>
      <c r="H923" s="562"/>
      <c r="I923" s="562"/>
      <c r="J923" s="562"/>
      <c r="K923" s="562"/>
      <c r="L923" s="562"/>
      <c r="M923" s="562"/>
      <c r="N923" s="562"/>
      <c r="O923" s="569"/>
      <c r="P923" s="570"/>
      <c r="Q923" s="562"/>
      <c r="R923" s="562"/>
      <c r="S923" s="562"/>
      <c r="T923" s="562"/>
      <c r="U923" s="562"/>
      <c r="V923" s="562"/>
      <c r="W923" s="562"/>
      <c r="X923" s="562"/>
      <c r="Y923" s="562"/>
      <c r="Z923" s="562"/>
    </row>
    <row r="924" ht="12.0" customHeight="1">
      <c r="A924" s="562"/>
      <c r="B924" s="562"/>
      <c r="C924" s="562"/>
      <c r="D924" s="562"/>
      <c r="E924" s="562"/>
      <c r="F924" s="562"/>
      <c r="G924" s="562"/>
      <c r="H924" s="562"/>
      <c r="I924" s="562"/>
      <c r="J924" s="562"/>
      <c r="K924" s="562"/>
      <c r="L924" s="562"/>
      <c r="M924" s="562"/>
      <c r="N924" s="562"/>
      <c r="O924" s="569"/>
      <c r="P924" s="570"/>
      <c r="Q924" s="562"/>
      <c r="R924" s="562"/>
      <c r="S924" s="562"/>
      <c r="T924" s="562"/>
      <c r="U924" s="562"/>
      <c r="V924" s="562"/>
      <c r="W924" s="562"/>
      <c r="X924" s="562"/>
      <c r="Y924" s="562"/>
      <c r="Z924" s="562"/>
    </row>
    <row r="925" ht="12.0" customHeight="1">
      <c r="A925" s="562"/>
      <c r="B925" s="562"/>
      <c r="C925" s="562"/>
      <c r="D925" s="562"/>
      <c r="E925" s="562"/>
      <c r="F925" s="562"/>
      <c r="G925" s="562"/>
      <c r="H925" s="562"/>
      <c r="I925" s="562"/>
      <c r="J925" s="562"/>
      <c r="K925" s="562"/>
      <c r="L925" s="562"/>
      <c r="M925" s="562"/>
      <c r="N925" s="562"/>
      <c r="O925" s="569"/>
      <c r="P925" s="570"/>
      <c r="Q925" s="562"/>
      <c r="R925" s="562"/>
      <c r="S925" s="562"/>
      <c r="T925" s="562"/>
      <c r="U925" s="562"/>
      <c r="V925" s="562"/>
      <c r="W925" s="562"/>
      <c r="X925" s="562"/>
      <c r="Y925" s="562"/>
      <c r="Z925" s="562"/>
    </row>
    <row r="926" ht="12.0" customHeight="1">
      <c r="A926" s="562"/>
      <c r="B926" s="562"/>
      <c r="C926" s="562"/>
      <c r="D926" s="562"/>
      <c r="E926" s="562"/>
      <c r="F926" s="562"/>
      <c r="G926" s="562"/>
      <c r="H926" s="562"/>
      <c r="I926" s="562"/>
      <c r="J926" s="562"/>
      <c r="K926" s="562"/>
      <c r="L926" s="562"/>
      <c r="M926" s="562"/>
      <c r="N926" s="562"/>
      <c r="O926" s="569"/>
      <c r="P926" s="570"/>
      <c r="Q926" s="562"/>
      <c r="R926" s="562"/>
      <c r="S926" s="562"/>
      <c r="T926" s="562"/>
      <c r="U926" s="562"/>
      <c r="V926" s="562"/>
      <c r="W926" s="562"/>
      <c r="X926" s="562"/>
      <c r="Y926" s="562"/>
      <c r="Z926" s="562"/>
    </row>
    <row r="927" ht="12.0" customHeight="1">
      <c r="A927" s="562"/>
      <c r="B927" s="562"/>
      <c r="C927" s="562"/>
      <c r="D927" s="562"/>
      <c r="E927" s="562"/>
      <c r="F927" s="562"/>
      <c r="G927" s="562"/>
      <c r="H927" s="562"/>
      <c r="I927" s="562"/>
      <c r="J927" s="562"/>
      <c r="K927" s="562"/>
      <c r="L927" s="562"/>
      <c r="M927" s="562"/>
      <c r="N927" s="562"/>
      <c r="O927" s="569"/>
      <c r="P927" s="570"/>
      <c r="Q927" s="562"/>
      <c r="R927" s="562"/>
      <c r="S927" s="562"/>
      <c r="T927" s="562"/>
      <c r="U927" s="562"/>
      <c r="V927" s="562"/>
      <c r="W927" s="562"/>
      <c r="X927" s="562"/>
      <c r="Y927" s="562"/>
      <c r="Z927" s="562"/>
    </row>
    <row r="928" ht="12.0" customHeight="1">
      <c r="A928" s="562"/>
      <c r="B928" s="562"/>
      <c r="C928" s="562"/>
      <c r="D928" s="562"/>
      <c r="E928" s="562"/>
      <c r="F928" s="562"/>
      <c r="G928" s="562"/>
      <c r="H928" s="562"/>
      <c r="I928" s="562"/>
      <c r="J928" s="562"/>
      <c r="K928" s="562"/>
      <c r="L928" s="562"/>
      <c r="M928" s="562"/>
      <c r="N928" s="562"/>
      <c r="O928" s="569"/>
      <c r="P928" s="570"/>
      <c r="Q928" s="562"/>
      <c r="R928" s="562"/>
      <c r="S928" s="562"/>
      <c r="T928" s="562"/>
      <c r="U928" s="562"/>
      <c r="V928" s="562"/>
      <c r="W928" s="562"/>
      <c r="X928" s="562"/>
      <c r="Y928" s="562"/>
      <c r="Z928" s="562"/>
    </row>
    <row r="929" ht="12.0" customHeight="1">
      <c r="A929" s="562"/>
      <c r="B929" s="562"/>
      <c r="C929" s="562"/>
      <c r="D929" s="562"/>
      <c r="E929" s="562"/>
      <c r="F929" s="562"/>
      <c r="G929" s="562"/>
      <c r="H929" s="562"/>
      <c r="I929" s="562"/>
      <c r="J929" s="562"/>
      <c r="K929" s="562"/>
      <c r="L929" s="562"/>
      <c r="M929" s="562"/>
      <c r="N929" s="562"/>
      <c r="O929" s="569"/>
      <c r="P929" s="570"/>
      <c r="Q929" s="562"/>
      <c r="R929" s="562"/>
      <c r="S929" s="562"/>
      <c r="T929" s="562"/>
      <c r="U929" s="562"/>
      <c r="V929" s="562"/>
      <c r="W929" s="562"/>
      <c r="X929" s="562"/>
      <c r="Y929" s="562"/>
      <c r="Z929" s="562"/>
    </row>
    <row r="930" ht="12.0" customHeight="1">
      <c r="A930" s="562"/>
      <c r="B930" s="562"/>
      <c r="C930" s="562"/>
      <c r="D930" s="562"/>
      <c r="E930" s="562"/>
      <c r="F930" s="562"/>
      <c r="G930" s="562"/>
      <c r="H930" s="562"/>
      <c r="I930" s="562"/>
      <c r="J930" s="562"/>
      <c r="K930" s="562"/>
      <c r="L930" s="562"/>
      <c r="M930" s="562"/>
      <c r="N930" s="562"/>
      <c r="O930" s="569"/>
      <c r="P930" s="570"/>
      <c r="Q930" s="562"/>
      <c r="R930" s="562"/>
      <c r="S930" s="562"/>
      <c r="T930" s="562"/>
      <c r="U930" s="562"/>
      <c r="V930" s="562"/>
      <c r="W930" s="562"/>
      <c r="X930" s="562"/>
      <c r="Y930" s="562"/>
      <c r="Z930" s="562"/>
    </row>
    <row r="931" ht="12.0" customHeight="1">
      <c r="A931" s="562"/>
      <c r="B931" s="562"/>
      <c r="C931" s="562"/>
      <c r="D931" s="562"/>
      <c r="E931" s="562"/>
      <c r="F931" s="562"/>
      <c r="G931" s="562"/>
      <c r="H931" s="562"/>
      <c r="I931" s="562"/>
      <c r="J931" s="562"/>
      <c r="K931" s="562"/>
      <c r="L931" s="562"/>
      <c r="M931" s="562"/>
      <c r="N931" s="562"/>
      <c r="O931" s="569"/>
      <c r="P931" s="570"/>
      <c r="Q931" s="562"/>
      <c r="R931" s="562"/>
      <c r="S931" s="562"/>
      <c r="T931" s="562"/>
      <c r="U931" s="562"/>
      <c r="V931" s="562"/>
      <c r="W931" s="562"/>
      <c r="X931" s="562"/>
      <c r="Y931" s="562"/>
      <c r="Z931" s="562"/>
    </row>
    <row r="932" ht="12.0" customHeight="1">
      <c r="A932" s="562"/>
      <c r="B932" s="562"/>
      <c r="C932" s="562"/>
      <c r="D932" s="562"/>
      <c r="E932" s="562"/>
      <c r="F932" s="562"/>
      <c r="G932" s="562"/>
      <c r="H932" s="562"/>
      <c r="I932" s="562"/>
      <c r="J932" s="562"/>
      <c r="K932" s="562"/>
      <c r="L932" s="562"/>
      <c r="M932" s="562"/>
      <c r="N932" s="562"/>
      <c r="O932" s="569"/>
      <c r="P932" s="570"/>
      <c r="Q932" s="562"/>
      <c r="R932" s="562"/>
      <c r="S932" s="562"/>
      <c r="T932" s="562"/>
      <c r="U932" s="562"/>
      <c r="V932" s="562"/>
      <c r="W932" s="562"/>
      <c r="X932" s="562"/>
      <c r="Y932" s="562"/>
      <c r="Z932" s="562"/>
    </row>
    <row r="933" ht="12.0" customHeight="1">
      <c r="A933" s="562"/>
      <c r="B933" s="562"/>
      <c r="C933" s="562"/>
      <c r="D933" s="562"/>
      <c r="E933" s="562"/>
      <c r="F933" s="562"/>
      <c r="G933" s="562"/>
      <c r="H933" s="562"/>
      <c r="I933" s="562"/>
      <c r="J933" s="562"/>
      <c r="K933" s="562"/>
      <c r="L933" s="562"/>
      <c r="M933" s="562"/>
      <c r="N933" s="562"/>
      <c r="O933" s="569"/>
      <c r="P933" s="570"/>
      <c r="Q933" s="562"/>
      <c r="R933" s="562"/>
      <c r="S933" s="562"/>
      <c r="T933" s="562"/>
      <c r="U933" s="562"/>
      <c r="V933" s="562"/>
      <c r="W933" s="562"/>
      <c r="X933" s="562"/>
      <c r="Y933" s="562"/>
      <c r="Z933" s="562"/>
    </row>
    <row r="934" ht="12.0" customHeight="1">
      <c r="A934" s="562"/>
      <c r="B934" s="562"/>
      <c r="C934" s="562"/>
      <c r="D934" s="562"/>
      <c r="E934" s="562"/>
      <c r="F934" s="562"/>
      <c r="G934" s="562"/>
      <c r="H934" s="562"/>
      <c r="I934" s="562"/>
      <c r="J934" s="562"/>
      <c r="K934" s="562"/>
      <c r="L934" s="562"/>
      <c r="M934" s="562"/>
      <c r="N934" s="562"/>
      <c r="O934" s="569"/>
      <c r="P934" s="570"/>
      <c r="Q934" s="562"/>
      <c r="R934" s="562"/>
      <c r="S934" s="562"/>
      <c r="T934" s="562"/>
      <c r="U934" s="562"/>
      <c r="V934" s="562"/>
      <c r="W934" s="562"/>
      <c r="X934" s="562"/>
      <c r="Y934" s="562"/>
      <c r="Z934" s="562"/>
    </row>
    <row r="935" ht="12.0" customHeight="1">
      <c r="A935" s="562"/>
      <c r="B935" s="562"/>
      <c r="C935" s="562"/>
      <c r="D935" s="562"/>
      <c r="E935" s="562"/>
      <c r="F935" s="562"/>
      <c r="G935" s="562"/>
      <c r="H935" s="562"/>
      <c r="I935" s="562"/>
      <c r="J935" s="562"/>
      <c r="K935" s="562"/>
      <c r="L935" s="562"/>
      <c r="M935" s="562"/>
      <c r="N935" s="562"/>
      <c r="O935" s="569"/>
      <c r="P935" s="570"/>
      <c r="Q935" s="562"/>
      <c r="R935" s="562"/>
      <c r="S935" s="562"/>
      <c r="T935" s="562"/>
      <c r="U935" s="562"/>
      <c r="V935" s="562"/>
      <c r="W935" s="562"/>
      <c r="X935" s="562"/>
      <c r="Y935" s="562"/>
      <c r="Z935" s="562"/>
    </row>
    <row r="936" ht="12.0" customHeight="1">
      <c r="A936" s="562"/>
      <c r="B936" s="562"/>
      <c r="C936" s="562"/>
      <c r="D936" s="562"/>
      <c r="E936" s="562"/>
      <c r="F936" s="562"/>
      <c r="G936" s="562"/>
      <c r="H936" s="562"/>
      <c r="I936" s="562"/>
      <c r="J936" s="562"/>
      <c r="K936" s="562"/>
      <c r="L936" s="562"/>
      <c r="M936" s="562"/>
      <c r="N936" s="562"/>
      <c r="O936" s="569"/>
      <c r="P936" s="570"/>
      <c r="Q936" s="562"/>
      <c r="R936" s="562"/>
      <c r="S936" s="562"/>
      <c r="T936" s="562"/>
      <c r="U936" s="562"/>
      <c r="V936" s="562"/>
      <c r="W936" s="562"/>
      <c r="X936" s="562"/>
      <c r="Y936" s="562"/>
      <c r="Z936" s="562"/>
    </row>
    <row r="937" ht="12.0" customHeight="1">
      <c r="A937" s="562"/>
      <c r="B937" s="562"/>
      <c r="C937" s="562"/>
      <c r="D937" s="562"/>
      <c r="E937" s="562"/>
      <c r="F937" s="562"/>
      <c r="G937" s="562"/>
      <c r="H937" s="562"/>
      <c r="I937" s="562"/>
      <c r="J937" s="562"/>
      <c r="K937" s="562"/>
      <c r="L937" s="562"/>
      <c r="M937" s="562"/>
      <c r="N937" s="562"/>
      <c r="O937" s="569"/>
      <c r="P937" s="570"/>
      <c r="Q937" s="562"/>
      <c r="R937" s="562"/>
      <c r="S937" s="562"/>
      <c r="T937" s="562"/>
      <c r="U937" s="562"/>
      <c r="V937" s="562"/>
      <c r="W937" s="562"/>
      <c r="X937" s="562"/>
      <c r="Y937" s="562"/>
      <c r="Z937" s="562"/>
    </row>
    <row r="938" ht="12.0" customHeight="1">
      <c r="A938" s="562"/>
      <c r="B938" s="562"/>
      <c r="C938" s="562"/>
      <c r="D938" s="562"/>
      <c r="E938" s="562"/>
      <c r="F938" s="562"/>
      <c r="G938" s="562"/>
      <c r="H938" s="562"/>
      <c r="I938" s="562"/>
      <c r="J938" s="562"/>
      <c r="K938" s="562"/>
      <c r="L938" s="562"/>
      <c r="M938" s="562"/>
      <c r="N938" s="562"/>
      <c r="O938" s="569"/>
      <c r="P938" s="570"/>
      <c r="Q938" s="562"/>
      <c r="R938" s="562"/>
      <c r="S938" s="562"/>
      <c r="T938" s="562"/>
      <c r="U938" s="562"/>
      <c r="V938" s="562"/>
      <c r="W938" s="562"/>
      <c r="X938" s="562"/>
      <c r="Y938" s="562"/>
      <c r="Z938" s="562"/>
    </row>
    <row r="939" ht="12.0" customHeight="1">
      <c r="A939" s="562"/>
      <c r="B939" s="562"/>
      <c r="C939" s="562"/>
      <c r="D939" s="562"/>
      <c r="E939" s="562"/>
      <c r="F939" s="562"/>
      <c r="G939" s="562"/>
      <c r="H939" s="562"/>
      <c r="I939" s="562"/>
      <c r="J939" s="562"/>
      <c r="K939" s="562"/>
      <c r="L939" s="562"/>
      <c r="M939" s="562"/>
      <c r="N939" s="562"/>
      <c r="O939" s="569"/>
      <c r="P939" s="570"/>
      <c r="Q939" s="562"/>
      <c r="R939" s="562"/>
      <c r="S939" s="562"/>
      <c r="T939" s="562"/>
      <c r="U939" s="562"/>
      <c r="V939" s="562"/>
      <c r="W939" s="562"/>
      <c r="X939" s="562"/>
      <c r="Y939" s="562"/>
      <c r="Z939" s="562"/>
    </row>
    <row r="940" ht="12.0" customHeight="1">
      <c r="A940" s="562"/>
      <c r="B940" s="562"/>
      <c r="C940" s="562"/>
      <c r="D940" s="562"/>
      <c r="E940" s="562"/>
      <c r="F940" s="562"/>
      <c r="G940" s="562"/>
      <c r="H940" s="562"/>
      <c r="I940" s="562"/>
      <c r="J940" s="562"/>
      <c r="K940" s="562"/>
      <c r="L940" s="562"/>
      <c r="M940" s="562"/>
      <c r="N940" s="562"/>
      <c r="O940" s="569"/>
      <c r="P940" s="570"/>
      <c r="Q940" s="562"/>
      <c r="R940" s="562"/>
      <c r="S940" s="562"/>
      <c r="T940" s="562"/>
      <c r="U940" s="562"/>
      <c r="V940" s="562"/>
      <c r="W940" s="562"/>
      <c r="X940" s="562"/>
      <c r="Y940" s="562"/>
      <c r="Z940" s="562"/>
    </row>
    <row r="941" ht="12.0" customHeight="1">
      <c r="A941" s="562"/>
      <c r="B941" s="562"/>
      <c r="C941" s="562"/>
      <c r="D941" s="562"/>
      <c r="E941" s="562"/>
      <c r="F941" s="562"/>
      <c r="G941" s="562"/>
      <c r="H941" s="562"/>
      <c r="I941" s="562"/>
      <c r="J941" s="562"/>
      <c r="K941" s="562"/>
      <c r="L941" s="562"/>
      <c r="M941" s="562"/>
      <c r="N941" s="562"/>
      <c r="O941" s="569"/>
      <c r="P941" s="570"/>
      <c r="Q941" s="562"/>
      <c r="R941" s="562"/>
      <c r="S941" s="562"/>
      <c r="T941" s="562"/>
      <c r="U941" s="562"/>
      <c r="V941" s="562"/>
      <c r="W941" s="562"/>
      <c r="X941" s="562"/>
      <c r="Y941" s="562"/>
      <c r="Z941" s="562"/>
    </row>
    <row r="942" ht="12.0" customHeight="1">
      <c r="A942" s="562"/>
      <c r="B942" s="562"/>
      <c r="C942" s="562"/>
      <c r="D942" s="562"/>
      <c r="E942" s="562"/>
      <c r="F942" s="562"/>
      <c r="G942" s="562"/>
      <c r="H942" s="562"/>
      <c r="I942" s="562"/>
      <c r="J942" s="562"/>
      <c r="K942" s="562"/>
      <c r="L942" s="562"/>
      <c r="M942" s="562"/>
      <c r="N942" s="562"/>
      <c r="O942" s="569"/>
      <c r="P942" s="570"/>
      <c r="Q942" s="562"/>
      <c r="R942" s="562"/>
      <c r="S942" s="562"/>
      <c r="T942" s="562"/>
      <c r="U942" s="562"/>
      <c r="V942" s="562"/>
      <c r="W942" s="562"/>
      <c r="X942" s="562"/>
      <c r="Y942" s="562"/>
      <c r="Z942" s="562"/>
    </row>
    <row r="943" ht="12.0" customHeight="1">
      <c r="A943" s="562"/>
      <c r="B943" s="562"/>
      <c r="C943" s="562"/>
      <c r="D943" s="562"/>
      <c r="E943" s="562"/>
      <c r="F943" s="562"/>
      <c r="G943" s="562"/>
      <c r="H943" s="562"/>
      <c r="I943" s="562"/>
      <c r="J943" s="562"/>
      <c r="K943" s="562"/>
      <c r="L943" s="562"/>
      <c r="M943" s="562"/>
      <c r="N943" s="562"/>
      <c r="O943" s="569"/>
      <c r="P943" s="570"/>
      <c r="Q943" s="562"/>
      <c r="R943" s="562"/>
      <c r="S943" s="562"/>
      <c r="T943" s="562"/>
      <c r="U943" s="562"/>
      <c r="V943" s="562"/>
      <c r="W943" s="562"/>
      <c r="X943" s="562"/>
      <c r="Y943" s="562"/>
      <c r="Z943" s="562"/>
    </row>
    <row r="944" ht="12.0" customHeight="1">
      <c r="A944" s="562"/>
      <c r="B944" s="562"/>
      <c r="C944" s="562"/>
      <c r="D944" s="562"/>
      <c r="E944" s="562"/>
      <c r="F944" s="562"/>
      <c r="G944" s="562"/>
      <c r="H944" s="562"/>
      <c r="I944" s="562"/>
      <c r="J944" s="562"/>
      <c r="K944" s="562"/>
      <c r="L944" s="562"/>
      <c r="M944" s="562"/>
      <c r="N944" s="562"/>
      <c r="O944" s="569"/>
      <c r="P944" s="570"/>
      <c r="Q944" s="562"/>
      <c r="R944" s="562"/>
      <c r="S944" s="562"/>
      <c r="T944" s="562"/>
      <c r="U944" s="562"/>
      <c r="V944" s="562"/>
      <c r="W944" s="562"/>
      <c r="X944" s="562"/>
      <c r="Y944" s="562"/>
      <c r="Z944" s="562"/>
    </row>
    <row r="945" ht="12.0" customHeight="1">
      <c r="A945" s="562"/>
      <c r="B945" s="562"/>
      <c r="C945" s="562"/>
      <c r="D945" s="562"/>
      <c r="E945" s="562"/>
      <c r="F945" s="562"/>
      <c r="G945" s="562"/>
      <c r="H945" s="562"/>
      <c r="I945" s="562"/>
      <c r="J945" s="562"/>
      <c r="K945" s="562"/>
      <c r="L945" s="562"/>
      <c r="M945" s="562"/>
      <c r="N945" s="562"/>
      <c r="O945" s="569"/>
      <c r="P945" s="570"/>
      <c r="Q945" s="562"/>
      <c r="R945" s="562"/>
      <c r="S945" s="562"/>
      <c r="T945" s="562"/>
      <c r="U945" s="562"/>
      <c r="V945" s="562"/>
      <c r="W945" s="562"/>
      <c r="X945" s="562"/>
      <c r="Y945" s="562"/>
      <c r="Z945" s="562"/>
    </row>
    <row r="946" ht="12.0" customHeight="1">
      <c r="A946" s="562"/>
      <c r="B946" s="562"/>
      <c r="C946" s="562"/>
      <c r="D946" s="562"/>
      <c r="E946" s="562"/>
      <c r="F946" s="562"/>
      <c r="G946" s="562"/>
      <c r="H946" s="562"/>
      <c r="I946" s="562"/>
      <c r="J946" s="562"/>
      <c r="K946" s="562"/>
      <c r="L946" s="562"/>
      <c r="M946" s="562"/>
      <c r="N946" s="562"/>
      <c r="O946" s="569"/>
      <c r="P946" s="570"/>
      <c r="Q946" s="562"/>
      <c r="R946" s="562"/>
      <c r="S946" s="562"/>
      <c r="T946" s="562"/>
      <c r="U946" s="562"/>
      <c r="V946" s="562"/>
      <c r="W946" s="562"/>
      <c r="X946" s="562"/>
      <c r="Y946" s="562"/>
      <c r="Z946" s="562"/>
    </row>
    <row r="947" ht="12.0" customHeight="1">
      <c r="A947" s="562"/>
      <c r="B947" s="562"/>
      <c r="C947" s="562"/>
      <c r="D947" s="562"/>
      <c r="E947" s="562"/>
      <c r="F947" s="562"/>
      <c r="G947" s="562"/>
      <c r="H947" s="562"/>
      <c r="I947" s="562"/>
      <c r="J947" s="562"/>
      <c r="K947" s="562"/>
      <c r="L947" s="562"/>
      <c r="M947" s="562"/>
      <c r="N947" s="562"/>
      <c r="O947" s="569"/>
      <c r="P947" s="570"/>
      <c r="Q947" s="562"/>
      <c r="R947" s="562"/>
      <c r="S947" s="562"/>
      <c r="T947" s="562"/>
      <c r="U947" s="562"/>
      <c r="V947" s="562"/>
      <c r="W947" s="562"/>
      <c r="X947" s="562"/>
      <c r="Y947" s="562"/>
      <c r="Z947" s="562"/>
    </row>
    <row r="948" ht="12.0" customHeight="1">
      <c r="A948" s="562"/>
      <c r="B948" s="562"/>
      <c r="C948" s="562"/>
      <c r="D948" s="562"/>
      <c r="E948" s="562"/>
      <c r="F948" s="562"/>
      <c r="G948" s="562"/>
      <c r="H948" s="562"/>
      <c r="I948" s="562"/>
      <c r="J948" s="562"/>
      <c r="K948" s="562"/>
      <c r="L948" s="562"/>
      <c r="M948" s="562"/>
      <c r="N948" s="562"/>
      <c r="O948" s="569"/>
      <c r="P948" s="570"/>
      <c r="Q948" s="562"/>
      <c r="R948" s="562"/>
      <c r="S948" s="562"/>
      <c r="T948" s="562"/>
      <c r="U948" s="562"/>
      <c r="V948" s="562"/>
      <c r="W948" s="562"/>
      <c r="X948" s="562"/>
      <c r="Y948" s="562"/>
      <c r="Z948" s="562"/>
    </row>
    <row r="949" ht="12.0" customHeight="1">
      <c r="A949" s="562"/>
      <c r="B949" s="562"/>
      <c r="C949" s="562"/>
      <c r="D949" s="562"/>
      <c r="E949" s="562"/>
      <c r="F949" s="562"/>
      <c r="G949" s="562"/>
      <c r="H949" s="562"/>
      <c r="I949" s="562"/>
      <c r="J949" s="562"/>
      <c r="K949" s="562"/>
      <c r="L949" s="562"/>
      <c r="M949" s="562"/>
      <c r="N949" s="562"/>
      <c r="O949" s="569"/>
      <c r="P949" s="570"/>
      <c r="Q949" s="562"/>
      <c r="R949" s="562"/>
      <c r="S949" s="562"/>
      <c r="T949" s="562"/>
      <c r="U949" s="562"/>
      <c r="V949" s="562"/>
      <c r="W949" s="562"/>
      <c r="X949" s="562"/>
      <c r="Y949" s="562"/>
      <c r="Z949" s="562"/>
    </row>
    <row r="950" ht="12.0" customHeight="1">
      <c r="A950" s="562"/>
      <c r="B950" s="562"/>
      <c r="C950" s="562"/>
      <c r="D950" s="562"/>
      <c r="E950" s="562"/>
      <c r="F950" s="562"/>
      <c r="G950" s="562"/>
      <c r="H950" s="562"/>
      <c r="I950" s="562"/>
      <c r="J950" s="562"/>
      <c r="K950" s="562"/>
      <c r="L950" s="562"/>
      <c r="M950" s="562"/>
      <c r="N950" s="562"/>
      <c r="O950" s="569"/>
      <c r="P950" s="570"/>
      <c r="Q950" s="562"/>
      <c r="R950" s="562"/>
      <c r="S950" s="562"/>
      <c r="T950" s="562"/>
      <c r="U950" s="562"/>
      <c r="V950" s="562"/>
      <c r="W950" s="562"/>
      <c r="X950" s="562"/>
      <c r="Y950" s="562"/>
      <c r="Z950" s="562"/>
    </row>
    <row r="951" ht="12.0" customHeight="1">
      <c r="A951" s="562"/>
      <c r="B951" s="562"/>
      <c r="C951" s="562"/>
      <c r="D951" s="562"/>
      <c r="E951" s="562"/>
      <c r="F951" s="562"/>
      <c r="G951" s="562"/>
      <c r="H951" s="562"/>
      <c r="I951" s="562"/>
      <c r="J951" s="562"/>
      <c r="K951" s="562"/>
      <c r="L951" s="562"/>
      <c r="M951" s="562"/>
      <c r="N951" s="562"/>
      <c r="O951" s="569"/>
      <c r="P951" s="570"/>
      <c r="Q951" s="562"/>
      <c r="R951" s="562"/>
      <c r="S951" s="562"/>
      <c r="T951" s="562"/>
      <c r="U951" s="562"/>
      <c r="V951" s="562"/>
      <c r="W951" s="562"/>
      <c r="X951" s="562"/>
      <c r="Y951" s="562"/>
      <c r="Z951" s="562"/>
    </row>
    <row r="952" ht="12.0" customHeight="1">
      <c r="A952" s="562"/>
      <c r="B952" s="562"/>
      <c r="C952" s="562"/>
      <c r="D952" s="562"/>
      <c r="E952" s="562"/>
      <c r="F952" s="562"/>
      <c r="G952" s="562"/>
      <c r="H952" s="562"/>
      <c r="I952" s="562"/>
      <c r="J952" s="562"/>
      <c r="K952" s="562"/>
      <c r="L952" s="562"/>
      <c r="M952" s="562"/>
      <c r="N952" s="562"/>
      <c r="O952" s="569"/>
      <c r="P952" s="570"/>
      <c r="Q952" s="562"/>
      <c r="R952" s="562"/>
      <c r="S952" s="562"/>
      <c r="T952" s="562"/>
      <c r="U952" s="562"/>
      <c r="V952" s="562"/>
      <c r="W952" s="562"/>
      <c r="X952" s="562"/>
      <c r="Y952" s="562"/>
      <c r="Z952" s="562"/>
    </row>
    <row r="953" ht="12.0" customHeight="1">
      <c r="A953" s="562"/>
      <c r="B953" s="562"/>
      <c r="C953" s="562"/>
      <c r="D953" s="562"/>
      <c r="E953" s="562"/>
      <c r="F953" s="562"/>
      <c r="G953" s="562"/>
      <c r="H953" s="562"/>
      <c r="I953" s="562"/>
      <c r="J953" s="562"/>
      <c r="K953" s="562"/>
      <c r="L953" s="562"/>
      <c r="M953" s="562"/>
      <c r="N953" s="562"/>
      <c r="O953" s="569"/>
      <c r="P953" s="570"/>
      <c r="Q953" s="562"/>
      <c r="R953" s="562"/>
      <c r="S953" s="562"/>
      <c r="T953" s="562"/>
      <c r="U953" s="562"/>
      <c r="V953" s="562"/>
      <c r="W953" s="562"/>
      <c r="X953" s="562"/>
      <c r="Y953" s="562"/>
      <c r="Z953" s="562"/>
    </row>
    <row r="954" ht="12.0" customHeight="1">
      <c r="A954" s="562"/>
      <c r="B954" s="562"/>
      <c r="C954" s="562"/>
      <c r="D954" s="562"/>
      <c r="E954" s="562"/>
      <c r="F954" s="562"/>
      <c r="G954" s="562"/>
      <c r="H954" s="562"/>
      <c r="I954" s="562"/>
      <c r="J954" s="562"/>
      <c r="K954" s="562"/>
      <c r="L954" s="562"/>
      <c r="M954" s="562"/>
      <c r="N954" s="562"/>
      <c r="O954" s="569"/>
      <c r="P954" s="570"/>
      <c r="Q954" s="562"/>
      <c r="R954" s="562"/>
      <c r="S954" s="562"/>
      <c r="T954" s="562"/>
      <c r="U954" s="562"/>
      <c r="V954" s="562"/>
      <c r="W954" s="562"/>
      <c r="X954" s="562"/>
      <c r="Y954" s="562"/>
      <c r="Z954" s="562"/>
    </row>
    <row r="955" ht="12.0" customHeight="1">
      <c r="A955" s="562"/>
      <c r="B955" s="562"/>
      <c r="C955" s="562"/>
      <c r="D955" s="562"/>
      <c r="E955" s="562"/>
      <c r="F955" s="562"/>
      <c r="G955" s="562"/>
      <c r="H955" s="562"/>
      <c r="I955" s="562"/>
      <c r="J955" s="562"/>
      <c r="K955" s="562"/>
      <c r="L955" s="562"/>
      <c r="M955" s="562"/>
      <c r="N955" s="562"/>
      <c r="O955" s="569"/>
      <c r="P955" s="570"/>
      <c r="Q955" s="562"/>
      <c r="R955" s="562"/>
      <c r="S955" s="562"/>
      <c r="T955" s="562"/>
      <c r="U955" s="562"/>
      <c r="V955" s="562"/>
      <c r="W955" s="562"/>
      <c r="X955" s="562"/>
      <c r="Y955" s="562"/>
      <c r="Z955" s="562"/>
    </row>
    <row r="956" ht="12.0" customHeight="1">
      <c r="A956" s="562"/>
      <c r="B956" s="562"/>
      <c r="C956" s="562"/>
      <c r="D956" s="562"/>
      <c r="E956" s="562"/>
      <c r="F956" s="562"/>
      <c r="G956" s="562"/>
      <c r="H956" s="562"/>
      <c r="I956" s="562"/>
      <c r="J956" s="562"/>
      <c r="K956" s="562"/>
      <c r="L956" s="562"/>
      <c r="M956" s="562"/>
      <c r="N956" s="562"/>
      <c r="O956" s="569"/>
      <c r="P956" s="570"/>
      <c r="Q956" s="562"/>
      <c r="R956" s="562"/>
      <c r="S956" s="562"/>
      <c r="T956" s="562"/>
      <c r="U956" s="562"/>
      <c r="V956" s="562"/>
      <c r="W956" s="562"/>
      <c r="X956" s="562"/>
      <c r="Y956" s="562"/>
      <c r="Z956" s="562"/>
    </row>
    <row r="957" ht="12.0" customHeight="1">
      <c r="A957" s="562"/>
      <c r="B957" s="562"/>
      <c r="C957" s="562"/>
      <c r="D957" s="562"/>
      <c r="E957" s="562"/>
      <c r="F957" s="562"/>
      <c r="G957" s="562"/>
      <c r="H957" s="562"/>
      <c r="I957" s="562"/>
      <c r="J957" s="562"/>
      <c r="K957" s="562"/>
      <c r="L957" s="562"/>
      <c r="M957" s="562"/>
      <c r="N957" s="562"/>
      <c r="O957" s="569"/>
      <c r="P957" s="570"/>
      <c r="Q957" s="562"/>
      <c r="R957" s="562"/>
      <c r="S957" s="562"/>
      <c r="T957" s="562"/>
      <c r="U957" s="562"/>
      <c r="V957" s="562"/>
      <c r="W957" s="562"/>
      <c r="X957" s="562"/>
      <c r="Y957" s="562"/>
      <c r="Z957" s="562"/>
    </row>
    <row r="958" ht="12.0" customHeight="1">
      <c r="A958" s="562"/>
      <c r="B958" s="562"/>
      <c r="C958" s="562"/>
      <c r="D958" s="562"/>
      <c r="E958" s="562"/>
      <c r="F958" s="562"/>
      <c r="G958" s="562"/>
      <c r="H958" s="562"/>
      <c r="I958" s="562"/>
      <c r="J958" s="562"/>
      <c r="K958" s="562"/>
      <c r="L958" s="562"/>
      <c r="M958" s="562"/>
      <c r="N958" s="562"/>
      <c r="O958" s="569"/>
      <c r="P958" s="570"/>
      <c r="Q958" s="562"/>
      <c r="R958" s="562"/>
      <c r="S958" s="562"/>
      <c r="T958" s="562"/>
      <c r="U958" s="562"/>
      <c r="V958" s="562"/>
      <c r="W958" s="562"/>
      <c r="X958" s="562"/>
      <c r="Y958" s="562"/>
      <c r="Z958" s="562"/>
    </row>
    <row r="959" ht="12.0" customHeight="1">
      <c r="A959" s="562"/>
      <c r="B959" s="562"/>
      <c r="C959" s="562"/>
      <c r="D959" s="562"/>
      <c r="E959" s="562"/>
      <c r="F959" s="562"/>
      <c r="G959" s="562"/>
      <c r="H959" s="562"/>
      <c r="I959" s="562"/>
      <c r="J959" s="562"/>
      <c r="K959" s="562"/>
      <c r="L959" s="562"/>
      <c r="M959" s="562"/>
      <c r="N959" s="562"/>
      <c r="O959" s="569"/>
      <c r="P959" s="570"/>
      <c r="Q959" s="562"/>
      <c r="R959" s="562"/>
      <c r="S959" s="562"/>
      <c r="T959" s="562"/>
      <c r="U959" s="562"/>
      <c r="V959" s="562"/>
      <c r="W959" s="562"/>
      <c r="X959" s="562"/>
      <c r="Y959" s="562"/>
      <c r="Z959" s="562"/>
    </row>
    <row r="960" ht="12.0" customHeight="1">
      <c r="A960" s="562"/>
      <c r="B960" s="562"/>
      <c r="C960" s="562"/>
      <c r="D960" s="562"/>
      <c r="E960" s="562"/>
      <c r="F960" s="562"/>
      <c r="G960" s="562"/>
      <c r="H960" s="562"/>
      <c r="I960" s="562"/>
      <c r="J960" s="562"/>
      <c r="K960" s="562"/>
      <c r="L960" s="562"/>
      <c r="M960" s="562"/>
      <c r="N960" s="562"/>
      <c r="O960" s="569"/>
      <c r="P960" s="570"/>
      <c r="Q960" s="562"/>
      <c r="R960" s="562"/>
      <c r="S960" s="562"/>
      <c r="T960" s="562"/>
      <c r="U960" s="562"/>
      <c r="V960" s="562"/>
      <c r="W960" s="562"/>
      <c r="X960" s="562"/>
      <c r="Y960" s="562"/>
      <c r="Z960" s="562"/>
    </row>
    <row r="961" ht="12.0" customHeight="1">
      <c r="A961" s="562"/>
      <c r="B961" s="562"/>
      <c r="C961" s="562"/>
      <c r="D961" s="562"/>
      <c r="E961" s="562"/>
      <c r="F961" s="562"/>
      <c r="G961" s="562"/>
      <c r="H961" s="562"/>
      <c r="I961" s="562"/>
      <c r="J961" s="562"/>
      <c r="K961" s="562"/>
      <c r="L961" s="562"/>
      <c r="M961" s="562"/>
      <c r="N961" s="562"/>
      <c r="O961" s="569"/>
      <c r="P961" s="570"/>
      <c r="Q961" s="562"/>
      <c r="R961" s="562"/>
      <c r="S961" s="562"/>
      <c r="T961" s="562"/>
      <c r="U961" s="562"/>
      <c r="V961" s="562"/>
      <c r="W961" s="562"/>
      <c r="X961" s="562"/>
      <c r="Y961" s="562"/>
      <c r="Z961" s="562"/>
    </row>
    <row r="962" ht="12.0" customHeight="1">
      <c r="A962" s="562"/>
      <c r="B962" s="562"/>
      <c r="C962" s="562"/>
      <c r="D962" s="562"/>
      <c r="E962" s="562"/>
      <c r="F962" s="562"/>
      <c r="G962" s="562"/>
      <c r="H962" s="562"/>
      <c r="I962" s="562"/>
      <c r="J962" s="562"/>
      <c r="K962" s="562"/>
      <c r="L962" s="562"/>
      <c r="M962" s="562"/>
      <c r="N962" s="562"/>
      <c r="O962" s="569"/>
      <c r="P962" s="570"/>
      <c r="Q962" s="562"/>
      <c r="R962" s="562"/>
      <c r="S962" s="562"/>
      <c r="T962" s="562"/>
      <c r="U962" s="562"/>
      <c r="V962" s="562"/>
      <c r="W962" s="562"/>
      <c r="X962" s="562"/>
      <c r="Y962" s="562"/>
      <c r="Z962" s="562"/>
    </row>
    <row r="963" ht="12.0" customHeight="1">
      <c r="A963" s="562"/>
      <c r="B963" s="562"/>
      <c r="C963" s="562"/>
      <c r="D963" s="562"/>
      <c r="E963" s="562"/>
      <c r="F963" s="562"/>
      <c r="G963" s="562"/>
      <c r="H963" s="562"/>
      <c r="I963" s="562"/>
      <c r="J963" s="562"/>
      <c r="K963" s="562"/>
      <c r="L963" s="562"/>
      <c r="M963" s="562"/>
      <c r="N963" s="562"/>
      <c r="O963" s="569"/>
      <c r="P963" s="570"/>
      <c r="Q963" s="562"/>
      <c r="R963" s="562"/>
      <c r="S963" s="562"/>
      <c r="T963" s="562"/>
      <c r="U963" s="562"/>
      <c r="V963" s="562"/>
      <c r="W963" s="562"/>
      <c r="X963" s="562"/>
      <c r="Y963" s="562"/>
      <c r="Z963" s="562"/>
    </row>
    <row r="964" ht="12.0" customHeight="1">
      <c r="A964" s="562"/>
      <c r="B964" s="562"/>
      <c r="C964" s="562"/>
      <c r="D964" s="562"/>
      <c r="E964" s="562"/>
      <c r="F964" s="562"/>
      <c r="G964" s="562"/>
      <c r="H964" s="562"/>
      <c r="I964" s="562"/>
      <c r="J964" s="562"/>
      <c r="K964" s="562"/>
      <c r="L964" s="562"/>
      <c r="M964" s="562"/>
      <c r="N964" s="562"/>
      <c r="O964" s="569"/>
      <c r="P964" s="570"/>
      <c r="Q964" s="562"/>
      <c r="R964" s="562"/>
      <c r="S964" s="562"/>
      <c r="T964" s="562"/>
      <c r="U964" s="562"/>
      <c r="V964" s="562"/>
      <c r="W964" s="562"/>
      <c r="X964" s="562"/>
      <c r="Y964" s="562"/>
      <c r="Z964" s="562"/>
    </row>
    <row r="965" ht="12.0" customHeight="1">
      <c r="A965" s="562"/>
      <c r="B965" s="562"/>
      <c r="C965" s="562"/>
      <c r="D965" s="562"/>
      <c r="E965" s="562"/>
      <c r="F965" s="562"/>
      <c r="G965" s="562"/>
      <c r="H965" s="562"/>
      <c r="I965" s="562"/>
      <c r="J965" s="562"/>
      <c r="K965" s="562"/>
      <c r="L965" s="562"/>
      <c r="M965" s="562"/>
      <c r="N965" s="562"/>
      <c r="O965" s="569"/>
      <c r="P965" s="570"/>
      <c r="Q965" s="562"/>
      <c r="R965" s="562"/>
      <c r="S965" s="562"/>
      <c r="T965" s="562"/>
      <c r="U965" s="562"/>
      <c r="V965" s="562"/>
      <c r="W965" s="562"/>
      <c r="X965" s="562"/>
      <c r="Y965" s="562"/>
      <c r="Z965" s="562"/>
    </row>
    <row r="966" ht="12.0" customHeight="1">
      <c r="A966" s="562"/>
      <c r="B966" s="562"/>
      <c r="C966" s="562"/>
      <c r="D966" s="562"/>
      <c r="E966" s="562"/>
      <c r="F966" s="562"/>
      <c r="G966" s="562"/>
      <c r="H966" s="562"/>
      <c r="I966" s="562"/>
      <c r="J966" s="562"/>
      <c r="K966" s="562"/>
      <c r="L966" s="562"/>
      <c r="M966" s="562"/>
      <c r="N966" s="562"/>
      <c r="O966" s="569"/>
      <c r="P966" s="570"/>
      <c r="Q966" s="562"/>
      <c r="R966" s="562"/>
      <c r="S966" s="562"/>
      <c r="T966" s="562"/>
      <c r="U966" s="562"/>
      <c r="V966" s="562"/>
      <c r="W966" s="562"/>
      <c r="X966" s="562"/>
      <c r="Y966" s="562"/>
      <c r="Z966" s="562"/>
    </row>
    <row r="967" ht="12.0" customHeight="1">
      <c r="A967" s="562"/>
      <c r="B967" s="562"/>
      <c r="C967" s="562"/>
      <c r="D967" s="562"/>
      <c r="E967" s="562"/>
      <c r="F967" s="562"/>
      <c r="G967" s="562"/>
      <c r="H967" s="562"/>
      <c r="I967" s="562"/>
      <c r="J967" s="562"/>
      <c r="K967" s="562"/>
      <c r="L967" s="562"/>
      <c r="M967" s="562"/>
      <c r="N967" s="562"/>
      <c r="O967" s="569"/>
      <c r="P967" s="570"/>
      <c r="Q967" s="562"/>
      <c r="R967" s="562"/>
      <c r="S967" s="562"/>
      <c r="T967" s="562"/>
      <c r="U967" s="562"/>
      <c r="V967" s="562"/>
      <c r="W967" s="562"/>
      <c r="X967" s="562"/>
      <c r="Y967" s="562"/>
      <c r="Z967" s="562"/>
    </row>
    <row r="968" ht="12.0" customHeight="1">
      <c r="A968" s="562"/>
      <c r="B968" s="562"/>
      <c r="C968" s="562"/>
      <c r="D968" s="562"/>
      <c r="E968" s="562"/>
      <c r="F968" s="562"/>
      <c r="G968" s="562"/>
      <c r="H968" s="562"/>
      <c r="I968" s="562"/>
      <c r="J968" s="562"/>
      <c r="K968" s="562"/>
      <c r="L968" s="562"/>
      <c r="M968" s="562"/>
      <c r="N968" s="562"/>
      <c r="O968" s="569"/>
      <c r="P968" s="570"/>
      <c r="Q968" s="562"/>
      <c r="R968" s="562"/>
      <c r="S968" s="562"/>
      <c r="T968" s="562"/>
      <c r="U968" s="562"/>
      <c r="V968" s="562"/>
      <c r="W968" s="562"/>
      <c r="X968" s="562"/>
      <c r="Y968" s="562"/>
      <c r="Z968" s="562"/>
    </row>
    <row r="969" ht="12.0" customHeight="1">
      <c r="A969" s="562"/>
      <c r="B969" s="562"/>
      <c r="C969" s="562"/>
      <c r="D969" s="562"/>
      <c r="E969" s="562"/>
      <c r="F969" s="562"/>
      <c r="G969" s="562"/>
      <c r="H969" s="562"/>
      <c r="I969" s="562"/>
      <c r="J969" s="562"/>
      <c r="K969" s="562"/>
      <c r="L969" s="562"/>
      <c r="M969" s="562"/>
      <c r="N969" s="562"/>
      <c r="O969" s="569"/>
      <c r="P969" s="570"/>
      <c r="Q969" s="562"/>
      <c r="R969" s="562"/>
      <c r="S969" s="562"/>
      <c r="T969" s="562"/>
      <c r="U969" s="562"/>
      <c r="V969" s="562"/>
      <c r="W969" s="562"/>
      <c r="X969" s="562"/>
      <c r="Y969" s="562"/>
      <c r="Z969" s="562"/>
    </row>
    <row r="970" ht="12.0" customHeight="1">
      <c r="A970" s="562"/>
      <c r="B970" s="562"/>
      <c r="C970" s="562"/>
      <c r="D970" s="562"/>
      <c r="E970" s="562"/>
      <c r="F970" s="562"/>
      <c r="G970" s="562"/>
      <c r="H970" s="562"/>
      <c r="I970" s="562"/>
      <c r="J970" s="562"/>
      <c r="K970" s="562"/>
      <c r="L970" s="562"/>
      <c r="M970" s="562"/>
      <c r="N970" s="562"/>
      <c r="O970" s="569"/>
      <c r="P970" s="570"/>
      <c r="Q970" s="562"/>
      <c r="R970" s="562"/>
      <c r="S970" s="562"/>
      <c r="T970" s="562"/>
      <c r="U970" s="562"/>
      <c r="V970" s="562"/>
      <c r="W970" s="562"/>
      <c r="X970" s="562"/>
      <c r="Y970" s="562"/>
      <c r="Z970" s="562"/>
    </row>
    <row r="971" ht="12.0" customHeight="1">
      <c r="A971" s="562"/>
      <c r="B971" s="562"/>
      <c r="C971" s="562"/>
      <c r="D971" s="562"/>
      <c r="E971" s="562"/>
      <c r="F971" s="562"/>
      <c r="G971" s="562"/>
      <c r="H971" s="562"/>
      <c r="I971" s="562"/>
      <c r="J971" s="562"/>
      <c r="K971" s="562"/>
      <c r="L971" s="562"/>
      <c r="M971" s="562"/>
      <c r="N971" s="562"/>
      <c r="O971" s="569"/>
      <c r="P971" s="570"/>
      <c r="Q971" s="562"/>
      <c r="R971" s="562"/>
      <c r="S971" s="562"/>
      <c r="T971" s="562"/>
      <c r="U971" s="562"/>
      <c r="V971" s="562"/>
      <c r="W971" s="562"/>
      <c r="X971" s="562"/>
      <c r="Y971" s="562"/>
      <c r="Z971" s="562"/>
    </row>
    <row r="972" ht="12.0" customHeight="1">
      <c r="A972" s="562"/>
      <c r="B972" s="562"/>
      <c r="C972" s="562"/>
      <c r="D972" s="562"/>
      <c r="E972" s="562"/>
      <c r="F972" s="562"/>
      <c r="G972" s="562"/>
      <c r="H972" s="562"/>
      <c r="I972" s="562"/>
      <c r="J972" s="562"/>
      <c r="K972" s="562"/>
      <c r="L972" s="562"/>
      <c r="M972" s="562"/>
      <c r="N972" s="562"/>
      <c r="O972" s="569"/>
      <c r="P972" s="570"/>
      <c r="Q972" s="562"/>
      <c r="R972" s="562"/>
      <c r="S972" s="562"/>
      <c r="T972" s="562"/>
      <c r="U972" s="562"/>
      <c r="V972" s="562"/>
      <c r="W972" s="562"/>
      <c r="X972" s="562"/>
      <c r="Y972" s="562"/>
      <c r="Z972" s="562"/>
    </row>
    <row r="973" ht="12.0" customHeight="1">
      <c r="A973" s="562"/>
      <c r="B973" s="562"/>
      <c r="C973" s="562"/>
      <c r="D973" s="562"/>
      <c r="E973" s="562"/>
      <c r="F973" s="562"/>
      <c r="G973" s="562"/>
      <c r="H973" s="562"/>
      <c r="I973" s="562"/>
      <c r="J973" s="562"/>
      <c r="K973" s="562"/>
      <c r="L973" s="562"/>
      <c r="M973" s="562"/>
      <c r="N973" s="562"/>
      <c r="O973" s="569"/>
      <c r="P973" s="570"/>
      <c r="Q973" s="562"/>
      <c r="R973" s="562"/>
      <c r="S973" s="562"/>
      <c r="T973" s="562"/>
      <c r="U973" s="562"/>
      <c r="V973" s="562"/>
      <c r="W973" s="562"/>
      <c r="X973" s="562"/>
      <c r="Y973" s="562"/>
      <c r="Z973" s="562"/>
    </row>
    <row r="974" ht="12.0" customHeight="1">
      <c r="A974" s="562"/>
      <c r="B974" s="562"/>
      <c r="C974" s="562"/>
      <c r="D974" s="562"/>
      <c r="E974" s="562"/>
      <c r="F974" s="562"/>
      <c r="G974" s="562"/>
      <c r="H974" s="562"/>
      <c r="I974" s="562"/>
      <c r="J974" s="562"/>
      <c r="K974" s="562"/>
      <c r="L974" s="562"/>
      <c r="M974" s="562"/>
      <c r="N974" s="562"/>
      <c r="O974" s="569"/>
      <c r="P974" s="570"/>
      <c r="Q974" s="562"/>
      <c r="R974" s="562"/>
      <c r="S974" s="562"/>
      <c r="T974" s="562"/>
      <c r="U974" s="562"/>
      <c r="V974" s="562"/>
      <c r="W974" s="562"/>
      <c r="X974" s="562"/>
      <c r="Y974" s="562"/>
      <c r="Z974" s="562"/>
    </row>
    <row r="975" ht="12.0" customHeight="1">
      <c r="A975" s="562"/>
      <c r="B975" s="562"/>
      <c r="C975" s="562"/>
      <c r="D975" s="562"/>
      <c r="E975" s="562"/>
      <c r="F975" s="562"/>
      <c r="G975" s="562"/>
      <c r="H975" s="562"/>
      <c r="I975" s="562"/>
      <c r="J975" s="562"/>
      <c r="K975" s="562"/>
      <c r="L975" s="562"/>
      <c r="M975" s="562"/>
      <c r="N975" s="562"/>
      <c r="O975" s="569"/>
      <c r="P975" s="570"/>
      <c r="Q975" s="562"/>
      <c r="R975" s="562"/>
      <c r="S975" s="562"/>
      <c r="T975" s="562"/>
      <c r="U975" s="562"/>
      <c r="V975" s="562"/>
      <c r="W975" s="562"/>
      <c r="X975" s="562"/>
      <c r="Y975" s="562"/>
      <c r="Z975" s="562"/>
    </row>
    <row r="976" ht="12.0" customHeight="1">
      <c r="A976" s="562"/>
      <c r="B976" s="562"/>
      <c r="C976" s="562"/>
      <c r="D976" s="562"/>
      <c r="E976" s="562"/>
      <c r="F976" s="562"/>
      <c r="G976" s="562"/>
      <c r="H976" s="562"/>
      <c r="I976" s="562"/>
      <c r="J976" s="562"/>
      <c r="K976" s="562"/>
      <c r="L976" s="562"/>
      <c r="M976" s="562"/>
      <c r="N976" s="562"/>
      <c r="O976" s="569"/>
      <c r="P976" s="570"/>
      <c r="Q976" s="562"/>
      <c r="R976" s="562"/>
      <c r="S976" s="562"/>
      <c r="T976" s="562"/>
      <c r="U976" s="562"/>
      <c r="V976" s="562"/>
      <c r="W976" s="562"/>
      <c r="X976" s="562"/>
      <c r="Y976" s="562"/>
      <c r="Z976" s="562"/>
    </row>
    <row r="977" ht="12.0" customHeight="1">
      <c r="A977" s="562"/>
      <c r="B977" s="562"/>
      <c r="C977" s="562"/>
      <c r="D977" s="562"/>
      <c r="E977" s="562"/>
      <c r="F977" s="562"/>
      <c r="G977" s="562"/>
      <c r="H977" s="562"/>
      <c r="I977" s="562"/>
      <c r="J977" s="562"/>
      <c r="K977" s="562"/>
      <c r="L977" s="562"/>
      <c r="M977" s="562"/>
      <c r="N977" s="562"/>
      <c r="O977" s="569"/>
      <c r="P977" s="570"/>
      <c r="Q977" s="562"/>
      <c r="R977" s="562"/>
      <c r="S977" s="562"/>
      <c r="T977" s="562"/>
      <c r="U977" s="562"/>
      <c r="V977" s="562"/>
      <c r="W977" s="562"/>
      <c r="X977" s="562"/>
      <c r="Y977" s="562"/>
      <c r="Z977" s="562"/>
    </row>
    <row r="978" ht="12.0" customHeight="1">
      <c r="A978" s="562"/>
      <c r="B978" s="562"/>
      <c r="C978" s="562"/>
      <c r="D978" s="562"/>
      <c r="E978" s="562"/>
      <c r="F978" s="562"/>
      <c r="G978" s="562"/>
      <c r="H978" s="562"/>
      <c r="I978" s="562"/>
      <c r="J978" s="562"/>
      <c r="K978" s="562"/>
      <c r="L978" s="562"/>
      <c r="M978" s="562"/>
      <c r="N978" s="562"/>
      <c r="O978" s="569"/>
      <c r="P978" s="570"/>
      <c r="Q978" s="562"/>
      <c r="R978" s="562"/>
      <c r="S978" s="562"/>
      <c r="T978" s="562"/>
      <c r="U978" s="562"/>
      <c r="V978" s="562"/>
      <c r="W978" s="562"/>
      <c r="X978" s="562"/>
      <c r="Y978" s="562"/>
      <c r="Z978" s="562"/>
    </row>
    <row r="979" ht="12.0" customHeight="1">
      <c r="A979" s="562"/>
      <c r="B979" s="562"/>
      <c r="C979" s="562"/>
      <c r="D979" s="562"/>
      <c r="E979" s="562"/>
      <c r="F979" s="562"/>
      <c r="G979" s="562"/>
      <c r="H979" s="562"/>
      <c r="I979" s="562"/>
      <c r="J979" s="562"/>
      <c r="K979" s="562"/>
      <c r="L979" s="562"/>
      <c r="M979" s="562"/>
      <c r="N979" s="562"/>
      <c r="O979" s="569"/>
      <c r="P979" s="570"/>
      <c r="Q979" s="562"/>
      <c r="R979" s="562"/>
      <c r="S979" s="562"/>
      <c r="T979" s="562"/>
      <c r="U979" s="562"/>
      <c r="V979" s="562"/>
      <c r="W979" s="562"/>
      <c r="X979" s="562"/>
      <c r="Y979" s="562"/>
      <c r="Z979" s="562"/>
    </row>
    <row r="980" ht="12.0" customHeight="1">
      <c r="A980" s="562"/>
      <c r="B980" s="562"/>
      <c r="C980" s="562"/>
      <c r="D980" s="562"/>
      <c r="E980" s="562"/>
      <c r="F980" s="562"/>
      <c r="G980" s="562"/>
      <c r="H980" s="562"/>
      <c r="I980" s="562"/>
      <c r="J980" s="562"/>
      <c r="K980" s="562"/>
      <c r="L980" s="562"/>
      <c r="M980" s="562"/>
      <c r="N980" s="562"/>
      <c r="O980" s="569"/>
      <c r="P980" s="570"/>
      <c r="Q980" s="562"/>
      <c r="R980" s="562"/>
      <c r="S980" s="562"/>
      <c r="T980" s="562"/>
      <c r="U980" s="562"/>
      <c r="V980" s="562"/>
      <c r="W980" s="562"/>
      <c r="X980" s="562"/>
      <c r="Y980" s="562"/>
      <c r="Z980" s="562"/>
    </row>
    <row r="981" ht="12.0" customHeight="1">
      <c r="A981" s="562"/>
      <c r="B981" s="562"/>
      <c r="C981" s="562"/>
      <c r="D981" s="562"/>
      <c r="E981" s="562"/>
      <c r="F981" s="562"/>
      <c r="G981" s="562"/>
      <c r="H981" s="562"/>
      <c r="I981" s="562"/>
      <c r="J981" s="562"/>
      <c r="K981" s="562"/>
      <c r="L981" s="562"/>
      <c r="M981" s="562"/>
      <c r="N981" s="562"/>
      <c r="O981" s="569"/>
      <c r="P981" s="570"/>
      <c r="Q981" s="562"/>
      <c r="R981" s="562"/>
      <c r="S981" s="562"/>
      <c r="T981" s="562"/>
      <c r="U981" s="562"/>
      <c r="V981" s="562"/>
      <c r="W981" s="562"/>
      <c r="X981" s="562"/>
      <c r="Y981" s="562"/>
      <c r="Z981" s="562"/>
    </row>
    <row r="982" ht="12.0" customHeight="1">
      <c r="A982" s="562"/>
      <c r="B982" s="562"/>
      <c r="C982" s="562"/>
      <c r="D982" s="562"/>
      <c r="E982" s="562"/>
      <c r="F982" s="562"/>
      <c r="G982" s="562"/>
      <c r="H982" s="562"/>
      <c r="I982" s="562"/>
      <c r="J982" s="562"/>
      <c r="K982" s="562"/>
      <c r="L982" s="562"/>
      <c r="M982" s="562"/>
      <c r="N982" s="562"/>
      <c r="O982" s="569"/>
      <c r="P982" s="570"/>
      <c r="Q982" s="562"/>
      <c r="R982" s="562"/>
      <c r="S982" s="562"/>
      <c r="T982" s="562"/>
      <c r="U982" s="562"/>
      <c r="V982" s="562"/>
      <c r="W982" s="562"/>
      <c r="X982" s="562"/>
      <c r="Y982" s="562"/>
      <c r="Z982" s="562"/>
    </row>
    <row r="983" ht="12.0" customHeight="1">
      <c r="A983" s="562"/>
      <c r="B983" s="562"/>
      <c r="C983" s="562"/>
      <c r="D983" s="562"/>
      <c r="E983" s="562"/>
      <c r="F983" s="562"/>
      <c r="G983" s="562"/>
      <c r="H983" s="562"/>
      <c r="I983" s="562"/>
      <c r="J983" s="562"/>
      <c r="K983" s="562"/>
      <c r="L983" s="562"/>
      <c r="M983" s="562"/>
      <c r="N983" s="562"/>
      <c r="O983" s="569"/>
      <c r="P983" s="570"/>
      <c r="Q983" s="562"/>
      <c r="R983" s="562"/>
      <c r="S983" s="562"/>
      <c r="T983" s="562"/>
      <c r="U983" s="562"/>
      <c r="V983" s="562"/>
      <c r="W983" s="562"/>
      <c r="X983" s="562"/>
      <c r="Y983" s="562"/>
      <c r="Z983" s="562"/>
    </row>
    <row r="984" ht="12.0" customHeight="1">
      <c r="A984" s="562"/>
      <c r="B984" s="562"/>
      <c r="C984" s="562"/>
      <c r="D984" s="562"/>
      <c r="E984" s="562"/>
      <c r="F984" s="562"/>
      <c r="G984" s="562"/>
      <c r="H984" s="562"/>
      <c r="I984" s="562"/>
      <c r="J984" s="562"/>
      <c r="K984" s="562"/>
      <c r="L984" s="562"/>
      <c r="M984" s="562"/>
      <c r="N984" s="562"/>
      <c r="O984" s="569"/>
      <c r="P984" s="570"/>
      <c r="Q984" s="562"/>
      <c r="R984" s="562"/>
      <c r="S984" s="562"/>
      <c r="T984" s="562"/>
      <c r="U984" s="562"/>
      <c r="V984" s="562"/>
      <c r="W984" s="562"/>
      <c r="X984" s="562"/>
      <c r="Y984" s="562"/>
      <c r="Z984" s="562"/>
    </row>
    <row r="985" ht="12.0" customHeight="1">
      <c r="A985" s="562"/>
      <c r="B985" s="562"/>
      <c r="C985" s="562"/>
      <c r="D985" s="562"/>
      <c r="E985" s="562"/>
      <c r="F985" s="562"/>
      <c r="G985" s="562"/>
      <c r="H985" s="562"/>
      <c r="I985" s="562"/>
      <c r="J985" s="562"/>
      <c r="K985" s="562"/>
      <c r="L985" s="562"/>
      <c r="M985" s="562"/>
      <c r="N985" s="562"/>
      <c r="O985" s="569"/>
      <c r="P985" s="570"/>
      <c r="Q985" s="562"/>
      <c r="R985" s="562"/>
      <c r="S985" s="562"/>
      <c r="T985" s="562"/>
      <c r="U985" s="562"/>
      <c r="V985" s="562"/>
      <c r="W985" s="562"/>
      <c r="X985" s="562"/>
      <c r="Y985" s="562"/>
      <c r="Z985" s="562"/>
    </row>
    <row r="986" ht="12.0" customHeight="1">
      <c r="A986" s="562"/>
      <c r="B986" s="562"/>
      <c r="C986" s="562"/>
      <c r="D986" s="562"/>
      <c r="E986" s="562"/>
      <c r="F986" s="562"/>
      <c r="G986" s="562"/>
      <c r="H986" s="562"/>
      <c r="I986" s="562"/>
      <c r="J986" s="562"/>
      <c r="K986" s="562"/>
      <c r="L986" s="562"/>
      <c r="M986" s="562"/>
      <c r="N986" s="562"/>
      <c r="O986" s="569"/>
      <c r="P986" s="570"/>
      <c r="Q986" s="562"/>
      <c r="R986" s="562"/>
      <c r="S986" s="562"/>
      <c r="T986" s="562"/>
      <c r="U986" s="562"/>
      <c r="V986" s="562"/>
      <c r="W986" s="562"/>
      <c r="X986" s="562"/>
      <c r="Y986" s="562"/>
      <c r="Z986" s="562"/>
    </row>
    <row r="987" ht="12.0" customHeight="1">
      <c r="A987" s="562"/>
      <c r="B987" s="562"/>
      <c r="C987" s="562"/>
      <c r="D987" s="562"/>
      <c r="E987" s="562"/>
      <c r="F987" s="562"/>
      <c r="G987" s="562"/>
      <c r="H987" s="562"/>
      <c r="I987" s="562"/>
      <c r="J987" s="562"/>
      <c r="K987" s="562"/>
      <c r="L987" s="562"/>
      <c r="M987" s="562"/>
      <c r="N987" s="562"/>
      <c r="O987" s="569"/>
      <c r="P987" s="570"/>
      <c r="Q987" s="562"/>
      <c r="R987" s="562"/>
      <c r="S987" s="562"/>
      <c r="T987" s="562"/>
      <c r="U987" s="562"/>
      <c r="V987" s="562"/>
      <c r="W987" s="562"/>
      <c r="X987" s="562"/>
      <c r="Y987" s="562"/>
      <c r="Z987" s="562"/>
    </row>
    <row r="988" ht="12.0" customHeight="1">
      <c r="A988" s="562"/>
      <c r="B988" s="562"/>
      <c r="C988" s="562"/>
      <c r="D988" s="562"/>
      <c r="E988" s="562"/>
      <c r="F988" s="562"/>
      <c r="G988" s="562"/>
      <c r="H988" s="562"/>
      <c r="I988" s="562"/>
      <c r="J988" s="562"/>
      <c r="K988" s="562"/>
      <c r="L988" s="562"/>
      <c r="M988" s="562"/>
      <c r="N988" s="562"/>
      <c r="O988" s="569"/>
      <c r="P988" s="570"/>
      <c r="Q988" s="562"/>
      <c r="R988" s="562"/>
      <c r="S988" s="562"/>
      <c r="T988" s="562"/>
      <c r="U988" s="562"/>
      <c r="V988" s="562"/>
      <c r="W988" s="562"/>
      <c r="X988" s="562"/>
      <c r="Y988" s="562"/>
      <c r="Z988" s="562"/>
    </row>
    <row r="989" ht="12.0" customHeight="1">
      <c r="A989" s="562"/>
      <c r="B989" s="562"/>
      <c r="C989" s="562"/>
      <c r="D989" s="562"/>
      <c r="E989" s="562"/>
      <c r="F989" s="562"/>
      <c r="G989" s="562"/>
      <c r="H989" s="562"/>
      <c r="I989" s="562"/>
      <c r="J989" s="562"/>
      <c r="K989" s="562"/>
      <c r="L989" s="562"/>
      <c r="M989" s="562"/>
      <c r="N989" s="562"/>
      <c r="O989" s="569"/>
      <c r="P989" s="570"/>
      <c r="Q989" s="562"/>
      <c r="R989" s="562"/>
      <c r="S989" s="562"/>
      <c r="T989" s="562"/>
      <c r="U989" s="562"/>
      <c r="V989" s="562"/>
      <c r="W989" s="562"/>
      <c r="X989" s="562"/>
      <c r="Y989" s="562"/>
      <c r="Z989" s="562"/>
    </row>
    <row r="990" ht="12.0" customHeight="1">
      <c r="A990" s="562"/>
      <c r="B990" s="562"/>
      <c r="C990" s="562"/>
      <c r="D990" s="562"/>
      <c r="E990" s="562"/>
      <c r="F990" s="562"/>
      <c r="G990" s="562"/>
      <c r="H990" s="562"/>
      <c r="I990" s="562"/>
      <c r="J990" s="562"/>
      <c r="K990" s="562"/>
      <c r="L990" s="562"/>
      <c r="M990" s="562"/>
      <c r="N990" s="562"/>
      <c r="O990" s="569"/>
      <c r="P990" s="570"/>
      <c r="Q990" s="562"/>
      <c r="R990" s="562"/>
      <c r="S990" s="562"/>
      <c r="T990" s="562"/>
      <c r="U990" s="562"/>
      <c r="V990" s="562"/>
      <c r="W990" s="562"/>
      <c r="X990" s="562"/>
      <c r="Y990" s="562"/>
      <c r="Z990" s="562"/>
    </row>
    <row r="991" ht="12.0" customHeight="1">
      <c r="A991" s="562"/>
      <c r="B991" s="562"/>
      <c r="C991" s="562"/>
      <c r="D991" s="562"/>
      <c r="E991" s="562"/>
      <c r="F991" s="562"/>
      <c r="G991" s="562"/>
      <c r="H991" s="562"/>
      <c r="I991" s="562"/>
      <c r="J991" s="562"/>
      <c r="K991" s="562"/>
      <c r="L991" s="562"/>
      <c r="M991" s="562"/>
      <c r="N991" s="562"/>
      <c r="O991" s="569"/>
      <c r="P991" s="570"/>
      <c r="Q991" s="562"/>
      <c r="R991" s="562"/>
      <c r="S991" s="562"/>
      <c r="T991" s="562"/>
      <c r="U991" s="562"/>
      <c r="V991" s="562"/>
      <c r="W991" s="562"/>
      <c r="X991" s="562"/>
      <c r="Y991" s="562"/>
      <c r="Z991" s="562"/>
    </row>
    <row r="992" ht="12.0" customHeight="1">
      <c r="A992" s="562"/>
      <c r="B992" s="562"/>
      <c r="C992" s="562"/>
      <c r="D992" s="562"/>
      <c r="E992" s="562"/>
      <c r="F992" s="562"/>
      <c r="G992" s="562"/>
      <c r="H992" s="562"/>
      <c r="I992" s="562"/>
      <c r="J992" s="562"/>
      <c r="K992" s="562"/>
      <c r="L992" s="562"/>
      <c r="M992" s="562"/>
      <c r="N992" s="562"/>
      <c r="O992" s="569"/>
      <c r="P992" s="570"/>
      <c r="Q992" s="562"/>
      <c r="R992" s="562"/>
      <c r="S992" s="562"/>
      <c r="T992" s="562"/>
      <c r="U992" s="562"/>
      <c r="V992" s="562"/>
      <c r="W992" s="562"/>
      <c r="X992" s="562"/>
      <c r="Y992" s="562"/>
      <c r="Z992" s="562"/>
    </row>
    <row r="993" ht="12.0" customHeight="1">
      <c r="A993" s="562"/>
      <c r="B993" s="562"/>
      <c r="C993" s="562"/>
      <c r="D993" s="562"/>
      <c r="E993" s="562"/>
      <c r="F993" s="562"/>
      <c r="G993" s="562"/>
      <c r="H993" s="562"/>
      <c r="I993" s="562"/>
      <c r="J993" s="562"/>
      <c r="K993" s="562"/>
      <c r="L993" s="562"/>
      <c r="M993" s="562"/>
      <c r="N993" s="562"/>
      <c r="O993" s="569"/>
      <c r="P993" s="570"/>
      <c r="Q993" s="562"/>
      <c r="R993" s="562"/>
      <c r="S993" s="562"/>
      <c r="T993" s="562"/>
      <c r="U993" s="562"/>
      <c r="V993" s="562"/>
      <c r="W993" s="562"/>
      <c r="X993" s="562"/>
      <c r="Y993" s="562"/>
      <c r="Z993" s="562"/>
    </row>
    <row r="994" ht="12.0" customHeight="1">
      <c r="A994" s="562"/>
      <c r="B994" s="562"/>
      <c r="C994" s="562"/>
      <c r="D994" s="562"/>
      <c r="E994" s="562"/>
      <c r="F994" s="562"/>
      <c r="G994" s="562"/>
      <c r="H994" s="562"/>
      <c r="I994" s="562"/>
      <c r="J994" s="562"/>
      <c r="K994" s="562"/>
      <c r="L994" s="562"/>
      <c r="M994" s="562"/>
      <c r="N994" s="562"/>
      <c r="O994" s="569"/>
      <c r="P994" s="570"/>
      <c r="Q994" s="562"/>
      <c r="R994" s="562"/>
      <c r="S994" s="562"/>
      <c r="T994" s="562"/>
      <c r="U994" s="562"/>
      <c r="V994" s="562"/>
      <c r="W994" s="562"/>
      <c r="X994" s="562"/>
      <c r="Y994" s="562"/>
      <c r="Z994" s="562"/>
    </row>
    <row r="995" ht="12.0" customHeight="1">
      <c r="A995" s="562"/>
      <c r="B995" s="562"/>
      <c r="C995" s="562"/>
      <c r="D995" s="562"/>
      <c r="E995" s="562"/>
      <c r="F995" s="562"/>
      <c r="G995" s="562"/>
      <c r="H995" s="562"/>
      <c r="I995" s="562"/>
      <c r="J995" s="562"/>
      <c r="K995" s="562"/>
      <c r="L995" s="562"/>
      <c r="M995" s="562"/>
      <c r="N995" s="562"/>
      <c r="O995" s="569"/>
      <c r="P995" s="570"/>
      <c r="Q995" s="562"/>
      <c r="R995" s="562"/>
      <c r="S995" s="562"/>
      <c r="T995" s="562"/>
      <c r="U995" s="562"/>
      <c r="V995" s="562"/>
      <c r="W995" s="562"/>
      <c r="X995" s="562"/>
      <c r="Y995" s="562"/>
      <c r="Z995" s="562"/>
    </row>
    <row r="996" ht="12.0" customHeight="1">
      <c r="A996" s="562"/>
      <c r="B996" s="562"/>
      <c r="C996" s="562"/>
      <c r="D996" s="562"/>
      <c r="E996" s="562"/>
      <c r="F996" s="562"/>
      <c r="G996" s="562"/>
      <c r="H996" s="562"/>
      <c r="I996" s="562"/>
      <c r="J996" s="562"/>
      <c r="K996" s="562"/>
      <c r="L996" s="562"/>
      <c r="M996" s="562"/>
      <c r="N996" s="562"/>
      <c r="O996" s="569"/>
      <c r="P996" s="570"/>
      <c r="Q996" s="562"/>
      <c r="R996" s="562"/>
      <c r="S996" s="562"/>
      <c r="T996" s="562"/>
      <c r="U996" s="562"/>
      <c r="V996" s="562"/>
      <c r="W996" s="562"/>
      <c r="X996" s="562"/>
      <c r="Y996" s="562"/>
      <c r="Z996" s="562"/>
    </row>
    <row r="997" ht="12.0" customHeight="1">
      <c r="A997" s="562"/>
      <c r="B997" s="562"/>
      <c r="C997" s="562"/>
      <c r="D997" s="562"/>
      <c r="E997" s="562"/>
      <c r="F997" s="562"/>
      <c r="G997" s="562"/>
      <c r="H997" s="562"/>
      <c r="I997" s="562"/>
      <c r="J997" s="562"/>
      <c r="K997" s="562"/>
      <c r="L997" s="562"/>
      <c r="M997" s="562"/>
      <c r="N997" s="562"/>
      <c r="O997" s="569"/>
      <c r="P997" s="570"/>
      <c r="Q997" s="562"/>
      <c r="R997" s="562"/>
      <c r="S997" s="562"/>
      <c r="T997" s="562"/>
      <c r="U997" s="562"/>
      <c r="V997" s="562"/>
      <c r="W997" s="562"/>
      <c r="X997" s="562"/>
      <c r="Y997" s="562"/>
      <c r="Z997" s="562"/>
    </row>
    <row r="998" ht="12.0" customHeight="1">
      <c r="A998" s="562"/>
      <c r="B998" s="562"/>
      <c r="C998" s="562"/>
      <c r="D998" s="562"/>
      <c r="E998" s="562"/>
      <c r="F998" s="562"/>
      <c r="G998" s="562"/>
      <c r="H998" s="562"/>
      <c r="I998" s="562"/>
      <c r="J998" s="562"/>
      <c r="K998" s="562"/>
      <c r="L998" s="562"/>
      <c r="M998" s="562"/>
      <c r="N998" s="562"/>
      <c r="O998" s="569"/>
      <c r="P998" s="570"/>
      <c r="Q998" s="562"/>
      <c r="R998" s="562"/>
      <c r="S998" s="562"/>
      <c r="T998" s="562"/>
      <c r="U998" s="562"/>
      <c r="V998" s="562"/>
      <c r="W998" s="562"/>
      <c r="X998" s="562"/>
      <c r="Y998" s="562"/>
      <c r="Z998" s="562"/>
    </row>
    <row r="999" ht="12.0" customHeight="1">
      <c r="A999" s="562"/>
      <c r="B999" s="562"/>
      <c r="C999" s="562"/>
      <c r="D999" s="562"/>
      <c r="E999" s="562"/>
      <c r="F999" s="562"/>
      <c r="G999" s="562"/>
      <c r="H999" s="562"/>
      <c r="I999" s="562"/>
      <c r="J999" s="562"/>
      <c r="K999" s="562"/>
      <c r="L999" s="562"/>
      <c r="M999" s="562"/>
      <c r="N999" s="562"/>
      <c r="O999" s="569"/>
      <c r="P999" s="570"/>
      <c r="Q999" s="562"/>
      <c r="R999" s="562"/>
      <c r="S999" s="562"/>
      <c r="T999" s="562"/>
      <c r="U999" s="562"/>
      <c r="V999" s="562"/>
      <c r="W999" s="562"/>
      <c r="X999" s="562"/>
      <c r="Y999" s="562"/>
      <c r="Z999" s="562"/>
    </row>
    <row r="1000" ht="12.0" customHeight="1">
      <c r="A1000" s="562"/>
      <c r="B1000" s="562"/>
      <c r="C1000" s="562"/>
      <c r="D1000" s="562"/>
      <c r="E1000" s="562"/>
      <c r="F1000" s="562"/>
      <c r="G1000" s="562"/>
      <c r="H1000" s="562"/>
      <c r="I1000" s="562"/>
      <c r="J1000" s="562"/>
      <c r="K1000" s="562"/>
      <c r="L1000" s="562"/>
      <c r="M1000" s="562"/>
      <c r="N1000" s="562"/>
      <c r="O1000" s="569"/>
      <c r="P1000" s="570"/>
      <c r="Q1000" s="562"/>
      <c r="R1000" s="562"/>
      <c r="S1000" s="562"/>
      <c r="T1000" s="562"/>
      <c r="U1000" s="562"/>
      <c r="V1000" s="562"/>
      <c r="W1000" s="562"/>
      <c r="X1000" s="562"/>
      <c r="Y1000" s="562"/>
      <c r="Z1000" s="562"/>
    </row>
  </sheetData>
  <autoFilter ref="$A$1:$X$84"/>
  <conditionalFormatting sqref="J2:M81">
    <cfRule type="cellIs" dxfId="1" priority="1" operator="lessThanOrEqual">
      <formula>$D$2</formula>
    </cfRule>
  </conditionalFormatting>
  <conditionalFormatting sqref="J82:M84">
    <cfRule type="cellIs" dxfId="1" priority="2" operator="lessThanOrEqual">
      <formula>$D$2</formula>
    </cfRule>
  </conditionalFormatting>
  <conditionalFormatting sqref="V2:V84">
    <cfRule type="containsText" dxfId="1" priority="3" operator="containsText" text="Kategori 3">
      <formula>NOT(ISERROR(SEARCH(("Kategori 3"),(V2))))</formula>
    </cfRule>
  </conditionalFormatting>
  <conditionalFormatting sqref="V2:V84">
    <cfRule type="containsText" dxfId="0" priority="4" operator="containsText" text="Kategori 2">
      <formula>NOT(ISERROR(SEARCH(("Kategori 2"),(V2))))</formula>
    </cfRule>
  </conditionalFormatting>
  <conditionalFormatting sqref="V2:V84">
    <cfRule type="containsText" dxfId="5" priority="5" operator="containsText" text="Kategori 1">
      <formula>NOT(ISERROR(SEARCH(("Kategori 1"),(V2))))</formula>
    </cfRule>
  </conditionalFormatting>
  <conditionalFormatting sqref="C2:C84">
    <cfRule type="containsText" dxfId="6" priority="6" operator="containsText" text="PTO">
      <formula>NOT(ISERROR(SEARCH(("PTO"),(C2))))</formula>
    </cfRule>
  </conditionalFormatting>
  <printOptions/>
  <pageMargins bottom="0.75" footer="0.0" header="0.0" left="0.25" right="0.25" top="0.75"/>
  <pageSetup fitToHeight="0" orientation="landscape"/>
  <drawing r:id="rId1"/>
</worksheet>
</file>